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d.fraser/Local Dev/Anaesthesia Associates RFP/docs/discovery-reference/Data files/"/>
    </mc:Choice>
  </mc:AlternateContent>
  <xr:revisionPtr revIDLastSave="0" documentId="13_ncr:1_{BD645EE7-2778-A742-8EE8-A11CD23B9B14}" xr6:coauthVersionLast="47" xr6:coauthVersionMax="47" xr10:uidLastSave="{00000000-0000-0000-0000-000000000000}"/>
  <bookViews>
    <workbookView xWindow="0" yWindow="600" windowWidth="51200" windowHeight="26320" xr2:uid="{00000000-000D-0000-FFFF-FFFF00000000}"/>
  </bookViews>
  <sheets>
    <sheet name="Info" sheetId="5" r:id="rId1"/>
    <sheet name="Master Fee List" sheetId="7" r:id="rId2"/>
    <sheet name="RVG Codes" sheetId="6" r:id="rId3"/>
    <sheet name="Solusions+ Operations List" sheetId="1" r:id="rId4"/>
  </sheets>
  <definedNames>
    <definedName name="_xlnm._FilterDatabase" localSheetId="3" hidden="1">'Solusions+ Operations List'!$A$1:$H$982</definedName>
    <definedName name="GST_Rate" comment="NZ GST rate">Info!$B$52</definedName>
    <definedName name="_xlnm.Print_Titles" localSheetId="3">'Solusions+ Operations List'!$1:$1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5" l="1"/>
  <c r="I24" i="5"/>
  <c r="I25" i="5"/>
  <c r="I26" i="5"/>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B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Donald Fraser</author>
  </authors>
  <commentList>
    <comment ref="A1" authorId="0" shapeId="0" xr:uid="{1CAE2AAB-F158-4C46-B898-201434548349}">
      <text>
        <r>
          <rPr>
            <b/>
            <sz val="10"/>
            <color rgb="FF000000"/>
            <rFont val="Tahoma"/>
            <family val="2"/>
          </rPr>
          <t>Donald Fraser:</t>
        </r>
        <r>
          <rPr>
            <sz val="10"/>
            <color rgb="FF000000"/>
            <rFont val="Tahoma"/>
            <family val="2"/>
          </rPr>
          <t xml:space="preserve">
RVG Code/Base Units = NZSA RVG 2021 default base units (lookup to 'RVG Codes' tab). Enter the code in col A; col B fills automatically. Rows tagged SRC-00 ported 28 Sep 2026 from 'Solusions+ Operations List' (Source Page and Number columns not carried over). See Info tab for the source register.</t>
        </r>
      </text>
    </comment>
  </commentList>
</comments>
</file>

<file path=xl/sharedStrings.xml><?xml version="1.0" encoding="utf-8"?>
<sst xmlns="http://schemas.openxmlformats.org/spreadsheetml/2006/main" count="7086" uniqueCount="2141">
  <si>
    <t>Source Page</t>
  </si>
  <si>
    <t>Operation</t>
  </si>
  <si>
    <t>Number</t>
  </si>
  <si>
    <t>Basic</t>
  </si>
  <si>
    <t>Time</t>
  </si>
  <si>
    <t>Modifying</t>
  </si>
  <si>
    <t>Total</t>
  </si>
  <si>
    <t>Cost</t>
  </si>
  <si>
    <t>Corticobasal Degeneration.</t>
  </si>
  <si>
    <t>Holmium Laser Enucleation Of The Prostate</t>
  </si>
  <si>
    <t>Left Knee Arthroscopy Proceed To Meniscal Repair</t>
  </si>
  <si>
    <t>*AMENDED ACCOUNT* Bilateral Cataracts</t>
  </si>
  <si>
    <t>10% Discount - CDHB OUTSOURCED - Coblation Ad</t>
  </si>
  <si>
    <t>2 Muscles Right Eye</t>
  </si>
  <si>
    <t>2nd Invoice For Patient - Following Surgery With J S</t>
  </si>
  <si>
    <t>A Tympanic T-tube</t>
  </si>
  <si>
    <t>Abdominal Hysterectomy</t>
  </si>
  <si>
    <t>Abdominal Scar Revision</t>
  </si>
  <si>
    <t>Abdominal Scar Revisions</t>
  </si>
  <si>
    <t>Abdominioplasty</t>
  </si>
  <si>
    <t>Abdominoplasty</t>
  </si>
  <si>
    <t>Abdominoplasty &amp; 4 Lid Blepharoplasty</t>
  </si>
  <si>
    <t>Abdominoplasty &amp; Brachioplasty</t>
  </si>
  <si>
    <t>Abdominoplasty &amp; Breast Lift</t>
  </si>
  <si>
    <t>Abdominoplasty &amp; Liposuction</t>
  </si>
  <si>
    <t>Abdominoplasty Extended</t>
  </si>
  <si>
    <t>Abdominoplasty, Bilateral Breast List</t>
  </si>
  <si>
    <t>ACL Reconstruction</t>
  </si>
  <si>
    <t>ACL Repair</t>
  </si>
  <si>
    <t>Acromioplasty</t>
  </si>
  <si>
    <t>Adenoid Ablation</t>
  </si>
  <si>
    <t>Adenoidectomy,</t>
  </si>
  <si>
    <t>Adenoidectomy - Bilateral Myringotomies And Tube</t>
  </si>
  <si>
    <t>Adenoidectomy: For Biopsy</t>
  </si>
  <si>
    <t>Adenotonsillectomy</t>
  </si>
  <si>
    <t>Adeno-tonsillectomy</t>
  </si>
  <si>
    <t>Adeno-Tonsillectomy &amp; Turbinoplasty</t>
  </si>
  <si>
    <t>Adhesiolysis</t>
  </si>
  <si>
    <t>Adjust Gastric Band</t>
  </si>
  <si>
    <t>Amended - Posterolateral Fusion - Revision Mutiple</t>
  </si>
  <si>
    <t>Amended - Right Shoulder Arthroscopic Repair Of S</t>
  </si>
  <si>
    <t>AMENDED ACCOUNT - Right Cataract</t>
  </si>
  <si>
    <t>AMENDED ACCOUNT - Right NLDO Recanalisation</t>
  </si>
  <si>
    <t>Anaesthetic Telehealth Consultation For Administra</t>
  </si>
  <si>
    <t>Anal Sphincterotomy (Incl Eua) CDHB</t>
  </si>
  <si>
    <t>Anal Stretch</t>
  </si>
  <si>
    <t>Ankle Arthroscopy</t>
  </si>
  <si>
    <t>Ankle Fusion</t>
  </si>
  <si>
    <t>Ankle Reconstruction</t>
  </si>
  <si>
    <t>Ankle Replacement</t>
  </si>
  <si>
    <t>Anterior And Posterior Repair</t>
  </si>
  <si>
    <t>Anterior Colporthaphy</t>
  </si>
  <si>
    <t>Anterior Cruciate Reconstruction</t>
  </si>
  <si>
    <t>Anterior C-spine Decompression</t>
  </si>
  <si>
    <t>Anterior Lumbar Fusion</t>
  </si>
  <si>
    <t>Aorta Bi Illiac Aneurysm Repair</t>
  </si>
  <si>
    <t>Aortic Valve Replacement</t>
  </si>
  <si>
    <t>Arthroscopic Acromioplasty + Rotator Cuff Repair</t>
  </si>
  <si>
    <t>Arthroscopic Cruciate Reconstruction</t>
  </si>
  <si>
    <t>Arthroscopic Meniscectomy</t>
  </si>
  <si>
    <t>Arthroscopic Shoulder Decompression</t>
  </si>
  <si>
    <t>Arthroscopic Shoulder Stabilization</t>
  </si>
  <si>
    <t>Arthroscopy</t>
  </si>
  <si>
    <t>Artifical Urinary Sphincter</t>
  </si>
  <si>
    <t>AVRICABG</t>
  </si>
  <si>
    <t>Barrigel</t>
  </si>
  <si>
    <t>Barrigel Insertion</t>
  </si>
  <si>
    <t>Bartholins Cyst</t>
  </si>
  <si>
    <t>Bilalteral Otoplasty</t>
  </si>
  <si>
    <t>Bilateal Lower Lid Blepharoplasty</t>
  </si>
  <si>
    <t>Bilateral Lower Lid Blephs</t>
  </si>
  <si>
    <t>Bilateral Brachioplasty</t>
  </si>
  <si>
    <t>Bilateral Breast Augmentation</t>
  </si>
  <si>
    <t>Bilateral Breast Augmentation - Abdominoplasty</t>
  </si>
  <si>
    <t>Bilateral Breast Augmentation &amp; Mastopexies</t>
  </si>
  <si>
    <t>Bilateral Breast Lift (Mastopexy)</t>
  </si>
  <si>
    <t>Bilateral Breast Reconstruction With Diep Abdomin</t>
  </si>
  <si>
    <t>Bilateral Breast Reduction</t>
  </si>
  <si>
    <t>Bilateral Breast Reduction CDHB</t>
  </si>
  <si>
    <t>Bilateral Breast Reduction - CDHB</t>
  </si>
  <si>
    <t>Bilateral Breast Reduction + Abdominoplasty</t>
  </si>
  <si>
    <t>Bilateral Breast Reduction +/- Free Nipple Grafts</t>
  </si>
  <si>
    <t>Bilateral Breast Reduction Amended CDHB</t>
  </si>
  <si>
    <t>Bilateral Breast Reduction With Lateral Liposuction</t>
  </si>
  <si>
    <t>Bilateral Carpal Tunnel</t>
  </si>
  <si>
    <t>Bilateral Cataract</t>
  </si>
  <si>
    <t>Bilateral Cataracts</t>
  </si>
  <si>
    <t>Bilateral Cochlear Implant</t>
  </si>
  <si>
    <t>Bilateral Comprehensive Endoscopic Sinus Surgery</t>
  </si>
  <si>
    <t>Bilateral Ectropion Repair</t>
  </si>
  <si>
    <t>Bilateral Endoscopic Inferior Turbinoplasty</t>
  </si>
  <si>
    <t>Bilateral Excision DOG Ears/fat Grafting Right Reco</t>
  </si>
  <si>
    <t>Bilateral FESS And Inferior Turbinoplasty CDHB</t>
  </si>
  <si>
    <t>Bilateral Flank &amp; Inner Thigh Liposuction</t>
  </si>
  <si>
    <t>Bilateral FTSG From ULs To LLs WCDHB</t>
  </si>
  <si>
    <t>Bilateral Grommet Insertion</t>
  </si>
  <si>
    <t>Bilateral Grommets</t>
  </si>
  <si>
    <t>Bilateral Gynaecomastia</t>
  </si>
  <si>
    <t>Bilateral Implant Removal &amp; Capsulectomies</t>
  </si>
  <si>
    <t>Bilateral Implant Removal, Capsulectomies And Ne</t>
  </si>
  <si>
    <t>Bilateral Inferior Turbinoplasty</t>
  </si>
  <si>
    <t>Bilateral Inferior Turbinoplasty &amp; Septoplasty</t>
  </si>
  <si>
    <t>Bilateral Mastectomies</t>
  </si>
  <si>
    <t>Bilateral Mastectomies - Gender Reasignment</t>
  </si>
  <si>
    <t>Bilateral Mastectomies - Gender Reassignment</t>
  </si>
  <si>
    <t>Bilateral Mastectomies Gender Reassignment</t>
  </si>
  <si>
    <t>Bilateral Mastopexies</t>
  </si>
  <si>
    <t>Bilateral Modified Robertson Reduction Mammoplas</t>
  </si>
  <si>
    <t>Bilateral Myringotomies And Tubes</t>
  </si>
  <si>
    <t>Bilateral Myringotomies And Ventilation Tubes</t>
  </si>
  <si>
    <t>Bilateral Otoplasty</t>
  </si>
  <si>
    <t>Bilateral Refractive Lens Exchange</t>
  </si>
  <si>
    <t>Bilateral Sagittal Split Osteotomy</t>
  </si>
  <si>
    <t>Bilateral Scrotal Orchidectomy - DHB</t>
  </si>
  <si>
    <t>Bilateral TMJ Arthroscopy</t>
  </si>
  <si>
    <t>Bilateral Tonsillectomy</t>
  </si>
  <si>
    <t>Bilateral Total Hip Replacements</t>
  </si>
  <si>
    <t>Bilateral Total Knee Joint Replacement</t>
  </si>
  <si>
    <t>Bilateral Turbinoplasty</t>
  </si>
  <si>
    <t>Bilateral Upper Lid Blephs</t>
  </si>
  <si>
    <t>Bilateral Upper Lid Bleparoplasty</t>
  </si>
  <si>
    <t>Bilateral Upper Lid Blepharoplasties</t>
  </si>
  <si>
    <t>Bilateral Upper Lid Blepharoplasty</t>
  </si>
  <si>
    <t>Bilateral Ventilation Tube Insertion</t>
  </si>
  <si>
    <t>Bilateral Ventilation Tubes</t>
  </si>
  <si>
    <t>Bilateral Ventilation Tubes And Adenoidectomy</t>
  </si>
  <si>
    <t>Bilateral Ventillation Tube Insertion</t>
  </si>
  <si>
    <t>Bilateral Ventillation Tubes &amp; Adenoidectomy</t>
  </si>
  <si>
    <t>Bimaxillary Osteotomy</t>
  </si>
  <si>
    <t>Biopsies, Debridement Of Necrotic Bone And Closu</t>
  </si>
  <si>
    <t>Biopsy Of Left Lateral Border Of Tongue</t>
  </si>
  <si>
    <t>Birch colposuspension</t>
  </si>
  <si>
    <t>Bladder Neck Incision</t>
  </si>
  <si>
    <t>Bloods</t>
  </si>
  <si>
    <t>Bone Biopsy</t>
  </si>
  <si>
    <t>Botox Injection</t>
  </si>
  <si>
    <t>Botox To Pelvic Floor, Pudendal Nerve Blocks. Rem</t>
  </si>
  <si>
    <t>Brachioplasty</t>
  </si>
  <si>
    <t>Brachytherapy Prostate</t>
  </si>
  <si>
    <t>Breast Augmentation</t>
  </si>
  <si>
    <t>Breast Augmentation Gender Reassignment</t>
  </si>
  <si>
    <t>Breast Augmentation Revision - Implant Exchange,</t>
  </si>
  <si>
    <t>Breast Reduction</t>
  </si>
  <si>
    <t>Breast Reduction - Bilateral - Return To Theatre</t>
  </si>
  <si>
    <t>Browlift</t>
  </si>
  <si>
    <t>BSSO</t>
  </si>
  <si>
    <t>BSSO Surgery</t>
  </si>
  <si>
    <t>Bunionectomy</t>
  </si>
  <si>
    <t>C3/4 Anterior Cervical Discectomy And Fusion</t>
  </si>
  <si>
    <t>C5/6 &amp; C6/7 Anterior Cervical Discectomy &amp; Fusion</t>
  </si>
  <si>
    <t>CABG</t>
  </si>
  <si>
    <t>Cardioversion</t>
  </si>
  <si>
    <t>Carotid Endarterectomy</t>
  </si>
  <si>
    <t>Carpal Tunnel</t>
  </si>
  <si>
    <t>CATARACT CDHB</t>
  </si>
  <si>
    <t>Cataract Left</t>
  </si>
  <si>
    <t>Cataract Left - WCDHB</t>
  </si>
  <si>
    <t>Cataract CDHB</t>
  </si>
  <si>
    <t>CATARACT CDHB Left</t>
  </si>
  <si>
    <t>Cataract Extraction And Iol Implant - Local (Monitor</t>
  </si>
  <si>
    <t>Cataract Right</t>
  </si>
  <si>
    <t>Cautery Of Turbinates</t>
  </si>
  <si>
    <t>CDHB - Bilateral Breast Reduction / Mastopexy</t>
  </si>
  <si>
    <t>CDHB - Left Cataract</t>
  </si>
  <si>
    <t>Cervical C6/7 Foraminotomy</t>
  </si>
  <si>
    <t>Cevical C6/7 Foraminotomy</t>
  </si>
  <si>
    <t>Chin Augmentation</t>
  </si>
  <si>
    <t>Circumcision</t>
  </si>
  <si>
    <t>Circumcision - 00559178</t>
  </si>
  <si>
    <t>Closure lleostomy &amp; Flexi Sig - CDHB</t>
  </si>
  <si>
    <t>Closure Of Colostomy</t>
  </si>
  <si>
    <t>Closure Of lleostomy</t>
  </si>
  <si>
    <t>Closure Of Stoma</t>
  </si>
  <si>
    <t>Closure Of Stoma - CDHB</t>
  </si>
  <si>
    <t>Coblation Adenotonsillectomy</t>
  </si>
  <si>
    <t>Coblation Intracapsular Adenotonsillectomy &amp; Caut</t>
  </si>
  <si>
    <t>Coccygectomy</t>
  </si>
  <si>
    <t>Cochlear Implant</t>
  </si>
  <si>
    <t>Colectomy</t>
  </si>
  <si>
    <t>Colonoscopy</t>
  </si>
  <si>
    <t>Colonoscopy - CDHB</t>
  </si>
  <si>
    <t>Colonoscopy EUA Haemorrhiodectomy</t>
  </si>
  <si>
    <t>Colonoscopy &amp; Biopsy</t>
  </si>
  <si>
    <t>Colonoscopy &amp; Bx</t>
  </si>
  <si>
    <t>Colonoscopy &amp; Gastroscopy</t>
  </si>
  <si>
    <t>Colonoscopy &amp; Haemorrhoidectomy</t>
  </si>
  <si>
    <t>Colonoscopy + EUA +</t>
  </si>
  <si>
    <t>Colonoscopy + EUA +/- Fistulotomy +/- Seton - SX</t>
  </si>
  <si>
    <t>Colonoscopy + Excisision And Drainage Anal Fissu</t>
  </si>
  <si>
    <t>Colonoscopy + Gastroscopy + EUA + Haemorrhoide</t>
  </si>
  <si>
    <t>Colonoscopy + Polypectomies</t>
  </si>
  <si>
    <t>Colonoscopy + RBL</t>
  </si>
  <si>
    <t>Colonoscopy +/- Biopsies +/- Polypectomies</t>
  </si>
  <si>
    <t>Colonoscopy +/- Biopsies -+/ Polypectomies &amp; Seto</t>
  </si>
  <si>
    <t>Colonoscopy +/- Biopsies +/- Polypectomies + RBL</t>
  </si>
  <si>
    <t>Colonoscopy +h Polypectomy</t>
  </si>
  <si>
    <t>Colonoscopy And Biopsy</t>
  </si>
  <si>
    <t>Colonoscopy EUA + Col, +/- Botox CDHB</t>
  </si>
  <si>
    <t>Colonoscopy EUA Of Stoma</t>
  </si>
  <si>
    <t>Colonoscopy Excisision And Drainage Anal Fissure</t>
  </si>
  <si>
    <t>Colonoscopy RBL Haemorrhoids</t>
  </si>
  <si>
    <t>Colonoscopy, EUA +/- Mucosal Advancement Flaps</t>
  </si>
  <si>
    <t>Colonoscopy, Gastroscopy</t>
  </si>
  <si>
    <t>Colonoscopy/Polypectomy</t>
  </si>
  <si>
    <t>Colonoscopy/Polypectomy Haemorrhoidectomy, Inj</t>
  </si>
  <si>
    <t>Colonscopy</t>
  </si>
  <si>
    <t>Colonscopy &amp; EUA</t>
  </si>
  <si>
    <t>Colonscopy &amp; Polypectomy &amp; Haemorrhoidectomy</t>
  </si>
  <si>
    <t>Colostomy</t>
  </si>
  <si>
    <t>Colposcopy</t>
  </si>
  <si>
    <t>Combined Dental Surgery (X-rays, Prophylaxsis, Co</t>
  </si>
  <si>
    <t>Compartment Fasciectomy</t>
  </si>
  <si>
    <t>Complex Postop Visit</t>
  </si>
  <si>
    <t>Conoloscopy RBL EUA CDHB</t>
  </si>
  <si>
    <t>Corneal Graft</t>
  </si>
  <si>
    <t>Coronary Artery Bypass Graft</t>
  </si>
  <si>
    <t>Correction Bilateral Prominent Ears</t>
  </si>
  <si>
    <t>Correction Hallux Valgus</t>
  </si>
  <si>
    <t>Correction Of Nipple Inversion</t>
  </si>
  <si>
    <t>Corrective Osteotomy Right Distal Radius</t>
  </si>
  <si>
    <t>Craniotomy</t>
  </si>
  <si>
    <t>Cruciate Ligament Reconstruction</t>
  </si>
  <si>
    <t>Cruciate Reconstruction</t>
  </si>
  <si>
    <t>CS 70 Anaesthetic Telehealth Consultation For Adm</t>
  </si>
  <si>
    <t>CS250 - Simple Pre-Operative Anaesthetic Assessm</t>
  </si>
  <si>
    <t>CS70 Anaesthetic Telehealth Consultation For Admi</t>
  </si>
  <si>
    <t>Cystocoele Repair</t>
  </si>
  <si>
    <t>Cystoscopy</t>
  </si>
  <si>
    <t>Cystoscopy + Bladder Calcuili</t>
  </si>
  <si>
    <t>Cystoscopy + Optical Urethrotomy +/- Retrograde P</t>
  </si>
  <si>
    <t>D&amp;C</t>
  </si>
  <si>
    <t>D&amp;C Hysteroscopy</t>
  </si>
  <si>
    <t>Dacrocystorhinoplasty, R/O Plates Face, Scar Revisi</t>
  </si>
  <si>
    <t>DCR</t>
  </si>
  <si>
    <t>De Quervains Release</t>
  </si>
  <si>
    <t>Decompression And Stabilisation C5/6 (fusion)</t>
  </si>
  <si>
    <t>Decompression Archilles Tendon</t>
  </si>
  <si>
    <t>Decompression Ulnar Nerve</t>
  </si>
  <si>
    <t>Dental Clearance</t>
  </si>
  <si>
    <t>Dental Extraction</t>
  </si>
  <si>
    <t>Dental Fillings</t>
  </si>
  <si>
    <t>Dental Fillings And Extractions CDHB</t>
  </si>
  <si>
    <t>Dental Treatment</t>
  </si>
  <si>
    <t>Dermabrasion</t>
  </si>
  <si>
    <t>DHB - Adenotonsillectomy</t>
  </si>
  <si>
    <t>DHB - Adenotonsillectomy + EUA Ears +/- Grommet</t>
  </si>
  <si>
    <t>DHB - Bilateral Ventilation Tubes + Adenoidectomy</t>
  </si>
  <si>
    <t>DHB Cataract Right</t>
  </si>
  <si>
    <t>DHB - Laparoscopic Left Inguinal Hernia Repair</t>
  </si>
  <si>
    <t>DHB - Rectus Fascia Sling + Anterior/Posterior Rep</t>
  </si>
  <si>
    <t>DHB OUTSOURCED - Coblation Intracapsular Aden</t>
  </si>
  <si>
    <t>DHB OUTSOURCED - Right Epididymal Cyst Excisio</t>
  </si>
  <si>
    <t>Diagnostic Hysteroscopy</t>
  </si>
  <si>
    <t>Diagnostic Hysteroscopy, D&amp;C</t>
  </si>
  <si>
    <t>Diagnostic Laparoscopy</t>
  </si>
  <si>
    <t>Diagnostic Laparotomy &amp; Proceed</t>
  </si>
  <si>
    <t>Dilatation</t>
  </si>
  <si>
    <t>Disc Decompression</t>
  </si>
  <si>
    <t>Discectomy</t>
  </si>
  <si>
    <t>Division Of Hymen</t>
  </si>
  <si>
    <t>Division Tongue Tie</t>
  </si>
  <si>
    <t>Dorsal Extensor Compartment Release</t>
  </si>
  <si>
    <t>Drainage Of Perianal Abscess</t>
  </si>
  <si>
    <t>Dupuytrens</t>
  </si>
  <si>
    <t>Dupuytrens - Carpal Tunnel</t>
  </si>
  <si>
    <t>Dupuytrens Contracture</t>
  </si>
  <si>
    <t>Dupuytrens Release</t>
  </si>
  <si>
    <t>Dupuytrens Release Of Right Ring Finger - CDHB</t>
  </si>
  <si>
    <t>E/O Breast Lump</t>
  </si>
  <si>
    <t>E/O Ganglion</t>
  </si>
  <si>
    <t>Emergency Return To OT To Redo TURP</t>
  </si>
  <si>
    <t>Endoluminal Repair A Aortic Aneurysm</t>
  </si>
  <si>
    <t>Endometrial Ablation</t>
  </si>
  <si>
    <t>Endometrial Resection</t>
  </si>
  <si>
    <t>Endoscopic Nasal Surgey</t>
  </si>
  <si>
    <t>Endoscopic Septoplasty, Bilateral Inferior Turbinopl</t>
  </si>
  <si>
    <t>Endoscopic Sinus Surgery</t>
  </si>
  <si>
    <t>Endoscopic Spinal Fusion</t>
  </si>
  <si>
    <t>Enucleation Lesion Mandible</t>
  </si>
  <si>
    <t>Enucleation, Curretage &amp; Peripheral Osteotomy Of</t>
  </si>
  <si>
    <t>Epicondylar Release</t>
  </si>
  <si>
    <t>Epididymectomy</t>
  </si>
  <si>
    <t>Epigastric Hernia</t>
  </si>
  <si>
    <t>EPOA</t>
  </si>
  <si>
    <t>ERCP</t>
  </si>
  <si>
    <t>ERPOC</t>
  </si>
  <si>
    <t>ERPOC Procedure</t>
  </si>
  <si>
    <t>ESWL</t>
  </si>
  <si>
    <t>ESWL Left</t>
  </si>
  <si>
    <t>ESWL Right</t>
  </si>
  <si>
    <t>ESWL Right Kidney Stones</t>
  </si>
  <si>
    <t>EUA</t>
  </si>
  <si>
    <t>EUA &amp; Haemorroidectomy</t>
  </si>
  <si>
    <t>EUA + Haemorrhoidectomy CDHB</t>
  </si>
  <si>
    <t>EUA + Seton</t>
  </si>
  <si>
    <t>EUA + Seton Insertion</t>
  </si>
  <si>
    <t>EUA +/- Botox</t>
  </si>
  <si>
    <t>EUA +/- Replacement Setons +/- Excision Of Extern</t>
  </si>
  <si>
    <t>EUA And Thiersch Suture</t>
  </si>
  <si>
    <t>EUA, Hysteroscopy D&amp;C, Insertion Of Mirena IUS +</t>
  </si>
  <si>
    <t>EUA, Swabs, Pipelle, Mirena + Paracervical Nerve BI</t>
  </si>
  <si>
    <t>EUA&lt; Excision And Tag And Injection Botox</t>
  </si>
  <si>
    <t>Evacuate Haematoma</t>
  </si>
  <si>
    <t>Evacuation Of Uterus</t>
  </si>
  <si>
    <t>Excise Multiple Lesions Head</t>
  </si>
  <si>
    <t>Excision +/- Closure Of Chronic Pitonidal Disease</t>
  </si>
  <si>
    <t>Excision Bartholins Cyst</t>
  </si>
  <si>
    <t>Excision Biopsy Osteochondrona Right Wrist</t>
  </si>
  <si>
    <t>Excision Breast Lump</t>
  </si>
  <si>
    <t>Excision Epididymal Cyst</t>
  </si>
  <si>
    <t>Excision Ganglia Right Thumb &amp; Right Index Finger</t>
  </si>
  <si>
    <t>Excision Ganglion</t>
  </si>
  <si>
    <t>Excision Hydrocoele</t>
  </si>
  <si>
    <t>Excision Left Dorsal Wrist Ganglion</t>
  </si>
  <si>
    <t>Excision Lesion Left Chest Wall</t>
  </si>
  <si>
    <t>Excision Lipoma</t>
  </si>
  <si>
    <t>Excision Lipoma Right Thoracic Back</t>
  </si>
  <si>
    <t>Excision Mortons Neuroma</t>
  </si>
  <si>
    <t>Excision Of Coccyx</t>
  </si>
  <si>
    <t>Excision Of Foreign Body And Soft Tissue Mass Rig</t>
  </si>
  <si>
    <t>Excision Of Lesion + Direct Closure Left Eyelid</t>
  </si>
  <si>
    <t>Excision Of Leson Scalp And SSG</t>
  </si>
  <si>
    <t>Excision Of Skin Lesion Bridge Of Nose</t>
  </si>
  <si>
    <t>Excision Pilionidal Sinus</t>
  </si>
  <si>
    <t>Excision Skin Tags</t>
  </si>
  <si>
    <t>Excisional Haemorrhiodectomy</t>
  </si>
  <si>
    <t>Excisision And Drainage Anal Fissure</t>
  </si>
  <si>
    <t>Expander/implant Exchange Both Breasts, LAVH/Sa</t>
  </si>
  <si>
    <t>Exposure Of 12 &amp; 23</t>
  </si>
  <si>
    <t>Extended Abdominoplasty</t>
  </si>
  <si>
    <t>External Rhinoplasty</t>
  </si>
  <si>
    <t>External Septorhinoplasty</t>
  </si>
  <si>
    <t>External Septorhinoplasty &amp; Bilateral Inferior Turbin</t>
  </si>
  <si>
    <t>External Septorhinoplasty +/- Turbinoplasty &amp; Cosm</t>
  </si>
  <si>
    <t>External Septorhinoplasty Revision</t>
  </si>
  <si>
    <t>Extraction 18, 28, 38, 48</t>
  </si>
  <si>
    <t>Extraction 18, 28, 38, 48,</t>
  </si>
  <si>
    <t>Extraction 18, 28, 38, 48, 29 + 37</t>
  </si>
  <si>
    <t>Extraction 18, 28; Accessory Extraction 38 + 48</t>
  </si>
  <si>
    <t>Extraction 4 X Wisdom Teeth</t>
  </si>
  <si>
    <t>Extraction Of 18, 28, 38</t>
  </si>
  <si>
    <t>Extraction Of 18, 28, 38, 48</t>
  </si>
  <si>
    <t>Extraction Of 18, 28, 48</t>
  </si>
  <si>
    <t>Extraction Of 18, 38, 48</t>
  </si>
  <si>
    <t>Extraction Of 18, 48</t>
  </si>
  <si>
    <t>Extraction Of 28, 38, 48</t>
  </si>
  <si>
    <t>Extraction Of 47</t>
  </si>
  <si>
    <t>Extraction Of 48</t>
  </si>
  <si>
    <t>Extraction Of Impacted 38 48</t>
  </si>
  <si>
    <t>Extraction Of Teeth 18, 28, 38,48</t>
  </si>
  <si>
    <t>Extraction Of Teeth 38,48</t>
  </si>
  <si>
    <t>Extraction Teeth Of 38, 48</t>
  </si>
  <si>
    <t>Extraction Teeth Of 18, 28</t>
  </si>
  <si>
    <t>Extraction Wisdom Teeth</t>
  </si>
  <si>
    <t>Extreme Mastoidectomy And Tympanopp;asty</t>
  </si>
  <si>
    <t>ExtRhinophasty</t>
  </si>
  <si>
    <t>Face &amp; Neck Lift</t>
  </si>
  <si>
    <t>Face And Neck Lift</t>
  </si>
  <si>
    <t>Face Lift</t>
  </si>
  <si>
    <t>Face Lift &amp; Bilateral Upper Blepharoplasties</t>
  </si>
  <si>
    <t>Fasciectomy</t>
  </si>
  <si>
    <t>Fat Graft Left Breast + Excision Right Flank Lesion -</t>
  </si>
  <si>
    <t>Fat Injection To Right Forearm,</t>
  </si>
  <si>
    <t>Femoral Osteotomy + Nailing Complex</t>
  </si>
  <si>
    <t>Fentons Procedure</t>
  </si>
  <si>
    <t>FESS</t>
  </si>
  <si>
    <t>Fibrin Plug/ Advancement Flap</t>
  </si>
  <si>
    <t>Fistula-in-ano</t>
  </si>
  <si>
    <t>Flexi Sigmoidoscopy + Rubber Band Ligation</t>
  </si>
  <si>
    <t>Flexible Sigmoidoscopy</t>
  </si>
  <si>
    <t>Flexible Sigmoidoscopy &amp; Closure Of Loop Iliesost</t>
  </si>
  <si>
    <t>Flexible Sigmoidoscopy +/- Biopsies</t>
  </si>
  <si>
    <t>Flexible Sigmoidoscopy, Ligature Haemorrhoidecto</t>
  </si>
  <si>
    <t>Formation lleostomy</t>
  </si>
  <si>
    <t>Formation Of Colostomy</t>
  </si>
  <si>
    <t>Frenulectomy</t>
  </si>
  <si>
    <t>Frenuloplasty</t>
  </si>
  <si>
    <t>Full Dental Treatment</t>
  </si>
  <si>
    <t>Functional External Septorhinoplasty</t>
  </si>
  <si>
    <t>FUSION L4 L5 SI MIDLIF DECOMPRESSION</t>
  </si>
  <si>
    <t>Gastroscopy</t>
  </si>
  <si>
    <t>Gastroscopy SOU-177507</t>
  </si>
  <si>
    <t>Gastroscopy &amp; Colonoscopy</t>
  </si>
  <si>
    <t>Gastroscopy &amp; Colonoscopy &amp; Bx</t>
  </si>
  <si>
    <t>Gastroscopy &amp; Dilatation - Amended Invoice</t>
  </si>
  <si>
    <t>Gastroscopy + Balloon - Amended Invoice</t>
  </si>
  <si>
    <t>Gastroscopy + Colonoscopy</t>
  </si>
  <si>
    <t>Gastroscopy + Colonoscopy + Duenal Biopsy</t>
  </si>
  <si>
    <t>Gastroscopy + Flexi Sigmoidoscopy + EUA</t>
  </si>
  <si>
    <t>Gastroscopy, Colonoscopy &amp; Bx - Recall</t>
  </si>
  <si>
    <t>Genioplasty</t>
  </si>
  <si>
    <t>Gluteal Tendon Repair</t>
  </si>
  <si>
    <t>Grommets</t>
  </si>
  <si>
    <t>Gynecomastia</t>
  </si>
  <si>
    <t>Haemorrhoidectomy</t>
  </si>
  <si>
    <t>Haemorrhoidectomy - Bleeding</t>
  </si>
  <si>
    <t>Haemorrhoidectomy, Biopsy, EUA, Coloscopy</t>
  </si>
  <si>
    <t>Haemorrhoidectomy, Injection Botox</t>
  </si>
  <si>
    <t>Haemorrhoidopexy</t>
  </si>
  <si>
    <t>Hallux Valgus Correction</t>
  </si>
  <si>
    <t>HAL-RAR Haemorrhoidectomy</t>
  </si>
  <si>
    <t>Hamorrhoidectomy</t>
  </si>
  <si>
    <t>Hand Surgery</t>
  </si>
  <si>
    <t>Hartmann's Procedure</t>
  </si>
  <si>
    <t>Hartmans Procedure</t>
  </si>
  <si>
    <t>Head Scan</t>
  </si>
  <si>
    <t>Hemi Knee Arthroplasty</t>
  </si>
  <si>
    <t>Hemi Knee Replacement</t>
  </si>
  <si>
    <t>Hemicolectomy</t>
  </si>
  <si>
    <t>Hemorrhoidectomy</t>
  </si>
  <si>
    <t>Hiatal Hernia Repair</t>
  </si>
  <si>
    <t>Hiatal Hernia Repair + lron Infusion</t>
  </si>
  <si>
    <t>Hiatus Hernia Repair</t>
  </si>
  <si>
    <t>Hip Arthroscopy</t>
  </si>
  <si>
    <t>Hip Dislocation</t>
  </si>
  <si>
    <t>Hip Replacement</t>
  </si>
  <si>
    <t>Hip Revision</t>
  </si>
  <si>
    <t>HoLEP</t>
  </si>
  <si>
    <t>Hookwire Localization - Breast Lump</t>
  </si>
  <si>
    <t>Hydrocoele Repair</t>
  </si>
  <si>
    <t>Hypospadias Repair</t>
  </si>
  <si>
    <t>Hysterectomy</t>
  </si>
  <si>
    <t>Hysterectomy &amp; Bilateral Salpingectomy</t>
  </si>
  <si>
    <t>Hysterectomy &amp; Salpingectomy</t>
  </si>
  <si>
    <t>Hysteroscopy</t>
  </si>
  <si>
    <t>Hysteroscopy D &amp;C - Cone Biopsy Of Cervix</t>
  </si>
  <si>
    <t>Hysteroscopy &amp; Biopsy + Resection Of Fibroid Poly</t>
  </si>
  <si>
    <t>Hysteroscopy &amp; Polypectomy</t>
  </si>
  <si>
    <t>Hysteroscopy + D&amp;C + Polypectomy</t>
  </si>
  <si>
    <t>Hysteroscopy + Endometrial Biopsy</t>
  </si>
  <si>
    <t>Hysteroscopy And Biopsy&amp; Polypectomy</t>
  </si>
  <si>
    <t>Hysteroscopy D&amp;C</t>
  </si>
  <si>
    <t>Hysteroscopy D&amp;C + Insertion With Mirena</t>
  </si>
  <si>
    <t>Hysteroscopy D&amp;C + Mirena</t>
  </si>
  <si>
    <t>Incisional Hernia Repair</t>
  </si>
  <si>
    <t>Inferior Turbinoplasty</t>
  </si>
  <si>
    <t>Inguinal Hernia Repair</t>
  </si>
  <si>
    <t>Insertion Artifical Urinary Sphincter Client No 32144</t>
  </si>
  <si>
    <t>Insertion Of ATOMs</t>
  </si>
  <si>
    <t>Insertion Of ATOMs Suburethral Sling (ACC) + Circu</t>
  </si>
  <si>
    <t>Insertion Of Infatable Penile Prosthesis (coloplast Ti</t>
  </si>
  <si>
    <t>Insertion Of Mirena (?? Jaydes)</t>
  </si>
  <si>
    <t>Insertion Of Mirena (?? Jaydes) CDHB</t>
  </si>
  <si>
    <t>Internasal Septorhinoplasty &amp; Cautery To Inferior T</t>
  </si>
  <si>
    <t>Interspinous Stabiliser</t>
  </si>
  <si>
    <t>Intraperitoneal And Abdominal Wall Haemorrhage (t</t>
  </si>
  <si>
    <t>Iron Infusion</t>
  </si>
  <si>
    <t>Knee Arthroscopic</t>
  </si>
  <si>
    <t>Knee Arthroscopic Left CDHB</t>
  </si>
  <si>
    <t>Knee Arthroscopy</t>
  </si>
  <si>
    <t>L4/5 Discectomy &amp; Decompression L5/S1</t>
  </si>
  <si>
    <t>L4/5 Facet Joint Excision &amp; L5 Nerve Root Decompr</t>
  </si>
  <si>
    <t>L5/S1 Anterior Lumbar interbody Fusion</t>
  </si>
  <si>
    <t>L5/S1 Discectomy</t>
  </si>
  <si>
    <t>Labiaplasty</t>
  </si>
  <si>
    <t>Labioplasty</t>
  </si>
  <si>
    <t>Lamellar Keratectomy/EDTA Chelation Of Calcium L</t>
  </si>
  <si>
    <t>Laminectomy</t>
  </si>
  <si>
    <t>Lap Hernia Lap RIH</t>
  </si>
  <si>
    <t>Lap Sleeve Gastrectomy DHB Outsourced</t>
  </si>
  <si>
    <t>Laparoscopic Hysteroscopy</t>
  </si>
  <si>
    <t>Laparoscopic Adhesiolysis</t>
  </si>
  <si>
    <t>Laparoscopic Appendectomy</t>
  </si>
  <si>
    <t>Laparoscopic Appendicectomy</t>
  </si>
  <si>
    <t>Laparoscopic Assisted Vaginal Hysterectomy</t>
  </si>
  <si>
    <t>Laparoscopic Cholecystectomy</t>
  </si>
  <si>
    <t>Laparoscopic Cholecystectomy CDHB</t>
  </si>
  <si>
    <t>Laparoscopic Cholecystectomy &amp; Transcystic Bile</t>
  </si>
  <si>
    <t>Laparoscopic Cholecystectomy + IOC</t>
  </si>
  <si>
    <t>Laparoscopic Cholecystectomy + IOC - CDHB</t>
  </si>
  <si>
    <t>Laparoscopic Cholecystectomy Conversion To Ope</t>
  </si>
  <si>
    <t>Laparoscopic Colostomy</t>
  </si>
  <si>
    <t>Laparoscopic Colposacropexy</t>
  </si>
  <si>
    <t>Laparoscopic Colposuspension</t>
  </si>
  <si>
    <t>Laparoscopic Excision Of Endometriosis + Hystero</t>
  </si>
  <si>
    <t>Laparoscopic Excision Of Stage 1-2 Endometriosis</t>
  </si>
  <si>
    <t>Laparoscopic Fundoplication</t>
  </si>
  <si>
    <t>Laparoscopic Gasric Bypass</t>
  </si>
  <si>
    <t>Laparoscopic Gasric Sleeve</t>
  </si>
  <si>
    <t>Laparoscopic Gastric Banding</t>
  </si>
  <si>
    <t>Laparoscopic Gastric Bypass</t>
  </si>
  <si>
    <t>Laparoscopic Gastric Bypass RYGB</t>
  </si>
  <si>
    <t>Laparoscopic Gastric Sleeve + Open Mesh Repair O</t>
  </si>
  <si>
    <t>Laparoscopic Hemicolectomy</t>
  </si>
  <si>
    <t>Laparoscopic Hernia Repair</t>
  </si>
  <si>
    <t>Laparoscopic Hysterectomy</t>
  </si>
  <si>
    <t>Laparoscopic Hysterectomy.</t>
  </si>
  <si>
    <t>Laparoscopic Left Inguinal Hernia</t>
  </si>
  <si>
    <t>Laparoscopic Left Inguinal Hernia Repair - CDHB</t>
  </si>
  <si>
    <t>Laparoscopic Left Salpingectomy</t>
  </si>
  <si>
    <t>Laparoscopic Liver Resection</t>
  </si>
  <si>
    <t>Laparoscopic Mesh Repair Bilateral Inguinal Hernia</t>
  </si>
  <si>
    <t>Laparoscopic Mesh Repair Of Bilateral Hernia</t>
  </si>
  <si>
    <t>Laparoscopic Nissen Fundoplication</t>
  </si>
  <si>
    <t>Laparoscopic One Anastomosis Gastric Bypass</t>
  </si>
  <si>
    <t>Laparoscopic Oophorectomy</t>
  </si>
  <si>
    <t>Laparoscopic Ovarian Cystectomy</t>
  </si>
  <si>
    <t>Laparoscopic Radical Nephrectomy</t>
  </si>
  <si>
    <t>Laparoscopic Resection Of Endometriosis +/- Adesi</t>
  </si>
  <si>
    <t>Laparoscopic Right Inguinal Hernia</t>
  </si>
  <si>
    <t>Laparoscopic Right Inguinal Hernia Repair</t>
  </si>
  <si>
    <t>Laparoscopic Right Inguinal Hernia Repair P/O 4800</t>
  </si>
  <si>
    <t>Laparoscopic Roux-En-Y Gastric Bypass</t>
  </si>
  <si>
    <t>Laparoscopic Roux-En-Y Gastric Bypass - DHB</t>
  </si>
  <si>
    <t>Laparoscopic RY Gastric Bypass</t>
  </si>
  <si>
    <t>Laparoscopic RY Gastric Bypass Morgagni Mes (Sy</t>
  </si>
  <si>
    <t>Laparoscopic Salpingo-Oophorectomy - Unilateral</t>
  </si>
  <si>
    <t>Laparoscopic Second Stage Right Orchidopexy - D</t>
  </si>
  <si>
    <t>Laparoscopic Sleeve Gastrectomy</t>
  </si>
  <si>
    <t>Laparoscopic Sleeve Gastrectomy - CDHB</t>
  </si>
  <si>
    <t>Laparoscopic Spinal Fusion</t>
  </si>
  <si>
    <t>Laparoscopic Splenectomy</t>
  </si>
  <si>
    <t>Laparoscopic Tubal Ligation</t>
  </si>
  <si>
    <t>Laparoscopically Assisted Vaginal Hysterectomy</t>
  </si>
  <si>
    <t>Laparoscopy</t>
  </si>
  <si>
    <t>Laparoscopy + Excision Of Endometriosis + Jaydes</t>
  </si>
  <si>
    <t>Laparoscopy + Removal Of IUCD</t>
  </si>
  <si>
    <t>Laparoscopy +? Divide Adhesions Resect Endomet</t>
  </si>
  <si>
    <t>Laparotomy</t>
  </si>
  <si>
    <t>Laparotomy Adhesiolysis &amp; Parastomal Mesh Place</t>
  </si>
  <si>
    <t>Laryngectomy</t>
  </si>
  <si>
    <t>Laser Bladder Stones And TURP</t>
  </si>
  <si>
    <t>LAVH</t>
  </si>
  <si>
    <t>Lay Open Low Anal Fistula</t>
  </si>
  <si>
    <t>Le Fort 1 Advancement &amp; Removal Of 18 &amp; 28</t>
  </si>
  <si>
    <t>Left 2nd And 3rd Weil Osteotomies</t>
  </si>
  <si>
    <t>Left Breast Expander Implant Exchange</t>
  </si>
  <si>
    <t>Left Breast Hookwire / Skin Marking Excision Biops</t>
  </si>
  <si>
    <t>Left Breast Reconstruction With DIEP Free Flap + Ri</t>
  </si>
  <si>
    <t>Left Breast Reconstruction With Latissimus Dorsi Fl</t>
  </si>
  <si>
    <t>Left Breast Reduction + Symmetrisation</t>
  </si>
  <si>
    <t>Left Breast Symmetrising Breast Reduction - CDHB</t>
  </si>
  <si>
    <t>Left Carpal And Cubital Tunnel Release</t>
  </si>
  <si>
    <t>Left Carpal Tunnel Decompression</t>
  </si>
  <si>
    <t>Left Carpal Tunnel Release</t>
  </si>
  <si>
    <t>Left Cataract</t>
  </si>
  <si>
    <t>Left Cataract WCDHB</t>
  </si>
  <si>
    <t>Left Cataract - CDHB</t>
  </si>
  <si>
    <t>Left Cataract - DHB</t>
  </si>
  <si>
    <t>Left Cataract - WCDHB</t>
  </si>
  <si>
    <t>Left Cataract &amp; Left Vitrectomy</t>
  </si>
  <si>
    <t>Left Cataract CDHB</t>
  </si>
  <si>
    <t>Left Cataract DHB</t>
  </si>
  <si>
    <t>Left Cataract Extraction And IOL Implant</t>
  </si>
  <si>
    <t>Left Cataract Extraction And Iol Implant CDHB</t>
  </si>
  <si>
    <t>Left Cataract Extraction And Iol Implant - CDHB</t>
  </si>
  <si>
    <t>Left Cataract Extraction And Iol Implant DHB</t>
  </si>
  <si>
    <t>Left Clavicle Removal Plate And Screws</t>
  </si>
  <si>
    <t>Left Closure Of OAC At 27, Removal Of 21, Removal</t>
  </si>
  <si>
    <t>Left Cochlear Implant</t>
  </si>
  <si>
    <t>Left Combined Cataract And DSAEK Corneal Graft</t>
  </si>
  <si>
    <t>Left De Quervains Release +/- Retinacular Flap + Ex</t>
  </si>
  <si>
    <t>Left Direct Anterior Total Hip Replacement</t>
  </si>
  <si>
    <t>Left ESWL</t>
  </si>
  <si>
    <t>Left ESWL - CDHB</t>
  </si>
  <si>
    <t>Left Eustachian Tube Balloon Dilatation</t>
  </si>
  <si>
    <t>Left Hamstring Avulsion Repair</t>
  </si>
  <si>
    <t>Left Hemicolectomy</t>
  </si>
  <si>
    <t>Left Hip Removal Of Plate + Screws</t>
  </si>
  <si>
    <t>Left Hip Replacement</t>
  </si>
  <si>
    <t>Left HWL WF=LE SNB +/- ANC</t>
  </si>
  <si>
    <t>Left HWL WLE</t>
  </si>
  <si>
    <t>Left Inguinal Hernia Repair</t>
  </si>
  <si>
    <t>Left Knee Anterior Cruciate Ligament Reconstructio</t>
  </si>
  <si>
    <t>Left Knee Arthroscopic Medial Meniscal Debrideme</t>
  </si>
  <si>
    <t>Left Knee Arthroscopic Medial Meniscectomy</t>
  </si>
  <si>
    <t>Left Knee Arthroscopic Meniscectomy</t>
  </si>
  <si>
    <t>Left Knee Arthroscopy</t>
  </si>
  <si>
    <t>Left Knee Arthroscopy &amp; Partial Medial Meniscecto</t>
  </si>
  <si>
    <t>Left Knee Arthroscopy &amp; Proceed</t>
  </si>
  <si>
    <t>Left Knee Medial Unicompartmental Knee Replacem</t>
  </si>
  <si>
    <t>Left Knee MUA</t>
  </si>
  <si>
    <t>Left Knee Replacement</t>
  </si>
  <si>
    <t>Left L4/5 Decompression + Discectomy</t>
  </si>
  <si>
    <t>Left L5/S1 Discectomy</t>
  </si>
  <si>
    <t>Left L5/S1 MIS Discectomy</t>
  </si>
  <si>
    <t>Left Labiaplasty</t>
  </si>
  <si>
    <t>Left Lap Varicocele Repair</t>
  </si>
  <si>
    <t>Left Laparoscopic Initial Hernia Repair</t>
  </si>
  <si>
    <t>Left Laparoscopic Initial Hernia Repair And Umbilic</t>
  </si>
  <si>
    <t>Left Little And Ring Finger Dupuytren's Release</t>
  </si>
  <si>
    <t>Left Little Finger Scar Revision</t>
  </si>
  <si>
    <t>Left Macular Hole - Vitrectomy</t>
  </si>
  <si>
    <t>Left Mastectomy (NIB)</t>
  </si>
  <si>
    <t>Left Pterygium SCDHB</t>
  </si>
  <si>
    <t>Left Refractive Lens Exchange</t>
  </si>
  <si>
    <t>Left Release Of Carpal Tunnel + Right Ring And Mid</t>
  </si>
  <si>
    <t>Left Renal Calculus - CDHB</t>
  </si>
  <si>
    <t>Left Sentinel Node Biopsy</t>
  </si>
  <si>
    <t>Left Shoulder Arthroscopic Repair Supraspinatus</t>
  </si>
  <si>
    <t>Left Shoulder Arthroscopic To Open Latarjet</t>
  </si>
  <si>
    <t>Left Shoulder Open Stabilisation - Latarjet Bone Blo</t>
  </si>
  <si>
    <t>Left Skin And Nipple Sparing Mastectomy, SNB And</t>
  </si>
  <si>
    <t>Left Sphenoidotomy</t>
  </si>
  <si>
    <t>Left Total Ankle Replacement</t>
  </si>
  <si>
    <t>Left Total Hip Joint Replacement</t>
  </si>
  <si>
    <t>Left Total Hip Replacement</t>
  </si>
  <si>
    <t>Left Total Hip Replacement CDHB</t>
  </si>
  <si>
    <t>Left Total Hip Replacement COS/ORTHOPADICS</t>
  </si>
  <si>
    <t>Left Total Joint Replacement</t>
  </si>
  <si>
    <t>Left Total Knee Arthroscopy</t>
  </si>
  <si>
    <t>Left Total Knee Joint Replacement</t>
  </si>
  <si>
    <t>Left Total Knee Replacement</t>
  </si>
  <si>
    <t>Left Ventilation Tube, Adenoidectomy</t>
  </si>
  <si>
    <t>Left Vitrectomy</t>
  </si>
  <si>
    <t>Levatorplasty</t>
  </si>
  <si>
    <t>LIAS</t>
  </si>
  <si>
    <t>Lichtenstein Hernia Repair</t>
  </si>
  <si>
    <t>Ligament Repair</t>
  </si>
  <si>
    <t>Lipo Modelling From Abdominal Wall To Infiltrate Ri</t>
  </si>
  <si>
    <t>Lipoabdominoplasty</t>
  </si>
  <si>
    <t>Lipoma Excision</t>
  </si>
  <si>
    <t>Liposuction</t>
  </si>
  <si>
    <t>Liposuction &amp; Incisional Recontouring Of Abdomin</t>
  </si>
  <si>
    <t>Liposuction To Contour Deformity Right Knee</t>
  </si>
  <si>
    <t>Lithotripsy</t>
  </si>
  <si>
    <t>Lletz</t>
  </si>
  <si>
    <t>Low Anterior Resection</t>
  </si>
  <si>
    <t>Lower Body Lift</t>
  </si>
  <si>
    <t>Lower Eyelid Reduction</t>
  </si>
  <si>
    <t>Lumbar Decompression</t>
  </si>
  <si>
    <t>Lumbar Discectomy</t>
  </si>
  <si>
    <t>Lumbar Fusion</t>
  </si>
  <si>
    <t>Lumbar Laminectomy</t>
  </si>
  <si>
    <t>Lumbar Spinal Fusion</t>
  </si>
  <si>
    <t>Lumpectomy</t>
  </si>
  <si>
    <t>Lung Biopsy</t>
  </si>
  <si>
    <t>Malar Implants</t>
  </si>
  <si>
    <t>Mastectomy</t>
  </si>
  <si>
    <t>Mastoidectomy</t>
  </si>
  <si>
    <t>Mastopexy</t>
  </si>
  <si>
    <t>Maxillary Advancement Osteotomy</t>
  </si>
  <si>
    <t>Meatoplasty</t>
  </si>
  <si>
    <t>Medial Rectus Botox - Amended</t>
  </si>
  <si>
    <t>Mesh Repair Parastomal Hernia - CDHB</t>
  </si>
  <si>
    <t>Metacarpal Osteotomy</t>
  </si>
  <si>
    <t>Metatarsal Osteotomy</t>
  </si>
  <si>
    <t>Microdiscectomy</t>
  </si>
  <si>
    <t>Microdochectomy</t>
  </si>
  <si>
    <t>Microlaryngoscopy</t>
  </si>
  <si>
    <t>Microlaryngoscopy &amp; Bronchoscopy</t>
  </si>
  <si>
    <t>Mitral Valve Repair</t>
  </si>
  <si>
    <t>Mitral Valve Replacement</t>
  </si>
  <si>
    <t>Molteno Implant</t>
  </si>
  <si>
    <t>Monarch Repair.</t>
  </si>
  <si>
    <t>Mortons Neuroma</t>
  </si>
  <si>
    <t>MRI</t>
  </si>
  <si>
    <t>MRI Cardiac PURCHASE ORDER NO: 335818</t>
  </si>
  <si>
    <t>MUA Of Left Knee Total Knee Joint Replacement</t>
  </si>
  <si>
    <t>MVR</t>
  </si>
  <si>
    <t>Myomectomy</t>
  </si>
  <si>
    <t>Myringoplasty</t>
  </si>
  <si>
    <t>Nissen Fundoplication</t>
  </si>
  <si>
    <t>Nose ACC Left Lower Eyelide (Self Funded)</t>
  </si>
  <si>
    <t>Oesphangoscopy Pharynoscopy</t>
  </si>
  <si>
    <t>Off Pump CABG</t>
  </si>
  <si>
    <t>One Anastomosis Gastric Bypass</t>
  </si>
  <si>
    <t>Oophorectomy</t>
  </si>
  <si>
    <t>Open AAA Repair</t>
  </si>
  <si>
    <t>Open BIH With Removal Of Penile Tubing</t>
  </si>
  <si>
    <t>Open Debridement Patella Tendon</t>
  </si>
  <si>
    <t>Open Left Inguinal Hernia Repair</t>
  </si>
  <si>
    <t>Open Mesh Inguinal Hernia Repair</t>
  </si>
  <si>
    <t>Open Mesh Repair Left Inguinal Hernia</t>
  </si>
  <si>
    <t>Open Mesh Repair Right Inguinal Hernia</t>
  </si>
  <si>
    <t>Open Preperitoneal Mesh Repair Left Current Femor</t>
  </si>
  <si>
    <t>Open Revision Septoplasty - Bilateral Endoscopic I</t>
  </si>
  <si>
    <t>Open Rhinoplasty</t>
  </si>
  <si>
    <t>Open Salpingectomy &amp; Colposuspension</t>
  </si>
  <si>
    <t>Open Septoplasty, Bilateral Endoscopic Inferior Tur</t>
  </si>
  <si>
    <t>Open Septorhinoplasty</t>
  </si>
  <si>
    <t>Open Septorhinoplasty (Right Ear Cartilage Inlay Gr</t>
  </si>
  <si>
    <t>Open Umbicical Hernia Repair</t>
  </si>
  <si>
    <t>Operating</t>
  </si>
  <si>
    <t>Operating Adenoidectomy,Bilaterl Ventilation Tubes</t>
  </si>
  <si>
    <t>Operating Bilateral Ventilation Tube, Adenoids</t>
  </si>
  <si>
    <t>Optical Urethrotomy</t>
  </si>
  <si>
    <t>Optical Urethrotomy And Circumcision</t>
  </si>
  <si>
    <t>Optical Urethrotomy Urethrotomy</t>
  </si>
  <si>
    <t>Orchidectomy</t>
  </si>
  <si>
    <t>Orchidopexy</t>
  </si>
  <si>
    <t>ORIF</t>
  </si>
  <si>
    <t>Ortic Valve Replacement (tissue) - CDHB</t>
  </si>
  <si>
    <t>Ossiculoplasty</t>
  </si>
  <si>
    <t>Osteotomy</t>
  </si>
  <si>
    <t>Otoplasty - Bilateral DHB</t>
  </si>
  <si>
    <t>Over-erupted 28</t>
  </si>
  <si>
    <t>Panproctocolectomy</t>
  </si>
  <si>
    <t>Paraoesophageal Hernia Repair</t>
  </si>
  <si>
    <t>Parathyroidectomy</t>
  </si>
  <si>
    <t>Parathyroidectomy - Cdhb</t>
  </si>
  <si>
    <t>Parotidectomy</t>
  </si>
  <si>
    <t>PCL Reconstruction</t>
  </si>
  <si>
    <t>Pharyngoscopy</t>
  </si>
  <si>
    <t>Pilonidal Sinus</t>
  </si>
  <si>
    <t>PO 787986 Bilateral Breast Reduction - CDHB</t>
  </si>
  <si>
    <t>POEM - Peroral Endoscopic Myotomy</t>
  </si>
  <si>
    <t>Polypectomy</t>
  </si>
  <si>
    <t>Posterior Body Lift; Fat Grafting Bilateral Breasts</t>
  </si>
  <si>
    <t>Posterior Repair</t>
  </si>
  <si>
    <t>Pre Op Phone Consultations</t>
  </si>
  <si>
    <t>Pre-Op Consultation &amp; Review Of Previous Ana</t>
  </si>
  <si>
    <t>Proceed To LEFT Total Joint Replacement - Amend</t>
  </si>
  <si>
    <t>Proctoscopy</t>
  </si>
  <si>
    <t>Prosthesis Exchange</t>
  </si>
  <si>
    <t>Pterygium</t>
  </si>
  <si>
    <t>Pubovagunal Sling</t>
  </si>
  <si>
    <t>R/O Metalware La/sedative</t>
  </si>
  <si>
    <t>Radical Prostatectomy</t>
  </si>
  <si>
    <t>Rectal Biopsy</t>
  </si>
  <si>
    <t>Rectocoele</t>
  </si>
  <si>
    <t>Rectopexy</t>
  </si>
  <si>
    <t>Reduction Inferior Turbinates</t>
  </si>
  <si>
    <t>Release Left Cubital Tunnel And Left Carpal Tunnel</t>
  </si>
  <si>
    <t>Removal Cyst Right 1st MTP, Excision Benign Lesio</t>
  </si>
  <si>
    <t>Removal Left Distal Radius Screws &amp; Plate AMEND</t>
  </si>
  <si>
    <t>Removal Of 18, 28, 38, 48</t>
  </si>
  <si>
    <t>Removal Of 28 38 48</t>
  </si>
  <si>
    <t>Removal Of 38, 48</t>
  </si>
  <si>
    <t>Removal Of 38, 48, 35</t>
  </si>
  <si>
    <t>Removal Of 48 + Coronectomy Tooth 38</t>
  </si>
  <si>
    <t>Removal Of Breast Implants</t>
  </si>
  <si>
    <t>Removal Of Cyst</t>
  </si>
  <si>
    <t>Removal Of Cyst From Eyelid</t>
  </si>
  <si>
    <t>Removal Of Erupted 28</t>
  </si>
  <si>
    <t>Removal Of Four Wisdom Teeth (18,28,38,48)</t>
  </si>
  <si>
    <t>Removal Of Gastric Band</t>
  </si>
  <si>
    <t>Removal Of Impacted 38,48</t>
  </si>
  <si>
    <t>Removal Of Left Breast Implant, Capsulectmy And I</t>
  </si>
  <si>
    <t>Removal Of Lower Wisdom Teeth (38,48)</t>
  </si>
  <si>
    <t>Removal Of Screws Right Shoulder</t>
  </si>
  <si>
    <t>Removal Of Teeth</t>
  </si>
  <si>
    <t>Removal Of Teeth 28 38 48</t>
  </si>
  <si>
    <t>Removal Of Teeth 28, 38, 48</t>
  </si>
  <si>
    <t>Removal Of Tibial Nail &amp; Tibial Osteotomy</t>
  </si>
  <si>
    <t>Removal Teeth 18 &amp; 17</t>
  </si>
  <si>
    <t>Remove 37</t>
  </si>
  <si>
    <t>Repair ACL</t>
  </si>
  <si>
    <t>Repair Recurrent Umbilical Hernia &amp; Encysted Hae</t>
  </si>
  <si>
    <t>Return To OT: Post Adeno-tonsillectomy Haemorra</t>
  </si>
  <si>
    <t>Return To Theatre -</t>
  </si>
  <si>
    <t>Return To Theatre - Anaphylaxis During Surgery</t>
  </si>
  <si>
    <t>Return To Theatre - Bilateral Removal Of Implants /</t>
  </si>
  <si>
    <t>Return To Theatre - Evacuation Of Haematoma</t>
  </si>
  <si>
    <t>Return To Theatre - Exploration Left Lateral Knee W</t>
  </si>
  <si>
    <t>Return To Theatre - Exploration Umbilical Port Site</t>
  </si>
  <si>
    <t>Return To Theatre - Washout Spine, Dural Patch/ Re</t>
  </si>
  <si>
    <t>Reversal Of Hartmanns</t>
  </si>
  <si>
    <t>Reversal Of lleostomy</t>
  </si>
  <si>
    <t>Reversal Sterilization</t>
  </si>
  <si>
    <t>Revision ACL</t>
  </si>
  <si>
    <t>Revision Bilateral Breast Augmentation - Capsulect</t>
  </si>
  <si>
    <t>Revision Bilateral Comprehensive Ensoscopic Sinu</t>
  </si>
  <si>
    <t>Revision Bilateral FESS/Polypectomy</t>
  </si>
  <si>
    <t>Revision L4/5 Discectomy</t>
  </si>
  <si>
    <t>Revision Of Left Total Knee Replacement</t>
  </si>
  <si>
    <t>Revision Right Ankle Fusion</t>
  </si>
  <si>
    <t>Revision Right Total Hip Replacement</t>
  </si>
  <si>
    <t>Revision Total Hip Replacement</t>
  </si>
  <si>
    <t>Revision Turbinoplasty + Ossiculoplasty</t>
  </si>
  <si>
    <t>Rhinoplasty</t>
  </si>
  <si>
    <t>Rhinoplasty And Revision Right DCR Scar</t>
  </si>
  <si>
    <t>Richt Cataract Extraction And IOL Implant</t>
  </si>
  <si>
    <t>Right 1st MTP Fusion</t>
  </si>
  <si>
    <t>Right ACL Reconstruction Right Patella Tightrope</t>
  </si>
  <si>
    <t>Right Ankle Removal Of Metalware</t>
  </si>
  <si>
    <t>Right Breast Correction Of Asymmetry With Sub-Gl</t>
  </si>
  <si>
    <t>Right Carpal Tunnel</t>
  </si>
  <si>
    <t>Right Carpal Tunnel Decompression</t>
  </si>
  <si>
    <t>Right Carpal Tunnel Release</t>
  </si>
  <si>
    <t>Right Carpal Tunnel ReleaseRight Elbow Nirchl Pro</t>
  </si>
  <si>
    <t>Right Cataract</t>
  </si>
  <si>
    <t>Right CATARACT CDHB</t>
  </si>
  <si>
    <t>Right Cataract WCDHB</t>
  </si>
  <si>
    <t>Right Cataract CDHB</t>
  </si>
  <si>
    <t>Right Cataract - CDHB</t>
  </si>
  <si>
    <t>Right CATARACT WCDHB</t>
  </si>
  <si>
    <t>Right Cataract - WCDHB</t>
  </si>
  <si>
    <t>Right Cataract + Vitrectomy</t>
  </si>
  <si>
    <t>Right Cataract DHB</t>
  </si>
  <si>
    <t>Right Cataract Extraction And Iol Implant - Local (M</t>
  </si>
  <si>
    <t>Right Cataract Extraction And Iol Implant CDHB</t>
  </si>
  <si>
    <t>Right Cataract Extraction And Iol Implant DHB</t>
  </si>
  <si>
    <t>Right Cochlear Implant - ACC</t>
  </si>
  <si>
    <t>Right Cubital Tunnel Release</t>
  </si>
  <si>
    <t>Right Direct Anterior Total Hip Replacement</t>
  </si>
  <si>
    <t>Right Direct Anterior Total Hip Replacement With A</t>
  </si>
  <si>
    <t>Right Dupuytrens Release - CDHB</t>
  </si>
  <si>
    <t>Right Elbow Repair Medial Ligament</t>
  </si>
  <si>
    <t>Right Endoscopic DCR</t>
  </si>
  <si>
    <t>Right ESWL</t>
  </si>
  <si>
    <t>Right ESWL (renal) - CDHB</t>
  </si>
  <si>
    <t>Right Foot - Arthrodesis DIPJ Second Toe And Revi</t>
  </si>
  <si>
    <t>Right Hemi Knee Replacement</t>
  </si>
  <si>
    <t>Right Hip Replacement</t>
  </si>
  <si>
    <t>Right Hip Replacement And</t>
  </si>
  <si>
    <t>Right Inguinal Orchidectomy + Insertion Of Testicul</t>
  </si>
  <si>
    <t>Right Knee ACL Reconstruction</t>
  </si>
  <si>
    <t>Right Knee Arthroscopic Meniscectomy</t>
  </si>
  <si>
    <t>Right Knee Arthroscopy + Partial Medical Meniscect</t>
  </si>
  <si>
    <t>Right Knee Medial Oxford UKR</t>
  </si>
  <si>
    <t>Right Knee Replacement</t>
  </si>
  <si>
    <t>Right L1/2 Lumbar Discectomy</t>
  </si>
  <si>
    <t>Right Laparoscopic Pyeloplasty - CDHB</t>
  </si>
  <si>
    <t>Right Mastectomy</t>
  </si>
  <si>
    <t>Right Mastectomy + ANC + Left Breast Reduction (w</t>
  </si>
  <si>
    <t>Right Medial Uni Knee Replacement - COS</t>
  </si>
  <si>
    <t>Right NLDO Recanalisation With Stent</t>
  </si>
  <si>
    <t>Right Oxford Medial Uni Knee Replacement</t>
  </si>
  <si>
    <t>Right Refractive Lens Exchange</t>
  </si>
  <si>
    <t>Right Shoulder</t>
  </si>
  <si>
    <t>Right Shoulder Arthroscopic Debridement +/- Cuff R</t>
  </si>
  <si>
    <t>Right Shoulder Arthroscopic Repair Of Subscapular</t>
  </si>
  <si>
    <t>Right Shoulder Hemi Arthroplasty Pyrocarbon Head</t>
  </si>
  <si>
    <t>Right Temporo Mandibular Joint Replacement</t>
  </si>
  <si>
    <t>Right Thumb Trapeziectomy</t>
  </si>
  <si>
    <t>Right Total Hip Joint Replacement</t>
  </si>
  <si>
    <t>Right Total Hip Replacement</t>
  </si>
  <si>
    <t>Right Total Hip Replacement - Amended</t>
  </si>
  <si>
    <t>Right Total Hip Replacement WCDHB</t>
  </si>
  <si>
    <t>Right Total Joint Replacement</t>
  </si>
  <si>
    <t>Right Total Knee Arthroscopy</t>
  </si>
  <si>
    <t>Right Total Knee Joint Replacement</t>
  </si>
  <si>
    <t>Right Total Knee Replacement</t>
  </si>
  <si>
    <t>Right Total Shoulder Replacement</t>
  </si>
  <si>
    <t>Right Ulnar Decompression +/- Transposition</t>
  </si>
  <si>
    <t>Right Uni Compartmental Knee Replacement Surger</t>
  </si>
  <si>
    <t>Right Uni Knee Replacement</t>
  </si>
  <si>
    <t>Right Uni Knee Replacement - DHB</t>
  </si>
  <si>
    <t>Right Unicompartmental Knee Replacement CDHB</t>
  </si>
  <si>
    <t>Right Upper Lid Blephs</t>
  </si>
  <si>
    <t>Right Upper Lid Scar Revision</t>
  </si>
  <si>
    <t>Right Upper Lobectomy VATS - CDHB</t>
  </si>
  <si>
    <t>Right Virectomy</t>
  </si>
  <si>
    <t>Right Vitrectomy</t>
  </si>
  <si>
    <t>Right Wrist Doral Ganglion</t>
  </si>
  <si>
    <t>Rigid Cystoscopy + Biopsy + Diathermy</t>
  </si>
  <si>
    <t>Robot Assisted Laparoscopic Prostatectomy</t>
  </si>
  <si>
    <t>Robot Assisted Radical Prostatectomy</t>
  </si>
  <si>
    <t>Robot Radical Prostatectomy</t>
  </si>
  <si>
    <t>Robotic Assisted Laparoscopic Prostatectomy</t>
  </si>
  <si>
    <t>Robotic Assisted Radical Prostatectomy</t>
  </si>
  <si>
    <t>Robotic Radical Prostatectomy</t>
  </si>
  <si>
    <t>Rotator Cuff Repair</t>
  </si>
  <si>
    <t>ROXO Vertical Abdominoplasty</t>
  </si>
  <si>
    <t>Rsion &amp; Formation Of Gastrojejunostomy (SX Ins)</t>
  </si>
  <si>
    <t>S1/2 Posterolateral Fusion</t>
  </si>
  <si>
    <t>Scaphoid ORIF</t>
  </si>
  <si>
    <t>Scar Revision - Abdoment</t>
  </si>
  <si>
    <t>Scleral Fixation Of IOL</t>
  </si>
  <si>
    <t>Seed Insertion Brachytherapy</t>
  </si>
  <si>
    <t>Sentinal Node Biopsy</t>
  </si>
  <si>
    <t>Septal Manipulation, Turbinoplasty</t>
  </si>
  <si>
    <t>Septoplasty</t>
  </si>
  <si>
    <t>Septoplasty - Turbinoplasty</t>
  </si>
  <si>
    <t>Septoplasty &amp; Bil Endoscopic Inferior Turbinoplasty</t>
  </si>
  <si>
    <t>Septoplasty &amp; Turbinoplasty</t>
  </si>
  <si>
    <t>Septoplasty And Bilateral Inferior Turbinoplasty</t>
  </si>
  <si>
    <t>Septoplasty And Left Inferior Turbinoplasty</t>
  </si>
  <si>
    <t>Septoplasty, ESS, Uvulopalatoplasty</t>
  </si>
  <si>
    <t>Septoplasty, Turbinoplasty, Tonsillectomy</t>
  </si>
  <si>
    <t>Septorhinoplasty</t>
  </si>
  <si>
    <t>Seton</t>
  </si>
  <si>
    <t>Shoulder Decompression</t>
  </si>
  <si>
    <t>Shoulder Repair</t>
  </si>
  <si>
    <t>Sigmoidoscopy</t>
  </si>
  <si>
    <t>Silicone Gel Implant - Right Mastopexy</t>
  </si>
  <si>
    <t>Simple Bascom Procedure</t>
  </si>
  <si>
    <t>Single Level Decompression Fusion L4/5 And Singl</t>
  </si>
  <si>
    <t>Sleeve Gastrectomy</t>
  </si>
  <si>
    <t>Sleeve Gastrectomy (STG Trust Funded)</t>
  </si>
  <si>
    <t>Sleeve Gastrectomy CDHB</t>
  </si>
  <si>
    <t>Sleeve Gastrectomy To Roux-en-Y Gastric Bypass</t>
  </si>
  <si>
    <t>Sling Colposuspension</t>
  </si>
  <si>
    <t>Sphincterotomy</t>
  </si>
  <si>
    <t>Spinal Decompression</t>
  </si>
  <si>
    <t>Spinal Fusion</t>
  </si>
  <si>
    <t>Spinal Instrumentation</t>
  </si>
  <si>
    <t>Splenectomy</t>
  </si>
  <si>
    <t>Split Account - Bilateral Endoscopic Sinus Surgery</t>
  </si>
  <si>
    <t>Split Account - Circumcision</t>
  </si>
  <si>
    <t>Split Account - Colonoscopy</t>
  </si>
  <si>
    <t>Split Account - Colonoscopy + Polypectomy</t>
  </si>
  <si>
    <t>Split Account - Enoscopic Transnasal Coblation Ad</t>
  </si>
  <si>
    <t>Split Account - Extraction 18, 28, 38</t>
  </si>
  <si>
    <t>Split Account - Extractions Of Impacted Teeth</t>
  </si>
  <si>
    <t>Split Account - Flexible Sigmoidoscopy</t>
  </si>
  <si>
    <t>Split Account - Gastroscopy + Colonoscopy</t>
  </si>
  <si>
    <t>Split Account - Hiatal Hernia Repair</t>
  </si>
  <si>
    <t>Split Account - Hiatus Hernia Repair + Roux En Y</t>
  </si>
  <si>
    <t>Split Account - Removal Teeth 48</t>
  </si>
  <si>
    <t>Split Account - Right Inguinal Hernia - SXAP</t>
  </si>
  <si>
    <t>Split Account - Right Shoulder Arthroscopic Repair</t>
  </si>
  <si>
    <t>Split Account - WLE Melanoma Right Anterior Leg</t>
  </si>
  <si>
    <t>Squint Repair</t>
  </si>
  <si>
    <t>Staging Laparoscopy</t>
  </si>
  <si>
    <t>Stapedectomy</t>
  </si>
  <si>
    <t>Strabismus</t>
  </si>
  <si>
    <t>Subacromial Decompression</t>
  </si>
  <si>
    <t>Submandibular Gland</t>
  </si>
  <si>
    <t>Subtotal Colectomy</t>
  </si>
  <si>
    <t>Supra Umbilical Hernia</t>
  </si>
  <si>
    <t>Surgical Extractions Of Teeth 38 And 48</t>
  </si>
  <si>
    <t>Surgical Removal Tooth 18 28</t>
  </si>
  <si>
    <t>Suspected Anaphylaxis</t>
  </si>
  <si>
    <t>Sutured Paraumbilical Hernia Repair</t>
  </si>
  <si>
    <t>Syringe And Probe</t>
  </si>
  <si>
    <t>T11/12 Laminoplasty + Resection Intradural Extra</t>
  </si>
  <si>
    <t>Tendon Transfer</t>
  </si>
  <si>
    <t>Tennis Elbow Release</t>
  </si>
  <si>
    <t>Tenolysis</t>
  </si>
  <si>
    <t>Thumb Osteotomy</t>
  </si>
  <si>
    <t>Thymectomy</t>
  </si>
  <si>
    <t>Thyroid Lobectomy</t>
  </si>
  <si>
    <t>Thyroidectomy</t>
  </si>
  <si>
    <t>Tibial Osteotomy</t>
  </si>
  <si>
    <t>Titanium Cranioplasty</t>
  </si>
  <si>
    <t>Tongue Tie Release</t>
  </si>
  <si>
    <t>Tonsillectomy</t>
  </si>
  <si>
    <t>Tonsillectomy - CDHB</t>
  </si>
  <si>
    <t>Tonsillectomy - St Georges Philanthropic Fund</t>
  </si>
  <si>
    <t>Tonsillectomy (bizact) Phillantropic Case</t>
  </si>
  <si>
    <t>Total Hip Joint Replacement</t>
  </si>
  <si>
    <t>Total Hip Replacement</t>
  </si>
  <si>
    <t>Total Hip Revision</t>
  </si>
  <si>
    <t>Total Knee Joint Replacement</t>
  </si>
  <si>
    <t>Total Knee Joint Replacement - Right</t>
  </si>
  <si>
    <t>Total Knee Replacement - Left</t>
  </si>
  <si>
    <t>Total Laparoscoipe Hysterectomy + Bilateral Salpin</t>
  </si>
  <si>
    <t>Total Left Knee Joint Replacement</t>
  </si>
  <si>
    <t>Total Removal Of Artificial Urinary Sphincter +/- Re</t>
  </si>
  <si>
    <t>Total Thyroidectomy</t>
  </si>
  <si>
    <t>Trabeculectomy</t>
  </si>
  <si>
    <t>Transperineal Prostate Biopsy</t>
  </si>
  <si>
    <t>Transperineal Prostate Biopsy CDHB</t>
  </si>
  <si>
    <t>Transurethral Resection Of Prostate</t>
  </si>
  <si>
    <t>Transurethral Resection Prostate</t>
  </si>
  <si>
    <t>TUR Bladder Tumour + Epirubicin</t>
  </si>
  <si>
    <t>Turbinoplasty</t>
  </si>
  <si>
    <t>TURBT</t>
  </si>
  <si>
    <t>TURBT - CDHB</t>
  </si>
  <si>
    <t>TURP</t>
  </si>
  <si>
    <t>TVT Pubovaginal Sling</t>
  </si>
  <si>
    <t>TVT SLING</t>
  </si>
  <si>
    <t>TWO0806377 - Total Removal Of TVT Sling</t>
  </si>
  <si>
    <t>Tympanoplasty</t>
  </si>
  <si>
    <t>Ulna Nerve Release</t>
  </si>
  <si>
    <t>Ulnar Nerve Decompression +/-Transposition +/- Epi</t>
  </si>
  <si>
    <t>Umbilical Hernia Repair</t>
  </si>
  <si>
    <t>Unilateral Laparoscopic Hernia Inguinal - Right</t>
  </si>
  <si>
    <t>UPPP</t>
  </si>
  <si>
    <t>UPPPP</t>
  </si>
  <si>
    <t>Ureteric Reimplant</t>
  </si>
  <si>
    <t>Ureteroscopic Laser Stone Extraction</t>
  </si>
  <si>
    <t>Ureteroscopy</t>
  </si>
  <si>
    <t>Urethroplasty</t>
  </si>
  <si>
    <t>Urethrotomy</t>
  </si>
  <si>
    <t>Uvulectomy</t>
  </si>
  <si>
    <t>Uvulopalatopharyngoplasty</t>
  </si>
  <si>
    <t>Uvulopalatoplasty</t>
  </si>
  <si>
    <t>Vaginal Hysterectomy</t>
  </si>
  <si>
    <t>Varicose Veins</t>
  </si>
  <si>
    <t>Vasectomy</t>
  </si>
  <si>
    <t>Vasectomy Reversal</t>
  </si>
  <si>
    <t>Ventilation Tubes</t>
  </si>
  <si>
    <t>Ventral Hernia Repair</t>
  </si>
  <si>
    <t>Vitrectomy</t>
  </si>
  <si>
    <t>Vitrectomy - Left</t>
  </si>
  <si>
    <t>Vitrectomy - Right</t>
  </si>
  <si>
    <t>Vitrectomy/left Phaco</t>
  </si>
  <si>
    <t>WCDCataract Right Phaco/IOL</t>
  </si>
  <si>
    <t>WCDHB - Left Cataract</t>
  </si>
  <si>
    <t>WCDHB - Right Cataract</t>
  </si>
  <si>
    <t>WDHB - Left Cataract</t>
  </si>
  <si>
    <t>Wide Excision M/M Leg ? Sentinel Node Excision In</t>
  </si>
  <si>
    <t>Traceability</t>
  </si>
  <si>
    <t>Anaesthesia Fee Schedule — Master Source File</t>
  </si>
  <si>
    <t>Read this first. Explains what the workbook does, where the data comes from and how new fee schedules are added.</t>
  </si>
  <si>
    <t>1. Purpose</t>
  </si>
  <si>
    <t>What it is</t>
  </si>
  <si>
    <t>One unified list of anaesthetist fees for operations/procedures, drawn from many surgeons' offices, providers and payers.</t>
  </si>
  <si>
    <t>Why</t>
  </si>
  <si>
    <t>So a single lookup answers: what is the fee for this operation, for this provider/payer, and where did that number come from?</t>
  </si>
  <si>
    <t>How</t>
  </si>
  <si>
    <t>Each source document gets its own extract tab (kept as a faithful copy). The rows are then merged into 'Operation Listing' with a Source ID linking back.</t>
  </si>
  <si>
    <t>Rule</t>
  </si>
  <si>
    <t>Never type a fee into the master without a Source ID. Every row must be traceable to a register entry below and a page in the original document.</t>
  </si>
  <si>
    <t>2. How the tabs fit together</t>
  </si>
  <si>
    <t>Tab</t>
  </si>
  <si>
    <t>Role</t>
  </si>
  <si>
    <t>Contains</t>
  </si>
  <si>
    <t>Changed when</t>
  </si>
  <si>
    <t>Info</t>
  </si>
  <si>
    <t>Guide + source register</t>
  </si>
  <si>
    <t>A new source is added</t>
  </si>
  <si>
    <t>SRC-xx &lt;Name&gt;</t>
  </si>
  <si>
    <t>One tab per source</t>
  </si>
  <si>
    <t>Faithful extract of one document: codes, descriptions, fees, page refs as printed.</t>
  </si>
  <si>
    <t>Created once per document</t>
  </si>
  <si>
    <t>Data Sources</t>
  </si>
  <si>
    <t>Audit log (auto-created)</t>
  </si>
  <si>
    <t>Only if needed</t>
  </si>
  <si>
    <t>3. Source register</t>
  </si>
  <si>
    <t>Source ID</t>
  </si>
  <si>
    <t>Document (file name)</t>
  </si>
  <si>
    <t>Provider / issuer</t>
  </si>
  <si>
    <t>Fee basis</t>
  </si>
  <si>
    <t>Effective date</t>
  </si>
  <si>
    <t>GST basis</t>
  </si>
  <si>
    <t>Extract tab</t>
  </si>
  <si>
    <t>Status</t>
  </si>
  <si>
    <t>Rows in master</t>
  </si>
  <si>
    <t>Notes</t>
  </si>
  <si>
    <t>SRC-00</t>
  </si>
  <si>
    <t>RVG units × $ rate</t>
  </si>
  <si>
    <t>Unknown</t>
  </si>
  <si>
    <t>Merged</t>
  </si>
  <si>
    <t>SRC-01</t>
  </si>
  <si>
    <t>NZSA RVG 2021.pdf</t>
  </si>
  <si>
    <t>NZ Society of Anaesthetists</t>
  </si>
  <si>
    <t>Reference – units only</t>
  </si>
  <si>
    <t>n/a</t>
  </si>
  <si>
    <t>SRC-02</t>
  </si>
  <si>
    <t>Christchurch Eye Fixed Fee Contracts 1 April 2026 for Anaesthetists .pdf</t>
  </si>
  <si>
    <t>Christchurch Eye Surgery (CESL)</t>
  </si>
  <si>
    <t>Fixed fee</t>
  </si>
  <si>
    <t>Various (see notes)</t>
  </si>
  <si>
    <t>Excl. &amp; Incl. GST</t>
  </si>
  <si>
    <t>SRC-02 CESL</t>
  </si>
  <si>
    <t>Pending extraction</t>
  </si>
  <si>
    <t>SRC-03</t>
  </si>
  <si>
    <t>SXAP MIGS  FEE SCHEDULE FOR ANAESTHETISTS 1 April 2026.pdf</t>
  </si>
  <si>
    <t>Southern Cross Affiliated Provider</t>
  </si>
  <si>
    <t>Incl. GST only</t>
  </si>
  <si>
    <t>SRC-03 SXAP MIGS</t>
  </si>
  <si>
    <t>4 payer blocks: SX AP Cataract &amp; Vitrectomy (1 Apr 2026), HNZ (1 Oct 2025), ACC OPT101 (1 Mar 2025). Includes add-ons and time bands.</t>
  </si>
  <si>
    <t>Codes AP1313–AP1320, MIGS Cat A/B, GA vs LA, standalone vs add-on to cataract ($405).</t>
  </si>
  <si>
    <t>Column</t>
  </si>
  <si>
    <t>Field</t>
  </si>
  <si>
    <t>Meaning / rule</t>
  </si>
  <si>
    <t>A</t>
  </si>
  <si>
    <t>B</t>
  </si>
  <si>
    <t>H</t>
  </si>
  <si>
    <t>I</t>
  </si>
  <si>
    <t>Links to the source register, e.g. SRC-02. Mandatory on every row.</t>
  </si>
  <si>
    <t>J</t>
  </si>
  <si>
    <t>K</t>
  </si>
  <si>
    <t>L</t>
  </si>
  <si>
    <t>M</t>
  </si>
  <si>
    <t>N</t>
  </si>
  <si>
    <t>O</t>
  </si>
  <si>
    <t>Date the fee applies from.</t>
  </si>
  <si>
    <t>P</t>
  </si>
  <si>
    <t>GST rate (input)</t>
  </si>
  <si>
    <t>5. Workflow – adding a new source document</t>
  </si>
  <si>
    <t>Step 1</t>
  </si>
  <si>
    <t>Start a new chat. Upload ONE fee document and paste the prompt from section 7.</t>
  </si>
  <si>
    <t>Step 2</t>
  </si>
  <si>
    <t>Claude adds a register row here: next Source ID (SRC-04, SRC-05 …), file name, provider, effective date, GST basis, status 'Extracting'.</t>
  </si>
  <si>
    <t>Step 3</t>
  </si>
  <si>
    <t>Claude creates tab 'SRC-xx &lt;Short Name&gt;' with a faithful extract: page, code, description, fees exactly as printed, conditions.</t>
  </si>
  <si>
    <t>Step 4</t>
  </si>
  <si>
    <t>Step 5</t>
  </si>
  <si>
    <t>Duplicates across sources are kept (different providers/payers can charge differently) – Source ID tells them apart.</t>
  </si>
  <si>
    <t>Step 6</t>
  </si>
  <si>
    <t>Status → 'Merged'. Check 'Rows in master' matches the row count on the extract tab.</t>
  </si>
  <si>
    <t>Step 7</t>
  </si>
  <si>
    <t>If a provider issues a new schedule, add a NEW Source ID; set the old one's status to 'Superseded' (keep its rows for history).</t>
  </si>
  <si>
    <t>6. Conventions</t>
  </si>
  <si>
    <t>Status values</t>
  </si>
  <si>
    <t>Pending extraction | Extracting | Merged | Reference only | Superseded</t>
  </si>
  <si>
    <t>Tab names</t>
  </si>
  <si>
    <t>SRC-xx + short provider name (max 31 characters), e.g. 'SRC-02 CESL'.</t>
  </si>
  <si>
    <t>Fees</t>
  </si>
  <si>
    <t>Record as printed. Where a fee is an add-on (e.g. MIGS + cataract), record the add-on amount and note the combined total in Notes.</t>
  </si>
  <si>
    <t>Time-based fees</t>
  </si>
  <si>
    <t>One row per time band (e.g. Vitrectomy up to 60 / 61–90 / 90–120 mins, plus 'per extra 15 mins').</t>
  </si>
  <si>
    <t>Colours</t>
  </si>
  <si>
    <t>Each SRC tab carries a note on its top-left header cell: file name + date uploaded.</t>
  </si>
  <si>
    <t>7. Starter prompt for a new chat (copy &amp; paste with the uploaded document)</t>
  </si>
  <si>
    <t>Last updated: 28 Sep 2026</t>
  </si>
  <si>
    <t>1 Apr 2026</t>
  </si>
  <si>
    <t>NZSA RVG 2021 – Base Units Reference</t>
  </si>
  <si>
    <t>Lookup table for Master Fee List columns A–B. Structure only – to be populated from SRC-01 (NZSA RVG 2021.pdf, Section II 'Base units for standard procedures') in a future chat.</t>
  </si>
  <si>
    <t>Code</t>
  </si>
  <si>
    <t>Region</t>
  </si>
  <si>
    <t>Sub-category</t>
  </si>
  <si>
    <t>Procedure</t>
  </si>
  <si>
    <t>Base Units</t>
  </si>
  <si>
    <t>Max Units</t>
  </si>
  <si>
    <t>RVG Code</t>
  </si>
  <si>
    <t>RVG Base Units</t>
  </si>
  <si>
    <t>Operation / Description</t>
  </si>
  <si>
    <t>Provider / Payer</t>
  </si>
  <si>
    <t>Fee Code</t>
  </si>
  <si>
    <t>Fee Basis</t>
  </si>
  <si>
    <t>Basic Units</t>
  </si>
  <si>
    <t>Time Units</t>
  </si>
  <si>
    <t>Modifying Units</t>
  </si>
  <si>
    <t>Total Units</t>
  </si>
  <si>
    <t>Fee as Printed</t>
  </si>
  <si>
    <t>GST Basis</t>
  </si>
  <si>
    <t>Fee Excl. GST</t>
  </si>
  <si>
    <t>Fee Incl. GST</t>
  </si>
  <si>
    <t>Implied $/Unit</t>
  </si>
  <si>
    <t>Effective Date</t>
  </si>
  <si>
    <t>Source Ref</t>
  </si>
  <si>
    <t>Notes / Conditions</t>
  </si>
  <si>
    <t>Solutions Plus</t>
  </si>
  <si>
    <t>RVG units</t>
  </si>
  <si>
    <t>S+ row 2</t>
  </si>
  <si>
    <t>S+ row 3</t>
  </si>
  <si>
    <t>S+ row 4</t>
  </si>
  <si>
    <t>S+ row 5</t>
  </si>
  <si>
    <t>S+ row 6</t>
  </si>
  <si>
    <t>S+ row 7</t>
  </si>
  <si>
    <t>S+ row 8</t>
  </si>
  <si>
    <t>S+ row 9</t>
  </si>
  <si>
    <t>S+ row 10</t>
  </si>
  <si>
    <t>S+ row 11</t>
  </si>
  <si>
    <t>S+ row 12</t>
  </si>
  <si>
    <t>S+ row 13</t>
  </si>
  <si>
    <t>S+ row 14</t>
  </si>
  <si>
    <t>S+ row 15</t>
  </si>
  <si>
    <t>S+ row 16</t>
  </si>
  <si>
    <t>S+ row 17</t>
  </si>
  <si>
    <t>S+ row 18</t>
  </si>
  <si>
    <t>S+ row 19</t>
  </si>
  <si>
    <t>S+ row 20</t>
  </si>
  <si>
    <t>S+ row 21</t>
  </si>
  <si>
    <t>S+ row 22</t>
  </si>
  <si>
    <t>S+ row 23</t>
  </si>
  <si>
    <t>S+ row 24</t>
  </si>
  <si>
    <t>S+ row 25</t>
  </si>
  <si>
    <t>S+ row 26</t>
  </si>
  <si>
    <t>S+ row 27</t>
  </si>
  <si>
    <t>S+ row 28</t>
  </si>
  <si>
    <t>S+ row 29</t>
  </si>
  <si>
    <t>S+ row 30</t>
  </si>
  <si>
    <t>S+ row 31</t>
  </si>
  <si>
    <t>S+ row 32</t>
  </si>
  <si>
    <t>S+ row 33</t>
  </si>
  <si>
    <t>S+ row 34</t>
  </si>
  <si>
    <t>S+ row 35</t>
  </si>
  <si>
    <t>S+ row 36</t>
  </si>
  <si>
    <t>S+ row 37</t>
  </si>
  <si>
    <t>S+ row 38</t>
  </si>
  <si>
    <t>S+ row 39</t>
  </si>
  <si>
    <t>S+ row 40</t>
  </si>
  <si>
    <t>S+ row 41</t>
  </si>
  <si>
    <t>S+ row 42</t>
  </si>
  <si>
    <t>S+ row 43</t>
  </si>
  <si>
    <t>S+ row 44</t>
  </si>
  <si>
    <t>S+ row 45</t>
  </si>
  <si>
    <t>S+ row 46</t>
  </si>
  <si>
    <t>S+ row 47</t>
  </si>
  <si>
    <t>S+ row 48</t>
  </si>
  <si>
    <t>S+ row 49</t>
  </si>
  <si>
    <t>S+ row 50</t>
  </si>
  <si>
    <t>S+ row 51</t>
  </si>
  <si>
    <t>S+ row 52</t>
  </si>
  <si>
    <t>S+ row 53</t>
  </si>
  <si>
    <t>S+ row 54</t>
  </si>
  <si>
    <t>S+ row 55</t>
  </si>
  <si>
    <t>S+ row 56</t>
  </si>
  <si>
    <t>S+ row 57</t>
  </si>
  <si>
    <t>S+ row 58</t>
  </si>
  <si>
    <t>S+ row 59</t>
  </si>
  <si>
    <t>S+ row 60</t>
  </si>
  <si>
    <t>S+ row 61</t>
  </si>
  <si>
    <t>S+ row 62</t>
  </si>
  <si>
    <t>S+ row 63</t>
  </si>
  <si>
    <t>S+ row 64</t>
  </si>
  <si>
    <t>S+ row 65</t>
  </si>
  <si>
    <t>S+ row 66</t>
  </si>
  <si>
    <t>S+ row 67</t>
  </si>
  <si>
    <t>S+ row 68</t>
  </si>
  <si>
    <t>S+ row 69</t>
  </si>
  <si>
    <t>S+ row 70</t>
  </si>
  <si>
    <t>S+ row 71</t>
  </si>
  <si>
    <t>S+ row 72</t>
  </si>
  <si>
    <t>S+ row 73</t>
  </si>
  <si>
    <t>S+ row 74</t>
  </si>
  <si>
    <t>S+ row 75</t>
  </si>
  <si>
    <t>S+ row 76</t>
  </si>
  <si>
    <t>S+ row 77</t>
  </si>
  <si>
    <t>S+ row 78</t>
  </si>
  <si>
    <t>S+ row 79</t>
  </si>
  <si>
    <t>S+ row 80</t>
  </si>
  <si>
    <t>S+ row 81</t>
  </si>
  <si>
    <t>S+ row 82</t>
  </si>
  <si>
    <t>S+ row 83</t>
  </si>
  <si>
    <t>S+ row 84</t>
  </si>
  <si>
    <t>S+ row 85</t>
  </si>
  <si>
    <t>S+ row 86</t>
  </si>
  <si>
    <t>S+ row 87</t>
  </si>
  <si>
    <t>S+ row 88</t>
  </si>
  <si>
    <t>S+ row 89</t>
  </si>
  <si>
    <t>S+ row 90</t>
  </si>
  <si>
    <t>S+ row 91</t>
  </si>
  <si>
    <t>S+ row 92</t>
  </si>
  <si>
    <t>S+ row 93</t>
  </si>
  <si>
    <t>S+ row 94</t>
  </si>
  <si>
    <t>S+ row 95</t>
  </si>
  <si>
    <t>S+ row 96</t>
  </si>
  <si>
    <t>S+ row 97</t>
  </si>
  <si>
    <t>S+ row 98</t>
  </si>
  <si>
    <t>S+ row 99</t>
  </si>
  <si>
    <t>S+ row 100</t>
  </si>
  <si>
    <t>S+ row 101</t>
  </si>
  <si>
    <t>S+ row 102</t>
  </si>
  <si>
    <t>S+ row 103</t>
  </si>
  <si>
    <t>S+ row 104</t>
  </si>
  <si>
    <t>S+ row 105</t>
  </si>
  <si>
    <t>S+ row 106</t>
  </si>
  <si>
    <t>S+ row 107</t>
  </si>
  <si>
    <t>S+ row 108</t>
  </si>
  <si>
    <t>S+ row 109</t>
  </si>
  <si>
    <t>S+ row 110</t>
  </si>
  <si>
    <t>S+ row 111</t>
  </si>
  <si>
    <t>S+ row 112</t>
  </si>
  <si>
    <t>S+ row 113</t>
  </si>
  <si>
    <t>S+ row 114</t>
  </si>
  <si>
    <t>S+ row 115</t>
  </si>
  <si>
    <t>S+ row 116</t>
  </si>
  <si>
    <t>S+ row 117</t>
  </si>
  <si>
    <t>S+ row 118</t>
  </si>
  <si>
    <t>S+ row 119</t>
  </si>
  <si>
    <t>S+ row 120</t>
  </si>
  <si>
    <t>S+ row 121</t>
  </si>
  <si>
    <t>S+ row 122</t>
  </si>
  <si>
    <t>S+ row 123</t>
  </si>
  <si>
    <t>S+ row 124</t>
  </si>
  <si>
    <t>S+ row 125</t>
  </si>
  <si>
    <t>S+ row 126</t>
  </si>
  <si>
    <t>S+ row 127</t>
  </si>
  <si>
    <t>S+ row 128</t>
  </si>
  <si>
    <t>S+ row 129</t>
  </si>
  <si>
    <t>S+ row 130</t>
  </si>
  <si>
    <t>S+ row 131</t>
  </si>
  <si>
    <t>S+ row 132</t>
  </si>
  <si>
    <t>S+ row 133</t>
  </si>
  <si>
    <t>S+ row 134</t>
  </si>
  <si>
    <t>S+ row 135</t>
  </si>
  <si>
    <t>S+ row 136</t>
  </si>
  <si>
    <t>S+ row 137</t>
  </si>
  <si>
    <t>S+ row 138</t>
  </si>
  <si>
    <t>S+ row 139</t>
  </si>
  <si>
    <t>S+ row 140</t>
  </si>
  <si>
    <t>S+ row 141</t>
  </si>
  <si>
    <t>S+ row 142</t>
  </si>
  <si>
    <t>S+ row 143</t>
  </si>
  <si>
    <t>S+ row 144</t>
  </si>
  <si>
    <t>S+ row 145</t>
  </si>
  <si>
    <t>S+ row 146</t>
  </si>
  <si>
    <t>S+ row 147</t>
  </si>
  <si>
    <t>S+ row 148</t>
  </si>
  <si>
    <t>S+ row 149</t>
  </si>
  <si>
    <t>S+ row 150</t>
  </si>
  <si>
    <t>S+ row 151</t>
  </si>
  <si>
    <t>S+ row 152</t>
  </si>
  <si>
    <t>S+ row 153</t>
  </si>
  <si>
    <t>S+ row 154</t>
  </si>
  <si>
    <t>S+ row 155</t>
  </si>
  <si>
    <t>S+ row 156</t>
  </si>
  <si>
    <t>S+ row 157</t>
  </si>
  <si>
    <t>S+ row 158</t>
  </si>
  <si>
    <t>S+ row 159</t>
  </si>
  <si>
    <t>S+ row 160</t>
  </si>
  <si>
    <t>S+ row 161</t>
  </si>
  <si>
    <t>S+ row 162</t>
  </si>
  <si>
    <t>S+ row 163</t>
  </si>
  <si>
    <t>S+ row 164</t>
  </si>
  <si>
    <t>S+ row 165</t>
  </si>
  <si>
    <t>S+ row 166</t>
  </si>
  <si>
    <t>S+ row 167</t>
  </si>
  <si>
    <t>S+ row 168</t>
  </si>
  <si>
    <t>S+ row 169</t>
  </si>
  <si>
    <t>S+ row 170</t>
  </si>
  <si>
    <t>S+ row 171</t>
  </si>
  <si>
    <t>S+ row 172</t>
  </si>
  <si>
    <t>S+ row 173</t>
  </si>
  <si>
    <t>S+ row 174</t>
  </si>
  <si>
    <t>S+ row 175</t>
  </si>
  <si>
    <t>S+ row 176</t>
  </si>
  <si>
    <t>S+ row 177</t>
  </si>
  <si>
    <t>S+ row 178</t>
  </si>
  <si>
    <t>S+ row 179</t>
  </si>
  <si>
    <t>S+ row 180</t>
  </si>
  <si>
    <t>S+ row 181</t>
  </si>
  <si>
    <t>S+ row 182</t>
  </si>
  <si>
    <t>S+ row 183</t>
  </si>
  <si>
    <t>S+ row 184</t>
  </si>
  <si>
    <t>S+ row 185</t>
  </si>
  <si>
    <t>S+ row 186</t>
  </si>
  <si>
    <t>S+ row 187</t>
  </si>
  <si>
    <t>S+ row 188</t>
  </si>
  <si>
    <t>S+ row 189</t>
  </si>
  <si>
    <t>S+ row 190</t>
  </si>
  <si>
    <t>S+ row 191</t>
  </si>
  <si>
    <t>S+ row 192</t>
  </si>
  <si>
    <t>S+ row 193</t>
  </si>
  <si>
    <t>S+ row 194</t>
  </si>
  <si>
    <t>S+ row 195</t>
  </si>
  <si>
    <t>S+ row 196</t>
  </si>
  <si>
    <t>S+ row 197</t>
  </si>
  <si>
    <t>S+ row 198</t>
  </si>
  <si>
    <t>S+ row 199</t>
  </si>
  <si>
    <t>S+ row 200</t>
  </si>
  <si>
    <t>S+ row 201</t>
  </si>
  <si>
    <t>S+ row 202</t>
  </si>
  <si>
    <t>S+ row 203</t>
  </si>
  <si>
    <t>S+ row 204</t>
  </si>
  <si>
    <t>S+ row 205</t>
  </si>
  <si>
    <t>S+ row 206</t>
  </si>
  <si>
    <t>S+ row 207</t>
  </si>
  <si>
    <t>S+ row 208</t>
  </si>
  <si>
    <t>S+ row 209</t>
  </si>
  <si>
    <t>S+ row 210</t>
  </si>
  <si>
    <t>S+ row 211</t>
  </si>
  <si>
    <t>S+ row 212</t>
  </si>
  <si>
    <t>S+ row 213</t>
  </si>
  <si>
    <t>S+ row 214</t>
  </si>
  <si>
    <t>S+ row 215</t>
  </si>
  <si>
    <t>S+ row 216</t>
  </si>
  <si>
    <t>S+ row 217</t>
  </si>
  <si>
    <t>S+ row 218</t>
  </si>
  <si>
    <t>S+ row 219</t>
  </si>
  <si>
    <t>S+ row 220</t>
  </si>
  <si>
    <t>S+ row 221</t>
  </si>
  <si>
    <t>S+ row 222</t>
  </si>
  <si>
    <t>S+ row 223</t>
  </si>
  <si>
    <t>S+ row 224</t>
  </si>
  <si>
    <t>S+ row 225</t>
  </si>
  <si>
    <t>S+ row 226</t>
  </si>
  <si>
    <t>S+ row 227</t>
  </si>
  <si>
    <t>S+ row 228</t>
  </si>
  <si>
    <t>S+ row 229</t>
  </si>
  <si>
    <t>S+ row 230</t>
  </si>
  <si>
    <t>S+ row 231</t>
  </si>
  <si>
    <t>S+ row 232</t>
  </si>
  <si>
    <t>S+ row 233</t>
  </si>
  <si>
    <t>S+ row 234</t>
  </si>
  <si>
    <t>S+ row 235</t>
  </si>
  <si>
    <t>S+ row 236</t>
  </si>
  <si>
    <t>S+ row 237</t>
  </si>
  <si>
    <t>S+ row 238</t>
  </si>
  <si>
    <t>S+ row 239</t>
  </si>
  <si>
    <t>S+ row 240</t>
  </si>
  <si>
    <t>S+ row 241</t>
  </si>
  <si>
    <t>S+ row 242</t>
  </si>
  <si>
    <t>S+ row 243</t>
  </si>
  <si>
    <t>S+ row 244</t>
  </si>
  <si>
    <t>S+ row 245</t>
  </si>
  <si>
    <t>S+ row 246</t>
  </si>
  <si>
    <t>S+ row 247</t>
  </si>
  <si>
    <t>S+ row 248</t>
  </si>
  <si>
    <t>S+ row 249</t>
  </si>
  <si>
    <t>S+ row 250</t>
  </si>
  <si>
    <t>S+ row 251</t>
  </si>
  <si>
    <t>S+ row 252</t>
  </si>
  <si>
    <t>S+ row 253</t>
  </si>
  <si>
    <t>S+ row 254</t>
  </si>
  <si>
    <t>S+ row 255</t>
  </si>
  <si>
    <t>S+ row 256</t>
  </si>
  <si>
    <t>S+ row 257</t>
  </si>
  <si>
    <t>S+ row 258</t>
  </si>
  <si>
    <t>S+ row 259</t>
  </si>
  <si>
    <t>S+ row 260</t>
  </si>
  <si>
    <t>S+ row 261</t>
  </si>
  <si>
    <t>S+ row 262</t>
  </si>
  <si>
    <t>S+ row 263</t>
  </si>
  <si>
    <t>S+ row 264</t>
  </si>
  <si>
    <t>S+ row 265</t>
  </si>
  <si>
    <t>S+ row 266</t>
  </si>
  <si>
    <t>S+ row 267</t>
  </si>
  <si>
    <t>S+ row 268</t>
  </si>
  <si>
    <t>S+ row 269</t>
  </si>
  <si>
    <t>S+ row 270</t>
  </si>
  <si>
    <t>S+ row 271</t>
  </si>
  <si>
    <t>S+ row 272</t>
  </si>
  <si>
    <t>S+ row 273</t>
  </si>
  <si>
    <t>S+ row 274</t>
  </si>
  <si>
    <t>S+ row 275</t>
  </si>
  <si>
    <t>S+ row 276</t>
  </si>
  <si>
    <t>S+ row 277</t>
  </si>
  <si>
    <t>S+ row 278</t>
  </si>
  <si>
    <t>S+ row 279</t>
  </si>
  <si>
    <t>S+ row 280</t>
  </si>
  <si>
    <t>S+ row 281</t>
  </si>
  <si>
    <t>S+ row 282</t>
  </si>
  <si>
    <t>S+ row 283</t>
  </si>
  <si>
    <t>S+ row 284</t>
  </si>
  <si>
    <t>S+ row 285</t>
  </si>
  <si>
    <t>S+ row 286</t>
  </si>
  <si>
    <t>S+ row 287</t>
  </si>
  <si>
    <t>S+ row 288</t>
  </si>
  <si>
    <t>S+ row 289</t>
  </si>
  <si>
    <t>S+ row 290</t>
  </si>
  <si>
    <t>S+ row 291</t>
  </si>
  <si>
    <t>S+ row 292</t>
  </si>
  <si>
    <t>S+ row 293</t>
  </si>
  <si>
    <t>S+ row 294</t>
  </si>
  <si>
    <t>S+ row 295</t>
  </si>
  <si>
    <t>S+ row 296</t>
  </si>
  <si>
    <t>S+ row 297</t>
  </si>
  <si>
    <t>S+ row 298</t>
  </si>
  <si>
    <t>S+ row 299</t>
  </si>
  <si>
    <t>S+ row 300</t>
  </si>
  <si>
    <t>S+ row 301</t>
  </si>
  <si>
    <t>S+ row 302</t>
  </si>
  <si>
    <t>S+ row 303</t>
  </si>
  <si>
    <t>S+ row 304</t>
  </si>
  <si>
    <t>S+ row 305</t>
  </si>
  <si>
    <t>S+ row 306</t>
  </si>
  <si>
    <t>S+ row 307</t>
  </si>
  <si>
    <t>S+ row 308</t>
  </si>
  <si>
    <t>S+ row 309</t>
  </si>
  <si>
    <t>S+ row 310</t>
  </si>
  <si>
    <t>S+ row 311</t>
  </si>
  <si>
    <t>S+ row 312</t>
  </si>
  <si>
    <t>S+ row 313</t>
  </si>
  <si>
    <t>S+ row 314</t>
  </si>
  <si>
    <t>S+ row 315</t>
  </si>
  <si>
    <t>S+ row 316</t>
  </si>
  <si>
    <t>S+ row 317</t>
  </si>
  <si>
    <t>S+ row 318</t>
  </si>
  <si>
    <t>S+ row 319</t>
  </si>
  <si>
    <t>S+ row 320</t>
  </si>
  <si>
    <t>S+ row 321</t>
  </si>
  <si>
    <t>S+ row 322</t>
  </si>
  <si>
    <t>S+ row 323</t>
  </si>
  <si>
    <t>S+ row 324</t>
  </si>
  <si>
    <t>S+ row 325</t>
  </si>
  <si>
    <t>S+ row 326</t>
  </si>
  <si>
    <t>S+ row 327</t>
  </si>
  <si>
    <t>S+ row 328</t>
  </si>
  <si>
    <t>S+ row 329</t>
  </si>
  <si>
    <t>S+ row 330</t>
  </si>
  <si>
    <t>S+ row 331</t>
  </si>
  <si>
    <t>S+ row 332</t>
  </si>
  <si>
    <t>S+ row 333</t>
  </si>
  <si>
    <t>S+ row 334</t>
  </si>
  <si>
    <t>S+ row 335</t>
  </si>
  <si>
    <t>S+ row 336</t>
  </si>
  <si>
    <t>S+ row 337</t>
  </si>
  <si>
    <t>S+ row 338</t>
  </si>
  <si>
    <t>S+ row 339</t>
  </si>
  <si>
    <t>S+ row 340</t>
  </si>
  <si>
    <t>S+ row 341</t>
  </si>
  <si>
    <t>S+ row 342</t>
  </si>
  <si>
    <t>S+ row 343</t>
  </si>
  <si>
    <t>S+ row 344</t>
  </si>
  <si>
    <t>S+ row 345</t>
  </si>
  <si>
    <t>S+ row 346</t>
  </si>
  <si>
    <t>S+ row 347</t>
  </si>
  <si>
    <t>S+ row 348</t>
  </si>
  <si>
    <t>S+ row 349</t>
  </si>
  <si>
    <t>S+ row 350</t>
  </si>
  <si>
    <t>S+ row 351</t>
  </si>
  <si>
    <t>S+ row 352</t>
  </si>
  <si>
    <t>S+ row 353</t>
  </si>
  <si>
    <t>S+ row 354</t>
  </si>
  <si>
    <t>S+ row 355</t>
  </si>
  <si>
    <t>S+ row 356</t>
  </si>
  <si>
    <t>S+ row 357</t>
  </si>
  <si>
    <t>S+ row 358</t>
  </si>
  <si>
    <t>S+ row 359</t>
  </si>
  <si>
    <t>S+ row 360</t>
  </si>
  <si>
    <t>S+ row 361</t>
  </si>
  <si>
    <t>S+ row 362</t>
  </si>
  <si>
    <t>S+ row 363</t>
  </si>
  <si>
    <t>S+ row 364</t>
  </si>
  <si>
    <t>S+ row 365</t>
  </si>
  <si>
    <t>S+ row 366</t>
  </si>
  <si>
    <t>S+ row 367</t>
  </si>
  <si>
    <t>S+ row 368</t>
  </si>
  <si>
    <t>S+ row 369</t>
  </si>
  <si>
    <t>S+ row 370</t>
  </si>
  <si>
    <t>S+ row 371</t>
  </si>
  <si>
    <t>S+ row 372</t>
  </si>
  <si>
    <t>S+ row 373</t>
  </si>
  <si>
    <t>S+ row 374</t>
  </si>
  <si>
    <t>S+ row 375</t>
  </si>
  <si>
    <t>S+ row 376</t>
  </si>
  <si>
    <t>S+ row 377</t>
  </si>
  <si>
    <t>S+ row 378</t>
  </si>
  <si>
    <t>S+ row 379</t>
  </si>
  <si>
    <t>S+ row 380</t>
  </si>
  <si>
    <t>S+ row 381</t>
  </si>
  <si>
    <t>S+ row 382</t>
  </si>
  <si>
    <t>S+ row 383</t>
  </si>
  <si>
    <t>S+ row 384</t>
  </si>
  <si>
    <t>S+ row 385</t>
  </si>
  <si>
    <t>S+ row 386</t>
  </si>
  <si>
    <t>S+ row 387</t>
  </si>
  <si>
    <t>S+ row 388</t>
  </si>
  <si>
    <t>S+ row 389</t>
  </si>
  <si>
    <t>S+ row 390</t>
  </si>
  <si>
    <t>S+ row 391</t>
  </si>
  <si>
    <t>S+ row 392</t>
  </si>
  <si>
    <t>S+ row 393</t>
  </si>
  <si>
    <t>S+ row 394</t>
  </si>
  <si>
    <t>S+ row 395</t>
  </si>
  <si>
    <t>S+ row 396</t>
  </si>
  <si>
    <t>S+ row 397</t>
  </si>
  <si>
    <t>S+ row 398</t>
  </si>
  <si>
    <t>S+ row 399</t>
  </si>
  <si>
    <t>S+ row 400</t>
  </si>
  <si>
    <t>S+ row 401</t>
  </si>
  <si>
    <t>S+ row 402</t>
  </si>
  <si>
    <t>S+ row 403</t>
  </si>
  <si>
    <t>S+ row 404</t>
  </si>
  <si>
    <t>S+ row 405</t>
  </si>
  <si>
    <t>S+ row 406</t>
  </si>
  <si>
    <t>S+ row 407</t>
  </si>
  <si>
    <t>S+ row 408</t>
  </si>
  <si>
    <t>S+ row 409</t>
  </si>
  <si>
    <t>S+ row 410</t>
  </si>
  <si>
    <t>S+ row 411</t>
  </si>
  <si>
    <t>S+ row 412</t>
  </si>
  <si>
    <t>S+ row 413</t>
  </si>
  <si>
    <t>S+ row 414</t>
  </si>
  <si>
    <t>S+ row 415</t>
  </si>
  <si>
    <t>S+ row 416</t>
  </si>
  <si>
    <t>S+ row 417</t>
  </si>
  <si>
    <t>S+ row 418</t>
  </si>
  <si>
    <t>S+ row 419</t>
  </si>
  <si>
    <t>S+ row 420</t>
  </si>
  <si>
    <t>S+ row 421</t>
  </si>
  <si>
    <t>S+ row 422</t>
  </si>
  <si>
    <t>S+ row 423</t>
  </si>
  <si>
    <t>S+ row 424</t>
  </si>
  <si>
    <t>S+ row 425</t>
  </si>
  <si>
    <t>S+ row 426</t>
  </si>
  <si>
    <t>S+ row 427</t>
  </si>
  <si>
    <t>S+ row 428</t>
  </si>
  <si>
    <t>S+ row 429</t>
  </si>
  <si>
    <t>S+ row 430</t>
  </si>
  <si>
    <t>S+ row 431</t>
  </si>
  <si>
    <t>S+ row 432</t>
  </si>
  <si>
    <t>S+ row 433</t>
  </si>
  <si>
    <t>S+ row 434</t>
  </si>
  <si>
    <t>S+ row 435</t>
  </si>
  <si>
    <t>S+ row 436</t>
  </si>
  <si>
    <t>S+ row 437</t>
  </si>
  <si>
    <t>S+ row 438</t>
  </si>
  <si>
    <t>S+ row 439</t>
  </si>
  <si>
    <t>S+ row 440</t>
  </si>
  <si>
    <t>S+ row 441</t>
  </si>
  <si>
    <t>S+ row 442</t>
  </si>
  <si>
    <t>S+ row 443</t>
  </si>
  <si>
    <t>S+ row 444</t>
  </si>
  <si>
    <t>S+ row 445</t>
  </si>
  <si>
    <t>S+ row 446</t>
  </si>
  <si>
    <t>S+ row 447</t>
  </si>
  <si>
    <t>S+ row 448</t>
  </si>
  <si>
    <t>S+ row 449</t>
  </si>
  <si>
    <t>S+ row 450</t>
  </si>
  <si>
    <t>S+ row 451</t>
  </si>
  <si>
    <t>S+ row 452</t>
  </si>
  <si>
    <t>S+ row 453</t>
  </si>
  <si>
    <t>S+ row 454</t>
  </si>
  <si>
    <t>S+ row 455</t>
  </si>
  <si>
    <t>S+ row 456</t>
  </si>
  <si>
    <t>S+ row 457</t>
  </si>
  <si>
    <t>S+ row 458</t>
  </si>
  <si>
    <t>S+ row 459</t>
  </si>
  <si>
    <t>S+ row 460</t>
  </si>
  <si>
    <t>S+ row 461</t>
  </si>
  <si>
    <t>S+ row 462</t>
  </si>
  <si>
    <t>S+ row 463</t>
  </si>
  <si>
    <t>S+ row 464</t>
  </si>
  <si>
    <t>S+ row 465</t>
  </si>
  <si>
    <t>S+ row 466</t>
  </si>
  <si>
    <t>S+ row 467</t>
  </si>
  <si>
    <t>S+ row 468</t>
  </si>
  <si>
    <t>S+ row 469</t>
  </si>
  <si>
    <t>S+ row 470</t>
  </si>
  <si>
    <t>S+ row 471</t>
  </si>
  <si>
    <t>S+ row 472</t>
  </si>
  <si>
    <t>S+ row 473</t>
  </si>
  <si>
    <t>S+ row 474</t>
  </si>
  <si>
    <t>S+ row 475</t>
  </si>
  <si>
    <t>S+ row 476</t>
  </si>
  <si>
    <t>S+ row 477</t>
  </si>
  <si>
    <t>S+ row 478</t>
  </si>
  <si>
    <t>S+ row 479</t>
  </si>
  <si>
    <t>S+ row 480</t>
  </si>
  <si>
    <t>S+ row 481</t>
  </si>
  <si>
    <t>S+ row 482</t>
  </si>
  <si>
    <t>S+ row 483</t>
  </si>
  <si>
    <t>S+ row 484</t>
  </si>
  <si>
    <t>S+ row 485</t>
  </si>
  <si>
    <t>S+ row 486</t>
  </si>
  <si>
    <t>S+ row 487</t>
  </si>
  <si>
    <t>S+ row 488</t>
  </si>
  <si>
    <t>S+ row 489</t>
  </si>
  <si>
    <t>S+ row 490</t>
  </si>
  <si>
    <t>S+ row 491</t>
  </si>
  <si>
    <t>S+ row 492</t>
  </si>
  <si>
    <t>S+ row 493</t>
  </si>
  <si>
    <t>S+ row 494</t>
  </si>
  <si>
    <t>S+ row 495</t>
  </si>
  <si>
    <t>S+ row 496</t>
  </si>
  <si>
    <t>S+ row 497</t>
  </si>
  <si>
    <t>S+ row 498</t>
  </si>
  <si>
    <t>S+ row 499</t>
  </si>
  <si>
    <t>S+ row 500</t>
  </si>
  <si>
    <t>S+ row 501</t>
  </si>
  <si>
    <t>S+ row 502</t>
  </si>
  <si>
    <t>S+ row 503</t>
  </si>
  <si>
    <t>S+ row 504</t>
  </si>
  <si>
    <t>S+ row 505</t>
  </si>
  <si>
    <t>S+ row 506</t>
  </si>
  <si>
    <t>S+ row 507</t>
  </si>
  <si>
    <t>S+ row 508</t>
  </si>
  <si>
    <t>S+ row 509</t>
  </si>
  <si>
    <t>S+ row 510</t>
  </si>
  <si>
    <t>S+ row 511</t>
  </si>
  <si>
    <t>S+ row 512</t>
  </si>
  <si>
    <t>S+ row 513</t>
  </si>
  <si>
    <t>S+ row 514</t>
  </si>
  <si>
    <t>S+ row 515</t>
  </si>
  <si>
    <t>S+ row 516</t>
  </si>
  <si>
    <t>S+ row 517</t>
  </si>
  <si>
    <t>S+ row 518</t>
  </si>
  <si>
    <t>S+ row 519</t>
  </si>
  <si>
    <t>S+ row 520</t>
  </si>
  <si>
    <t>S+ row 521</t>
  </si>
  <si>
    <t>S+ row 522</t>
  </si>
  <si>
    <t>S+ row 523</t>
  </si>
  <si>
    <t>S+ row 524</t>
  </si>
  <si>
    <t>S+ row 525</t>
  </si>
  <si>
    <t>S+ row 526</t>
  </si>
  <si>
    <t>S+ row 527</t>
  </si>
  <si>
    <t>S+ row 528</t>
  </si>
  <si>
    <t>S+ row 529</t>
  </si>
  <si>
    <t>S+ row 530</t>
  </si>
  <si>
    <t>S+ row 531</t>
  </si>
  <si>
    <t>S+ row 532</t>
  </si>
  <si>
    <t>S+ row 533</t>
  </si>
  <si>
    <t>S+ row 534</t>
  </si>
  <si>
    <t>S+ row 535</t>
  </si>
  <si>
    <t>S+ row 536</t>
  </si>
  <si>
    <t>S+ row 537</t>
  </si>
  <si>
    <t>S+ row 538</t>
  </si>
  <si>
    <t>S+ row 539</t>
  </si>
  <si>
    <t>S+ row 540</t>
  </si>
  <si>
    <t>S+ row 541</t>
  </si>
  <si>
    <t>S+ row 542</t>
  </si>
  <si>
    <t>S+ row 543</t>
  </si>
  <si>
    <t>S+ row 544</t>
  </si>
  <si>
    <t>S+ row 545</t>
  </si>
  <si>
    <t>S+ row 546</t>
  </si>
  <si>
    <t>S+ row 547</t>
  </si>
  <si>
    <t>S+ row 548</t>
  </si>
  <si>
    <t>S+ row 549</t>
  </si>
  <si>
    <t>S+ row 550</t>
  </si>
  <si>
    <t>S+ row 551</t>
  </si>
  <si>
    <t>S+ row 552</t>
  </si>
  <si>
    <t>S+ row 553</t>
  </si>
  <si>
    <t>S+ row 554</t>
  </si>
  <si>
    <t>S+ row 555</t>
  </si>
  <si>
    <t>S+ row 556</t>
  </si>
  <si>
    <t>S+ row 557</t>
  </si>
  <si>
    <t>S+ row 558</t>
  </si>
  <si>
    <t>S+ row 559</t>
  </si>
  <si>
    <t>S+ row 560</t>
  </si>
  <si>
    <t>S+ row 561</t>
  </si>
  <si>
    <t>S+ row 562</t>
  </si>
  <si>
    <t>S+ row 563</t>
  </si>
  <si>
    <t>S+ row 564</t>
  </si>
  <si>
    <t>S+ row 565</t>
  </si>
  <si>
    <t>S+ row 566</t>
  </si>
  <si>
    <t>S+ row 567</t>
  </si>
  <si>
    <t>S+ row 568</t>
  </si>
  <si>
    <t>S+ row 569</t>
  </si>
  <si>
    <t>S+ row 570</t>
  </si>
  <si>
    <t>S+ row 571</t>
  </si>
  <si>
    <t>S+ row 572</t>
  </si>
  <si>
    <t>S+ row 573</t>
  </si>
  <si>
    <t>S+ row 574</t>
  </si>
  <si>
    <t>S+ row 575</t>
  </si>
  <si>
    <t>S+ row 576</t>
  </si>
  <si>
    <t>S+ row 577</t>
  </si>
  <si>
    <t>S+ row 578</t>
  </si>
  <si>
    <t>S+ row 579</t>
  </si>
  <si>
    <t>S+ row 580</t>
  </si>
  <si>
    <t>S+ row 581</t>
  </si>
  <si>
    <t>S+ row 582</t>
  </si>
  <si>
    <t>S+ row 583</t>
  </si>
  <si>
    <t>S+ row 584</t>
  </si>
  <si>
    <t>S+ row 585</t>
  </si>
  <si>
    <t>S+ row 586</t>
  </si>
  <si>
    <t>S+ row 587</t>
  </si>
  <si>
    <t>S+ row 588</t>
  </si>
  <si>
    <t>S+ row 589</t>
  </si>
  <si>
    <t>S+ row 590</t>
  </si>
  <si>
    <t>S+ row 591</t>
  </si>
  <si>
    <t>S+ row 592</t>
  </si>
  <si>
    <t>S+ row 593</t>
  </si>
  <si>
    <t>S+ row 594</t>
  </si>
  <si>
    <t>S+ row 595</t>
  </si>
  <si>
    <t>S+ row 596</t>
  </si>
  <si>
    <t>S+ row 597</t>
  </si>
  <si>
    <t>S+ row 598</t>
  </si>
  <si>
    <t>S+ row 599</t>
  </si>
  <si>
    <t>S+ row 600</t>
  </si>
  <si>
    <t>S+ row 601</t>
  </si>
  <si>
    <t>S+ row 602</t>
  </si>
  <si>
    <t>S+ row 603</t>
  </si>
  <si>
    <t>S+ row 604</t>
  </si>
  <si>
    <t>S+ row 605</t>
  </si>
  <si>
    <t>S+ row 606</t>
  </si>
  <si>
    <t>S+ row 607</t>
  </si>
  <si>
    <t>S+ row 608</t>
  </si>
  <si>
    <t>S+ row 609</t>
  </si>
  <si>
    <t>S+ row 610</t>
  </si>
  <si>
    <t>S+ row 611</t>
  </si>
  <si>
    <t>S+ row 612</t>
  </si>
  <si>
    <t>S+ row 613</t>
  </si>
  <si>
    <t>S+ row 614</t>
  </si>
  <si>
    <t>S+ row 615</t>
  </si>
  <si>
    <t>S+ row 616</t>
  </si>
  <si>
    <t>S+ row 617</t>
  </si>
  <si>
    <t>S+ row 618</t>
  </si>
  <si>
    <t>S+ row 619</t>
  </si>
  <si>
    <t>S+ row 620</t>
  </si>
  <si>
    <t>S+ row 621</t>
  </si>
  <si>
    <t>S+ row 622</t>
  </si>
  <si>
    <t>S+ row 623</t>
  </si>
  <si>
    <t>S+ row 624</t>
  </si>
  <si>
    <t>S+ row 625</t>
  </si>
  <si>
    <t>S+ row 626</t>
  </si>
  <si>
    <t>S+ row 627</t>
  </si>
  <si>
    <t>S+ row 628</t>
  </si>
  <si>
    <t>S+ row 629</t>
  </si>
  <si>
    <t>S+ row 630</t>
  </si>
  <si>
    <t>S+ row 631</t>
  </si>
  <si>
    <t>S+ row 632</t>
  </si>
  <si>
    <t>S+ row 633</t>
  </si>
  <si>
    <t>S+ row 634</t>
  </si>
  <si>
    <t>S+ row 635</t>
  </si>
  <si>
    <t>S+ row 636</t>
  </si>
  <si>
    <t>S+ row 637</t>
  </si>
  <si>
    <t>S+ row 638</t>
  </si>
  <si>
    <t>S+ row 639</t>
  </si>
  <si>
    <t>S+ row 640</t>
  </si>
  <si>
    <t>S+ row 641</t>
  </si>
  <si>
    <t>S+ row 642</t>
  </si>
  <si>
    <t>S+ row 643</t>
  </si>
  <si>
    <t>S+ row 644</t>
  </si>
  <si>
    <t>S+ row 645</t>
  </si>
  <si>
    <t>S+ row 646</t>
  </si>
  <si>
    <t>S+ row 647</t>
  </si>
  <si>
    <t>S+ row 648</t>
  </si>
  <si>
    <t>S+ row 649</t>
  </si>
  <si>
    <t>S+ row 650</t>
  </si>
  <si>
    <t>S+ row 651</t>
  </si>
  <si>
    <t>S+ row 652</t>
  </si>
  <si>
    <t>S+ row 653</t>
  </si>
  <si>
    <t>S+ row 654</t>
  </si>
  <si>
    <t>S+ row 655</t>
  </si>
  <si>
    <t>S+ row 656</t>
  </si>
  <si>
    <t>S+ row 657</t>
  </si>
  <si>
    <t>S+ row 658</t>
  </si>
  <si>
    <t>S+ row 659</t>
  </si>
  <si>
    <t>S+ row 660</t>
  </si>
  <si>
    <t>S+ row 661</t>
  </si>
  <si>
    <t>S+ row 662</t>
  </si>
  <si>
    <t>S+ row 663</t>
  </si>
  <si>
    <t>S+ row 664</t>
  </si>
  <si>
    <t>S+ row 665</t>
  </si>
  <si>
    <t>S+ row 666</t>
  </si>
  <si>
    <t>S+ row 667</t>
  </si>
  <si>
    <t>S+ row 668</t>
  </si>
  <si>
    <t>S+ row 669</t>
  </si>
  <si>
    <t>S+ row 670</t>
  </si>
  <si>
    <t>S+ row 671</t>
  </si>
  <si>
    <t>S+ row 672</t>
  </si>
  <si>
    <t>S+ row 673</t>
  </si>
  <si>
    <t>S+ row 674</t>
  </si>
  <si>
    <t>S+ row 675</t>
  </si>
  <si>
    <t>S+ row 676</t>
  </si>
  <si>
    <t>S+ row 677</t>
  </si>
  <si>
    <t>S+ row 678</t>
  </si>
  <si>
    <t>S+ row 679</t>
  </si>
  <si>
    <t>S+ row 680</t>
  </si>
  <si>
    <t>S+ row 681</t>
  </si>
  <si>
    <t>S+ row 682</t>
  </si>
  <si>
    <t>S+ row 683</t>
  </si>
  <si>
    <t>S+ row 684</t>
  </si>
  <si>
    <t>S+ row 685</t>
  </si>
  <si>
    <t>S+ row 686</t>
  </si>
  <si>
    <t>S+ row 687</t>
  </si>
  <si>
    <t>S+ row 688</t>
  </si>
  <si>
    <t>S+ row 689</t>
  </si>
  <si>
    <t>S+ row 690</t>
  </si>
  <si>
    <t>S+ row 691</t>
  </si>
  <si>
    <t>S+ row 692</t>
  </si>
  <si>
    <t>S+ row 693</t>
  </si>
  <si>
    <t>S+ row 694</t>
  </si>
  <si>
    <t>S+ row 695</t>
  </si>
  <si>
    <t>S+ row 696</t>
  </si>
  <si>
    <t>S+ row 697</t>
  </si>
  <si>
    <t>S+ row 698</t>
  </si>
  <si>
    <t>S+ row 699</t>
  </si>
  <si>
    <t>S+ row 700</t>
  </si>
  <si>
    <t>S+ row 701</t>
  </si>
  <si>
    <t>S+ row 702</t>
  </si>
  <si>
    <t>S+ row 703</t>
  </si>
  <si>
    <t>S+ row 704</t>
  </si>
  <si>
    <t>S+ row 705</t>
  </si>
  <si>
    <t>S+ row 706</t>
  </si>
  <si>
    <t>S+ row 707</t>
  </si>
  <si>
    <t>S+ row 708</t>
  </si>
  <si>
    <t>S+ row 709</t>
  </si>
  <si>
    <t>S+ row 710</t>
  </si>
  <si>
    <t>S+ row 711</t>
  </si>
  <si>
    <t>S+ row 712</t>
  </si>
  <si>
    <t>S+ row 713</t>
  </si>
  <si>
    <t>S+ row 714</t>
  </si>
  <si>
    <t>S+ row 715</t>
  </si>
  <si>
    <t>S+ row 716</t>
  </si>
  <si>
    <t>S+ row 717</t>
  </si>
  <si>
    <t>S+ row 718</t>
  </si>
  <si>
    <t>S+ row 719</t>
  </si>
  <si>
    <t>S+ row 720</t>
  </si>
  <si>
    <t>S+ row 721</t>
  </si>
  <si>
    <t>S+ row 722</t>
  </si>
  <si>
    <t>S+ row 723</t>
  </si>
  <si>
    <t>S+ row 724</t>
  </si>
  <si>
    <t>S+ row 725</t>
  </si>
  <si>
    <t>S+ row 726</t>
  </si>
  <si>
    <t>S+ row 727</t>
  </si>
  <si>
    <t>S+ row 728</t>
  </si>
  <si>
    <t>S+ row 729</t>
  </si>
  <si>
    <t>S+ row 730</t>
  </si>
  <si>
    <t>S+ row 731</t>
  </si>
  <si>
    <t>S+ row 732</t>
  </si>
  <si>
    <t>S+ row 733</t>
  </si>
  <si>
    <t>S+ row 734</t>
  </si>
  <si>
    <t>S+ row 735</t>
  </si>
  <si>
    <t>S+ row 736</t>
  </si>
  <si>
    <t>S+ row 737</t>
  </si>
  <si>
    <t>S+ row 738</t>
  </si>
  <si>
    <t>S+ row 739</t>
  </si>
  <si>
    <t>S+ row 740</t>
  </si>
  <si>
    <t>S+ row 741</t>
  </si>
  <si>
    <t>S+ row 742</t>
  </si>
  <si>
    <t>S+ row 743</t>
  </si>
  <si>
    <t>S+ row 744</t>
  </si>
  <si>
    <t>S+ row 745</t>
  </si>
  <si>
    <t>S+ row 746</t>
  </si>
  <si>
    <t>S+ row 747</t>
  </si>
  <si>
    <t>S+ row 748</t>
  </si>
  <si>
    <t>S+ row 749</t>
  </si>
  <si>
    <t>S+ row 750</t>
  </si>
  <si>
    <t>S+ row 751</t>
  </si>
  <si>
    <t>S+ row 752</t>
  </si>
  <si>
    <t>S+ row 753</t>
  </si>
  <si>
    <t>S+ row 754</t>
  </si>
  <si>
    <t>S+ row 755</t>
  </si>
  <si>
    <t>S+ row 756</t>
  </si>
  <si>
    <t>S+ row 757</t>
  </si>
  <si>
    <t>S+ row 758</t>
  </si>
  <si>
    <t>S+ row 759</t>
  </si>
  <si>
    <t>S+ row 760</t>
  </si>
  <si>
    <t>S+ row 761</t>
  </si>
  <si>
    <t>S+ row 762</t>
  </si>
  <si>
    <t>S+ row 763</t>
  </si>
  <si>
    <t>S+ row 764</t>
  </si>
  <si>
    <t>S+ row 765</t>
  </si>
  <si>
    <t>S+ row 766</t>
  </si>
  <si>
    <t>S+ row 767</t>
  </si>
  <si>
    <t>S+ row 768</t>
  </si>
  <si>
    <t>S+ row 769</t>
  </si>
  <si>
    <t>S+ row 770</t>
  </si>
  <si>
    <t>S+ row 771</t>
  </si>
  <si>
    <t>S+ row 772</t>
  </si>
  <si>
    <t>S+ row 773</t>
  </si>
  <si>
    <t>S+ row 774</t>
  </si>
  <si>
    <t>S+ row 775</t>
  </si>
  <si>
    <t>S+ row 776</t>
  </si>
  <si>
    <t>S+ row 777</t>
  </si>
  <si>
    <t>S+ row 778</t>
  </si>
  <si>
    <t>S+ row 779</t>
  </si>
  <si>
    <t>S+ row 780</t>
  </si>
  <si>
    <t>S+ row 781</t>
  </si>
  <si>
    <t>S+ row 782</t>
  </si>
  <si>
    <t>S+ row 783</t>
  </si>
  <si>
    <t>S+ row 784</t>
  </si>
  <si>
    <t>S+ row 785</t>
  </si>
  <si>
    <t>S+ row 786</t>
  </si>
  <si>
    <t>S+ row 787</t>
  </si>
  <si>
    <t>S+ row 788</t>
  </si>
  <si>
    <t>S+ row 789</t>
  </si>
  <si>
    <t>S+ row 790</t>
  </si>
  <si>
    <t>S+ row 791</t>
  </si>
  <si>
    <t>S+ row 792</t>
  </si>
  <si>
    <t>S+ row 793</t>
  </si>
  <si>
    <t>S+ row 794</t>
  </si>
  <si>
    <t>S+ row 795</t>
  </si>
  <si>
    <t>S+ row 796</t>
  </si>
  <si>
    <t>S+ row 797</t>
  </si>
  <si>
    <t>S+ row 798</t>
  </si>
  <si>
    <t>S+ row 799</t>
  </si>
  <si>
    <t>S+ row 800</t>
  </si>
  <si>
    <t>S+ row 801</t>
  </si>
  <si>
    <t>S+ row 802</t>
  </si>
  <si>
    <t>S+ row 803</t>
  </si>
  <si>
    <t>S+ row 804</t>
  </si>
  <si>
    <t>S+ row 805</t>
  </si>
  <si>
    <t>S+ row 806</t>
  </si>
  <si>
    <t>S+ row 807</t>
  </si>
  <si>
    <t>S+ row 808</t>
  </si>
  <si>
    <t>S+ row 809</t>
  </si>
  <si>
    <t>S+ row 810</t>
  </si>
  <si>
    <t>S+ row 811</t>
  </si>
  <si>
    <t>S+ row 812</t>
  </si>
  <si>
    <t>S+ row 813</t>
  </si>
  <si>
    <t>S+ row 814</t>
  </si>
  <si>
    <t>S+ row 815</t>
  </si>
  <si>
    <t>S+ row 816</t>
  </si>
  <si>
    <t>S+ row 817</t>
  </si>
  <si>
    <t>S+ row 818</t>
  </si>
  <si>
    <t>S+ row 819</t>
  </si>
  <si>
    <t>S+ row 820</t>
  </si>
  <si>
    <t>S+ row 821</t>
  </si>
  <si>
    <t>S+ row 822</t>
  </si>
  <si>
    <t>S+ row 823</t>
  </si>
  <si>
    <t>S+ row 824</t>
  </si>
  <si>
    <t>S+ row 825</t>
  </si>
  <si>
    <t>S+ row 826</t>
  </si>
  <si>
    <t>S+ row 827</t>
  </si>
  <si>
    <t>S+ row 828</t>
  </si>
  <si>
    <t>S+ row 829</t>
  </si>
  <si>
    <t>S+ row 830</t>
  </si>
  <si>
    <t>S+ row 831</t>
  </si>
  <si>
    <t>S+ row 832</t>
  </si>
  <si>
    <t>S+ row 833</t>
  </si>
  <si>
    <t>S+ row 834</t>
  </si>
  <si>
    <t>S+ row 835</t>
  </si>
  <si>
    <t>S+ row 836</t>
  </si>
  <si>
    <t>S+ row 837</t>
  </si>
  <si>
    <t>S+ row 838</t>
  </si>
  <si>
    <t>S+ row 839</t>
  </si>
  <si>
    <t>S+ row 840</t>
  </si>
  <si>
    <t>S+ row 841</t>
  </si>
  <si>
    <t>S+ row 842</t>
  </si>
  <si>
    <t>S+ row 843</t>
  </si>
  <si>
    <t>S+ row 844</t>
  </si>
  <si>
    <t>S+ row 845</t>
  </si>
  <si>
    <t>S+ row 846</t>
  </si>
  <si>
    <t>S+ row 847</t>
  </si>
  <si>
    <t>S+ row 848</t>
  </si>
  <si>
    <t>S+ row 849</t>
  </si>
  <si>
    <t>S+ row 850</t>
  </si>
  <si>
    <t>S+ row 851</t>
  </si>
  <si>
    <t>S+ row 852</t>
  </si>
  <si>
    <t>S+ row 853</t>
  </si>
  <si>
    <t>S+ row 854</t>
  </si>
  <si>
    <t>S+ row 855</t>
  </si>
  <si>
    <t>S+ row 856</t>
  </si>
  <si>
    <t>S+ row 857</t>
  </si>
  <si>
    <t>S+ row 858</t>
  </si>
  <si>
    <t>S+ row 859</t>
  </si>
  <si>
    <t>S+ row 860</t>
  </si>
  <si>
    <t>S+ row 861</t>
  </si>
  <si>
    <t>S+ row 862</t>
  </si>
  <si>
    <t>S+ row 863</t>
  </si>
  <si>
    <t>S+ row 864</t>
  </si>
  <si>
    <t>S+ row 865</t>
  </si>
  <si>
    <t>S+ row 866</t>
  </si>
  <si>
    <t>S+ row 867</t>
  </si>
  <si>
    <t>S+ row 868</t>
  </si>
  <si>
    <t>S+ row 869</t>
  </si>
  <si>
    <t>S+ row 870</t>
  </si>
  <si>
    <t>S+ row 871</t>
  </si>
  <si>
    <t>S+ row 872</t>
  </si>
  <si>
    <t>S+ row 873</t>
  </si>
  <si>
    <t>S+ row 874</t>
  </si>
  <si>
    <t>S+ row 875</t>
  </si>
  <si>
    <t>S+ row 876</t>
  </si>
  <si>
    <t>S+ row 877</t>
  </si>
  <si>
    <t>S+ row 878</t>
  </si>
  <si>
    <t>S+ row 879</t>
  </si>
  <si>
    <t>S+ row 880</t>
  </si>
  <si>
    <t>S+ row 881</t>
  </si>
  <si>
    <t>S+ row 882</t>
  </si>
  <si>
    <t>S+ row 883</t>
  </si>
  <si>
    <t>S+ row 884</t>
  </si>
  <si>
    <t>S+ row 885</t>
  </si>
  <si>
    <t>S+ row 886</t>
  </si>
  <si>
    <t>S+ row 887</t>
  </si>
  <si>
    <t>S+ row 888</t>
  </si>
  <si>
    <t>S+ row 889</t>
  </si>
  <si>
    <t>S+ row 890</t>
  </si>
  <si>
    <t>S+ row 891</t>
  </si>
  <si>
    <t>S+ row 892</t>
  </si>
  <si>
    <t>S+ row 893</t>
  </si>
  <si>
    <t>S+ row 894</t>
  </si>
  <si>
    <t>S+ row 895</t>
  </si>
  <si>
    <t>S+ row 896</t>
  </si>
  <si>
    <t>S+ row 897</t>
  </si>
  <si>
    <t>S+ row 898</t>
  </si>
  <si>
    <t>S+ row 899</t>
  </si>
  <si>
    <t>S+ row 900</t>
  </si>
  <si>
    <t>S+ row 901</t>
  </si>
  <si>
    <t>S+ row 902</t>
  </si>
  <si>
    <t>S+ row 903</t>
  </si>
  <si>
    <t>S+ row 904</t>
  </si>
  <si>
    <t>S+ row 905</t>
  </si>
  <si>
    <t>S+ row 906</t>
  </si>
  <si>
    <t>S+ row 907</t>
  </si>
  <si>
    <t>S+ row 908</t>
  </si>
  <si>
    <t>S+ row 909</t>
  </si>
  <si>
    <t>S+ row 910</t>
  </si>
  <si>
    <t>S+ row 911</t>
  </si>
  <si>
    <t>S+ row 912</t>
  </si>
  <si>
    <t>S+ row 913</t>
  </si>
  <si>
    <t>S+ row 914</t>
  </si>
  <si>
    <t>S+ row 915</t>
  </si>
  <si>
    <t>S+ row 916</t>
  </si>
  <si>
    <t>S+ row 917</t>
  </si>
  <si>
    <t>S+ row 918</t>
  </si>
  <si>
    <t>S+ row 919</t>
  </si>
  <si>
    <t>S+ row 920</t>
  </si>
  <si>
    <t>S+ row 921</t>
  </si>
  <si>
    <t>S+ row 922</t>
  </si>
  <si>
    <t>S+ row 923</t>
  </si>
  <si>
    <t>S+ row 924</t>
  </si>
  <si>
    <t>S+ row 925</t>
  </si>
  <si>
    <t>S+ row 926</t>
  </si>
  <si>
    <t>S+ row 927</t>
  </si>
  <si>
    <t>S+ row 928</t>
  </si>
  <si>
    <t>S+ row 929</t>
  </si>
  <si>
    <t>S+ row 930</t>
  </si>
  <si>
    <t>S+ row 931</t>
  </si>
  <si>
    <t>S+ row 932</t>
  </si>
  <si>
    <t>S+ row 933</t>
  </si>
  <si>
    <t>S+ row 934</t>
  </si>
  <si>
    <t>S+ row 935</t>
  </si>
  <si>
    <t>S+ row 936</t>
  </si>
  <si>
    <t>S+ row 937</t>
  </si>
  <si>
    <t>S+ row 938</t>
  </si>
  <si>
    <t>S+ row 939</t>
  </si>
  <si>
    <t>S+ row 940</t>
  </si>
  <si>
    <t>S+ row 941</t>
  </si>
  <si>
    <t>S+ row 942</t>
  </si>
  <si>
    <t>S+ row 943</t>
  </si>
  <si>
    <t>S+ row 944</t>
  </si>
  <si>
    <t>S+ row 945</t>
  </si>
  <si>
    <t>S+ row 946</t>
  </si>
  <si>
    <t>S+ row 947</t>
  </si>
  <si>
    <t>S+ row 948</t>
  </si>
  <si>
    <t>S+ row 949</t>
  </si>
  <si>
    <t>S+ row 950</t>
  </si>
  <si>
    <t>S+ row 951</t>
  </si>
  <si>
    <t>S+ row 952</t>
  </si>
  <si>
    <t>S+ row 953</t>
  </si>
  <si>
    <t>S+ row 954</t>
  </si>
  <si>
    <t>S+ row 955</t>
  </si>
  <si>
    <t>S+ row 956</t>
  </si>
  <si>
    <t>S+ row 957</t>
  </si>
  <si>
    <t>S+ row 958</t>
  </si>
  <si>
    <t>S+ row 959</t>
  </si>
  <si>
    <t>S+ row 960</t>
  </si>
  <si>
    <t>S+ row 961</t>
  </si>
  <si>
    <t>S+ row 962</t>
  </si>
  <si>
    <t>S+ row 963</t>
  </si>
  <si>
    <t>S+ row 964</t>
  </si>
  <si>
    <t>S+ row 965</t>
  </si>
  <si>
    <t>S+ row 966</t>
  </si>
  <si>
    <t>S+ row 967</t>
  </si>
  <si>
    <t>S+ row 968</t>
  </si>
  <si>
    <t>S+ row 969</t>
  </si>
  <si>
    <t>S+ row 970</t>
  </si>
  <si>
    <t>S+ row 971</t>
  </si>
  <si>
    <t>S+ row 972</t>
  </si>
  <si>
    <t>S+ row 973</t>
  </si>
  <si>
    <t>S+ row 974</t>
  </si>
  <si>
    <t>S+ row 975</t>
  </si>
  <si>
    <t>S+ row 976</t>
  </si>
  <si>
    <t>S+ row 977</t>
  </si>
  <si>
    <t>S+ row 978</t>
  </si>
  <si>
    <t>S+ row 979</t>
  </si>
  <si>
    <t>S+ row 980</t>
  </si>
  <si>
    <t>S+ row 981</t>
  </si>
  <si>
    <t>S+ row 982</t>
  </si>
  <si>
    <t>This page. The register (section 3) lists every source document.</t>
  </si>
  <si>
    <t>Master Fee List</t>
  </si>
  <si>
    <t>MASTER unified list (table MasterFees)</t>
  </si>
  <si>
    <t>Every operation/fee row from every source. RVG code + base units sit on the left (purple); each row tagged with Source ID.</t>
  </si>
  <si>
    <t>Each merge – rows appended, never overwritten</t>
  </si>
  <si>
    <t>Solusions+ Operations List</t>
  </si>
  <si>
    <t>Backup of SRC-00</t>
  </si>
  <si>
    <t>Original Anaesthesia Associates export from the Solutions Plus system. Frozen reference – do not edit.</t>
  </si>
  <si>
    <t>Never</t>
  </si>
  <si>
    <t>RVG Codes</t>
  </si>
  <si>
    <t>NZSA RVG 2021 lookup (table RVGCodes)</t>
  </si>
  <si>
    <t>Default base units by RVG code. Feeds Master columns A–B. Currently empty – populate from SRC-01.</t>
  </si>
  <si>
    <t>Once; again if a new RVG edition is issued</t>
  </si>
  <si>
    <t>Only if data comes from a query/connector. Not needed for PDF uploads.</t>
  </si>
  <si>
    <t>Flow:   Source PDF  →  SRC-xx extract tab (as printed)  →  standardised rows appended to Master Fee List (with Source ID + RVG code)  →  register updated</t>
  </si>
  <si>
    <t>Solutions Plus system export (Anaesthesia Associates operation listing, pages 1–19)</t>
  </si>
  <si>
    <t>Anaesthesia Associates / Solutions Plus</t>
  </si>
  <si>
    <t>981 rows ported 28 Sep 2026. Source Page and Number not carried over. Cost ≈ Total units × $55. GST basis unknown – confirm and set GST Basis in master. RVG codes not yet mapped.</t>
  </si>
  <si>
    <t>Defines RVG codes + default base units – no dollar fees. Extract Section II into the RVG Codes tab; then map codes onto master rows.</t>
  </si>
  <si>
    <t>SRC-02 and SRC-03 are a first sample – registered but NOT yet extracted. More documents will be added over time: type the next row directly under the table (row 27) and it extends automatically (SRC-04, SRC-05 …).</t>
  </si>
  <si>
    <t>4. Master Fee List – column standard</t>
  </si>
  <si>
    <t>NZSA RVG code (e.g. H6a, A3). First-class field – the default base units. Map every row where a sensible code exists. Blue = typed input.</t>
  </si>
  <si>
    <t>Formula – looks up the code in RVG Codes. Don't type here. Shows 'Code not found' if the code isn't in the lookup.</t>
  </si>
  <si>
    <t>C</t>
  </si>
  <si>
    <t>Procedure description as printed in the source.</t>
  </si>
  <si>
    <t>D</t>
  </si>
  <si>
    <t>Who the fee applies to, e.g. Solutions Plus, CESL – SX AP, CESL – HNZ, CESL – ACC, SXAP.</t>
  </si>
  <si>
    <t>E</t>
  </si>
  <si>
    <t>Provider/payer's own code if given (e.g. AP1313, OPT101).</t>
  </si>
  <si>
    <t>F</t>
  </si>
  <si>
    <t>Drop-down: RVG units | Fixed fee | Add-on | Time band | Other.</t>
  </si>
  <si>
    <t>G</t>
  </si>
  <si>
    <t>Billed basic units (RVG-style sources only).</t>
  </si>
  <si>
    <t>Billed time units (RVG-style sources only).</t>
  </si>
  <si>
    <t>Billed modifying units (RVG-style sources only).</t>
  </si>
  <si>
    <t>Total billed units as printed.</t>
  </si>
  <si>
    <t>The $ amount exactly as shown in the source.</t>
  </si>
  <si>
    <t>Drop-down: Excl | Incl | Unknown – what K represents.</t>
  </si>
  <si>
    <t>Formula from K, L and GST_Rate. Blank when GST Basis = Unknown.</t>
  </si>
  <si>
    <t>Formula: K ÷ Total Units (blank when no units).</t>
  </si>
  <si>
    <t>Q</t>
  </si>
  <si>
    <t>R</t>
  </si>
  <si>
    <t>Where in the source: 'S+ row n' for SRC-00; 'p.2' or section name for PDFs.</t>
  </si>
  <si>
    <t>S</t>
  </si>
  <si>
    <t>GA vs LA, add-on to cataract, per 15 mins, combined totals, etc.</t>
  </si>
  <si>
    <t>Template is expected to evolve: if a new source has a shape that doesn't fit, add a column to MasterFees (and a row here) rather than forcing data into Notes.</t>
  </si>
  <si>
    <t>NZ GST – named range GST_Rate, used by Master Fee List columns M–N.</t>
  </si>
  <si>
    <t>Claude appends standardised rows to the bottom of Master Fee List (table MasterFees) following section 4, with Source ID and Source Ref on every row, and an RVG Code where a sensible match exists. Existing rows are never overwritten.</t>
  </si>
  <si>
    <t>Purple = RVG columns (first-class). Blue = typed inputs; black = formulas; green = values ported/extracted from source documents.</t>
  </si>
  <si>
    <t>Read the Info tab first and follow it. I've uploaded one new fee document. (1) Add it to the Source register with the next Source ID. (2) Extract it faithfully to a new 'SRC-xx &lt;Name&gt;' tab. (3) Append standardised rows to the bottom of the MasterFees table on 'Master Fee List' using the column standard in section 4 – Source ID and Source Ref on every row, RVG Code where a sensible match exists. Don't change existing rows. If the document doesn't fit the template, propose new columns before adding them. (4) Set the status to Merged and confirm the row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</si>
</sst>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
    <numFmt numFmtId="166" formatCode="0.0%"/>
    <numFmt numFmtId="167" formatCode="0.0;\-0.0;\-"/>
    <numFmt numFmtId="168" formatCode="&quot;$&quot;#,##0.00;\(&quot;$&quot;#,##0.00\);\-"/>
    <numFmt numFmtId="169" formatCode="&quot;$&quot;#,##0.00"/>
    <numFmt numFmtId="170" formatCode="d\ mmm\ yyyy"/>
  </numFmts>
  <fonts count="17" x14ac:knownFonts="1">
    <font>
      <sz val="11"/>
      <color theme="1"/>
      <name val="Calibri"/>
      <family val="2"/>
      <scheme val="minor"/>
    </font>
    <font>
      <b/>
      <sz val="11"/>
      <color rgb="FFFFFFFF"/>
      <name val="Calibri"/>
      <family val="2"/>
    </font>
    <font>
      <sz val="11"/>
      <color rgb="FF008000"/>
      <name val="Calibri"/>
      <family val="2"/>
    </font>
    <font>
      <b/>
      <sz val="16"/>
      <color rgb="FF1F4E78"/>
      <name val="Calibri"/>
      <family val="2"/>
      <scheme val="minor"/>
    </font>
    <font>
      <i/>
      <sz val="11"/>
      <color rgb="FF595959"/>
      <name val="Calibri"/>
      <family val="2"/>
      <scheme val="minor"/>
    </font>
    <font>
      <b/>
      <sz val="13"/>
      <color rgb="FFFFFFFF"/>
      <name val="Calibri"/>
      <family val="2"/>
      <scheme val="minor"/>
    </font>
    <font>
      <b/>
      <sz val="11"/>
      <color theme="1"/>
      <name val="Calibri"/>
      <family val="2"/>
      <scheme val="minor"/>
    </font>
    <font>
      <b/>
      <sz val="11"/>
      <color rgb="FF1F4E78"/>
      <name val="Calibri"/>
      <family val="2"/>
      <scheme val="minor"/>
    </font>
    <font>
      <i/>
      <sz val="10"/>
      <color rgb="FF595959"/>
      <name val="Calibri"/>
      <family val="2"/>
      <scheme val="minor"/>
    </font>
    <font>
      <sz val="11"/>
      <color rgb="FF0000FF"/>
      <name val="Calibri"/>
      <family val="2"/>
      <scheme val="minor"/>
    </font>
    <font>
      <b/>
      <sz val="11"/>
      <color rgb="FF000000"/>
      <name val="Calibri"/>
      <family val="2"/>
      <scheme val="minor"/>
    </font>
    <font>
      <b/>
      <sz val="14"/>
      <color rgb="FF1F4E78"/>
      <name val="Calibri"/>
      <family val="2"/>
      <scheme val="minor"/>
    </font>
    <font>
      <b/>
      <sz val="11"/>
      <color rgb="FFFFFFFF"/>
      <name val="Calibri"/>
      <family val="2"/>
      <scheme val="minor"/>
    </font>
    <font>
      <sz val="11"/>
      <color rgb="FF008000"/>
      <name val="Calibri"/>
      <family val="2"/>
      <scheme val="minor"/>
    </font>
    <font>
      <sz val="11"/>
      <color rgb="FF000000"/>
      <name val="Calibri"/>
      <family val="2"/>
      <scheme val="minor"/>
    </font>
    <font>
      <sz val="10"/>
      <color rgb="FF000000"/>
      <name val="Tahoma"/>
      <family val="2"/>
    </font>
    <font>
      <b/>
      <sz val="10"/>
      <color rgb="FF000000"/>
      <name val="Tahoma"/>
      <family val="2"/>
    </font>
  </fonts>
  <fills count="9">
    <fill>
      <patternFill patternType="none"/>
    </fill>
    <fill>
      <patternFill patternType="gray125"/>
    </fill>
    <fill>
      <patternFill patternType="solid">
        <fgColor rgb="FF1F4E78"/>
      </patternFill>
    </fill>
    <fill>
      <patternFill patternType="solid">
        <fgColor rgb="FFF7F9FC"/>
      </patternFill>
    </fill>
    <fill>
      <patternFill patternType="solid">
        <fgColor rgb="FF1F4E78"/>
        <bgColor indexed="64"/>
      </patternFill>
    </fill>
    <fill>
      <patternFill patternType="solid">
        <fgColor rgb="FFDDEBF7"/>
        <bgColor indexed="64"/>
      </patternFill>
    </fill>
    <fill>
      <patternFill patternType="solid">
        <fgColor rgb="FFFFF2CC"/>
        <bgColor indexed="64"/>
      </patternFill>
    </fill>
    <fill>
      <patternFill patternType="solid">
        <fgColor rgb="FF7030A0"/>
        <bgColor indexed="64"/>
      </patternFill>
    </fill>
    <fill>
      <patternFill patternType="solid">
        <fgColor rgb="FFF3EAF9"/>
        <bgColor indexed="64"/>
      </patternFill>
    </fill>
  </fills>
  <borders count="6">
    <border>
      <left/>
      <right/>
      <top/>
      <bottom/>
      <diagonal/>
    </border>
    <border>
      <left/>
      <right/>
      <top/>
      <bottom style="medium">
        <color rgb="FF1F4E78"/>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3">
    <xf numFmtId="0" fontId="0" fillId="0" borderId="0" xfId="0"/>
    <xf numFmtId="0" fontId="1" fillId="2" borderId="1" xfId="0" applyFont="1" applyFill="1" applyBorder="1" applyAlignment="1">
      <alignment horizontal="center" vertical="center"/>
    </xf>
    <xf numFmtId="1" fontId="2" fillId="3" borderId="0" xfId="0" applyNumberFormat="1" applyFont="1" applyFill="1" applyAlignment="1">
      <alignment horizontal="right" vertical="center"/>
    </xf>
    <xf numFmtId="0" fontId="2" fillId="3" borderId="0" xfId="0" applyFont="1" applyFill="1" applyAlignment="1">
      <alignment horizontal="left" vertical="center"/>
    </xf>
    <xf numFmtId="164" fontId="2" fillId="3" borderId="0" xfId="0" applyNumberFormat="1" applyFont="1" applyFill="1" applyAlignment="1">
      <alignment horizontal="right" vertical="center"/>
    </xf>
    <xf numFmtId="165" fontId="2" fillId="3" borderId="0" xfId="0" applyNumberFormat="1" applyFont="1" applyFill="1" applyAlignment="1">
      <alignment horizontal="right" vertical="center"/>
    </xf>
    <xf numFmtId="1" fontId="2" fillId="0" borderId="0" xfId="0" applyNumberFormat="1" applyFont="1" applyAlignment="1">
      <alignment horizontal="right" vertical="center"/>
    </xf>
    <xf numFmtId="0" fontId="2" fillId="0" borderId="0" xfId="0" applyFont="1" applyAlignment="1">
      <alignment horizontal="left" vertical="center"/>
    </xf>
    <xf numFmtId="164" fontId="2" fillId="0" borderId="0" xfId="0" applyNumberFormat="1" applyFont="1" applyAlignment="1">
      <alignment horizontal="right" vertical="center"/>
    </xf>
    <xf numFmtId="165" fontId="2" fillId="0" borderId="0" xfId="0" applyNumberFormat="1" applyFont="1" applyAlignment="1">
      <alignment horizontal="right" vertical="center"/>
    </xf>
    <xf numFmtId="0" fontId="0" fillId="0" borderId="0" xfId="0" applyFont="1"/>
    <xf numFmtId="0" fontId="3" fillId="0" borderId="0" xfId="0" applyFont="1"/>
    <xf numFmtId="0" fontId="4" fillId="0" borderId="0" xfId="0" applyFont="1"/>
    <xf numFmtId="0" fontId="5" fillId="4" borderId="0" xfId="0" applyFont="1" applyFill="1"/>
    <xf numFmtId="0" fontId="0" fillId="4" borderId="0" xfId="0" applyFont="1" applyFill="1"/>
    <xf numFmtId="0" fontId="6" fillId="0" borderId="0" xfId="0" applyFont="1"/>
    <xf numFmtId="0" fontId="7" fillId="0" borderId="0" xfId="0" applyFont="1"/>
    <xf numFmtId="0" fontId="0" fillId="0" borderId="0" xfId="0" applyFont="1" applyAlignment="1">
      <alignment vertical="top"/>
    </xf>
    <xf numFmtId="0" fontId="0" fillId="0" borderId="0" xfId="0" applyFont="1" applyAlignment="1">
      <alignment horizontal="center" vertical="top"/>
    </xf>
    <xf numFmtId="0" fontId="0" fillId="0" borderId="0" xfId="0" applyFont="1" applyAlignment="1">
      <alignment vertical="top" wrapText="1"/>
    </xf>
    <xf numFmtId="0" fontId="6" fillId="5" borderId="0" xfId="0" applyFont="1" applyFill="1"/>
    <xf numFmtId="0" fontId="6" fillId="5" borderId="2" xfId="0" applyFont="1" applyFill="1" applyBorder="1"/>
    <xf numFmtId="0" fontId="8" fillId="0" borderId="0" xfId="0" applyFont="1" applyAlignment="1">
      <alignment horizontal="center"/>
    </xf>
    <xf numFmtId="0" fontId="6" fillId="0" borderId="0" xfId="0" applyFont="1" applyAlignment="1">
      <alignment horizontal="center"/>
    </xf>
    <xf numFmtId="166" fontId="9" fillId="0" borderId="0" xfId="0" applyNumberFormat="1" applyFont="1" applyAlignment="1">
      <alignment horizontal="left"/>
    </xf>
    <xf numFmtId="0" fontId="0" fillId="6" borderId="3" xfId="0" applyFill="1" applyBorder="1" applyAlignment="1">
      <alignment vertical="top" wrapText="1"/>
    </xf>
    <xf numFmtId="0" fontId="0" fillId="6" borderId="4" xfId="0" applyFill="1" applyBorder="1" applyAlignment="1">
      <alignment vertical="top" wrapText="1"/>
    </xf>
    <xf numFmtId="0" fontId="0" fillId="6" borderId="5" xfId="0" applyFill="1" applyBorder="1" applyAlignment="1">
      <alignment vertical="top" wrapText="1"/>
    </xf>
    <xf numFmtId="0" fontId="8" fillId="0" borderId="0" xfId="0" applyFont="1"/>
    <xf numFmtId="49" fontId="0" fillId="0" borderId="0" xfId="0" applyNumberFormat="1" applyFont="1" applyAlignment="1">
      <alignment vertical="top"/>
    </xf>
    <xf numFmtId="0" fontId="0" fillId="4" borderId="0" xfId="0" applyFill="1"/>
    <xf numFmtId="0" fontId="10" fillId="5" borderId="2" xfId="0" applyFont="1" applyFill="1" applyBorder="1"/>
    <xf numFmtId="0" fontId="11" fillId="0" borderId="0" xfId="0" applyFont="1"/>
    <xf numFmtId="1" fontId="0" fillId="0" borderId="0" xfId="0" applyNumberFormat="1" applyFont="1"/>
    <xf numFmtId="0" fontId="12" fillId="7" borderId="0" xfId="0" applyFont="1" applyFill="1" applyAlignment="1">
      <alignment vertical="center" wrapText="1"/>
    </xf>
    <xf numFmtId="0" fontId="12" fillId="4" borderId="0" xfId="0" applyFont="1" applyFill="1" applyAlignment="1">
      <alignment vertical="center" wrapText="1"/>
    </xf>
    <xf numFmtId="0" fontId="9" fillId="8" borderId="0" xfId="0" applyFont="1" applyFill="1" applyAlignment="1">
      <alignment horizontal="center"/>
    </xf>
    <xf numFmtId="0" fontId="13" fillId="0" borderId="0" xfId="0" applyFont="1"/>
    <xf numFmtId="1" fontId="14" fillId="8" borderId="0" xfId="0" applyNumberFormat="1" applyFont="1" applyFill="1" applyAlignment="1">
      <alignment horizontal="center"/>
    </xf>
    <xf numFmtId="167" fontId="13" fillId="0" borderId="0" xfId="0" applyNumberFormat="1" applyFont="1"/>
    <xf numFmtId="168" fontId="13" fillId="0" borderId="0" xfId="0" applyNumberFormat="1" applyFont="1"/>
    <xf numFmtId="168" fontId="14" fillId="0" borderId="0" xfId="0" applyNumberFormat="1" applyFont="1"/>
    <xf numFmtId="169" fontId="14" fillId="0" borderId="0" xfId="0" applyNumberFormat="1" applyFont="1"/>
    <xf numFmtId="170" fontId="13" fillId="0" borderId="0" xfId="0" applyNumberFormat="1" applyFont="1"/>
    <xf numFmtId="0" fontId="13" fillId="0" borderId="0" xfId="0" applyFont="1" applyAlignment="1">
      <alignment horizontal="left"/>
    </xf>
    <xf numFmtId="168" fontId="13" fillId="0" borderId="0" xfId="0" applyNumberFormat="1" applyFont="1" applyAlignment="1">
      <alignment horizontal="center"/>
    </xf>
    <xf numFmtId="0" fontId="13" fillId="0" borderId="0" xfId="0" applyFont="1" applyAlignment="1">
      <alignment horizontal="center"/>
    </xf>
    <xf numFmtId="0" fontId="14" fillId="0" borderId="0" xfId="0" applyFont="1" applyFill="1"/>
    <xf numFmtId="0" fontId="10" fillId="0" borderId="0" xfId="0" applyFont="1" applyFill="1" applyAlignment="1">
      <alignment vertical="top"/>
    </xf>
    <xf numFmtId="0" fontId="14" fillId="0" borderId="0" xfId="0" applyFont="1" applyFill="1" applyAlignment="1">
      <alignment vertical="top" wrapText="1"/>
    </xf>
    <xf numFmtId="0" fontId="14" fillId="0" borderId="0" xfId="0" applyFont="1" applyFill="1" applyAlignment="1">
      <alignment horizontal="center"/>
    </xf>
    <xf numFmtId="0" fontId="14" fillId="8" borderId="0" xfId="0" applyFont="1" applyFill="1" applyAlignment="1">
      <alignment horizontal="center"/>
    </xf>
    <xf numFmtId="0" fontId="14" fillId="8" borderId="0" xfId="0" applyFont="1" applyFill="1"/>
  </cellXfs>
  <cellStyles count="1">
    <cellStyle name="Normal" xfId="0" builtinId="0"/>
  </cellStyles>
  <dxfs count="42">
    <dxf>
      <font>
        <sz val="11"/>
        <color rgb="FF008000"/>
        <name val="Calibri"/>
      </font>
      <alignment horizontal="center"/>
    </dxf>
    <dxf>
      <font>
        <sz val="11"/>
        <color rgb="FF008000"/>
        <name val="Calibri"/>
      </font>
      <alignment horizontal="center"/>
    </dxf>
    <dxf>
      <font>
        <sz val="11"/>
        <color rgb="FF008000"/>
        <name val="Calibri"/>
      </font>
      <alignment horizontal="center"/>
    </dxf>
    <dxf>
      <font>
        <sz val="11"/>
        <color rgb="FF008000"/>
        <name val="Calibri"/>
      </font>
      <alignment horizontal="left"/>
    </dxf>
    <dxf>
      <font>
        <sz val="11"/>
        <color rgb="FF008000"/>
        <name val="Calibri"/>
      </font>
      <alignment horizontal="left"/>
    </dxf>
    <dxf>
      <font>
        <sz val="11"/>
        <color rgb="FF008000"/>
        <name val="Calibri"/>
      </font>
      <alignment horizontal="left"/>
    </dxf>
    <dxf>
      <font>
        <sz val="11"/>
        <color rgb="FF008000"/>
        <name val="Calibri"/>
      </font>
      <numFmt numFmtId="170" formatCode="d\ mmm\ yyyy"/>
    </dxf>
    <dxf>
      <font>
        <sz val="11"/>
        <color rgb="FF000000"/>
        <name val="Calibri"/>
      </font>
      <numFmt numFmtId="169" formatCode="&quot;$&quot;#,##0.00"/>
    </dxf>
    <dxf>
      <font>
        <sz val="11"/>
        <color rgb="FF000000"/>
        <name val="Calibri"/>
      </font>
      <numFmt numFmtId="1" formatCode="0"/>
      <fill>
        <patternFill patternType="solid">
          <fgColor indexed="64"/>
          <bgColor rgb="FFF3EAF9"/>
        </patternFill>
      </fill>
      <alignment horizontal="center"/>
    </dxf>
    <dxf>
      <font>
        <sz val="11"/>
        <color rgb="FF000000"/>
        <name val="Calibri"/>
      </font>
    </dxf>
    <dxf>
      <font>
        <sz val="11"/>
        <color rgb="FF000000"/>
        <name val="Calibri"/>
      </font>
    </dxf>
    <dxf>
      <font>
        <sz val="11"/>
        <color rgb="FF008000"/>
        <name val="Calibri"/>
      </font>
    </dxf>
    <dxf>
      <font>
        <sz val="11"/>
        <color rgb="FF008000"/>
        <name val="Calibri"/>
      </font>
    </dxf>
    <dxf>
      <font>
        <sz val="11"/>
        <color rgb="FF008000"/>
        <name val="Calibri"/>
      </font>
    </dxf>
    <dxf>
      <font>
        <sz val="11"/>
        <color rgb="FF008000"/>
        <name val="Calibri"/>
      </font>
    </dxf>
    <dxf>
      <font>
        <sz val="11"/>
        <color rgb="FF008000"/>
        <name val="Calibri"/>
      </font>
    </dxf>
    <dxf>
      <font>
        <sz val="11"/>
        <color rgb="FF008000"/>
        <name val="Calibri"/>
      </font>
    </dxf>
    <dxf>
      <font>
        <sz val="11"/>
        <color rgb="FF008000"/>
        <name val="Calibri"/>
      </font>
    </dxf>
    <dxf>
      <font>
        <sz val="11"/>
        <color rgb="FF0000FF"/>
        <name val="Calibri"/>
      </font>
      <fill>
        <patternFill patternType="solid">
          <fgColor indexed="64"/>
          <bgColor rgb="FFF3EAF9"/>
        </patternFill>
      </fill>
      <alignment horizontal="center"/>
    </dxf>
    <dxf>
      <font>
        <b/>
        <sz val="11"/>
        <name val="Calibri"/>
      </font>
      <alignment vertical="center" wrapText="1"/>
    </dxf>
    <dxf>
      <font>
        <sz val="11"/>
        <name val="Calibri"/>
      </font>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vertical="top" wrapText="1"/>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wrapText="1"/>
    </dxf>
    <dxf>
      <font>
        <b val="0"/>
        <i val="0"/>
        <strike val="0"/>
        <condense val="0"/>
        <extend val="0"/>
        <outline val="0"/>
        <shadow val="0"/>
        <u val="none"/>
        <vertAlign val="baseline"/>
        <sz val="11"/>
        <color theme="1"/>
        <name val="Calibri"/>
        <family val="2"/>
        <scheme val="minor"/>
      </font>
      <numFmt numFmtId="0" formatCode="General"/>
      <alignment horizontal="center"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alignment vertical="top"/>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DD7EE1-5680-D147-9452-48F4A836CF7A}" name="SourceRegister" displayName="SourceRegister" ref="A22:J26" totalsRowShown="0" headerRowDxfId="41" dataDxfId="31">
  <autoFilter ref="A22:J26" xr:uid="{63DD7EE1-5680-D147-9452-48F4A836CF7A}"/>
  <tableColumns count="10">
    <tableColumn id="1" xr3:uid="{D2493B02-F663-7645-9EC2-7B3BF5A467FD}" name="Source ID" dataDxfId="40"/>
    <tableColumn id="2" xr3:uid="{C8FBE8D9-6A5F-C44E-8E6E-E78A8683E126}" name="Document (file name)" dataDxfId="30"/>
    <tableColumn id="3" xr3:uid="{D95E6871-31CD-F94B-AFC7-4669BD11FC7D}" name="Provider / issuer" dataDxfId="39"/>
    <tableColumn id="4" xr3:uid="{5494211B-DBEA-0544-919B-9C80ED99A9E4}" name="Fee basis" dataDxfId="38"/>
    <tableColumn id="5" xr3:uid="{C29A7C79-CF25-684F-AD39-07C1AF0EFC19}" name="Effective date" dataDxfId="37"/>
    <tableColumn id="6" xr3:uid="{72721D51-5976-FE48-89A1-BF675B9A3DC4}" name="GST basis" dataDxfId="36"/>
    <tableColumn id="7" xr3:uid="{56A14B1A-B0F6-9045-95C2-545D8A1E371B}" name="Extract tab" dataDxfId="35"/>
    <tableColumn id="8" xr3:uid="{884977DE-888F-8B43-8F9D-0F0E5BDD933E}" name="Status" dataDxfId="34"/>
    <tableColumn id="9" xr3:uid="{CC7B83E2-C29C-E84C-8270-30616F59ED95}" name="Rows in master" dataDxfId="33">
      <calculatedColumnFormula>COUNTIF(MasterFees[Source ID],SourceRegister[[#This Row],[Source ID]])</calculatedColumnFormula>
    </tableColumn>
    <tableColumn id="10" xr3:uid="{2E5B4F8B-8210-2448-9CC9-E43ADBE00BE7}" name="Notes"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9A8A50-6D58-F141-88CF-27A100C76CDC}" name="MasterFees" displayName="MasterFees" ref="A1:S982" totalsRowShown="0" headerRowDxfId="19" dataDxfId="20">
  <autoFilter ref="A1:S982" xr:uid="{879A8A50-6D58-F141-88CF-27A100C76CDC}"/>
  <tableColumns count="19">
    <tableColumn id="1" xr3:uid="{E1A65491-3735-164F-A078-3C5156E807B0}" name="RVG Code" dataDxfId="18"/>
    <tableColumn id="2" xr3:uid="{057316CE-35D3-1D45-B1AF-CC402DEF1F7A}" name="RVG Base Units" dataDxfId="8">
      <calculatedColumnFormula>IF(MasterFees[[#This Row],[RVG Code]]="","",_xlfn.XLOOKUP(MasterFees[[#This Row],[RVG Code]],RVGCodes[Code],RVGCodes[Base Units],"Code not found"))</calculatedColumnFormula>
    </tableColumn>
    <tableColumn id="3" xr3:uid="{930E08D7-2E7E-B348-9582-C2B51D3BCAC7}" name="Operation / Description" dataDxfId="17"/>
    <tableColumn id="4" xr3:uid="{0B107F0B-C58E-8149-8B14-15AD7B125936}" name="Provider / Payer" dataDxfId="5"/>
    <tableColumn id="5" xr3:uid="{399705AA-8C45-0741-8F88-D3D72507912C}" name="Fee Code" dataDxfId="4"/>
    <tableColumn id="6" xr3:uid="{BAA6F264-83C6-C248-8D1D-55309DFA9440}" name="Fee Basis" dataDxfId="3"/>
    <tableColumn id="7" xr3:uid="{DE4368C0-93A4-C545-BECB-636406EB13DB}" name="Basic Units" dataDxfId="16"/>
    <tableColumn id="8" xr3:uid="{DD6A5A2D-BA9D-C24C-87FC-08D1C896A830}" name="Time Units" dataDxfId="15"/>
    <tableColumn id="9" xr3:uid="{388AE80F-C953-1D49-8428-404FC8B7C3C3}" name="Modifying Units" dataDxfId="14"/>
    <tableColumn id="10" xr3:uid="{8CF5614E-2308-2644-A965-97BB33A36A57}" name="Total Units" dataDxfId="13"/>
    <tableColumn id="11" xr3:uid="{B2A1003B-D006-BA46-8B8E-A701DC190B40}" name="Fee as Printed" dataDxfId="12"/>
    <tableColumn id="12" xr3:uid="{929ED0C5-2C7F-5A40-8A32-D4FEFAE62302}" name="GST Basis" dataDxfId="2"/>
    <tableColumn id="13" xr3:uid="{AE2AC229-2D7F-3848-8348-933E63744D35}" name="Fee Excl. GST" dataDxfId="10">
      <calculatedColumnFormula>IF(MasterFees[[#This Row],[GST Basis]]="Excl",MasterFees[[#This Row],[Fee as Printed]],IF(MasterFees[[#This Row],[GST Basis]]="Incl",MasterFees[[#This Row],[Fee as Printed]]/(1+GST_Rate),""))</calculatedColumnFormula>
    </tableColumn>
    <tableColumn id="14" xr3:uid="{F68A527B-D80A-5946-9BE4-237C59EA0B0A}" name="Fee Incl. GST" dataDxfId="9">
      <calculatedColumnFormula>IF(MasterFees[[#This Row],[GST Basis]]="Incl",MasterFees[[#This Row],[Fee as Printed]],IF(MasterFees[[#This Row],[GST Basis]]="Excl",MasterFees[[#This Row],[Fee as Printed]]*(1+GST_Rate),""))</calculatedColumnFormula>
    </tableColumn>
    <tableColumn id="15" xr3:uid="{6B5C5A3C-7B7F-CD4F-84A0-69856B53DCFE}" name="Implied $/Unit" dataDxfId="7">
      <calculatedColumnFormula>IF(N(MasterFees[[#This Row],[Total Units]])=0,"",MasterFees[[#This Row],[Fee as Printed]]/MasterFees[[#This Row],[Total Units]])</calculatedColumnFormula>
    </tableColumn>
    <tableColumn id="16" xr3:uid="{FA6EFE3E-419C-6647-B7ED-54F01EB09085}" name="Effective Date" dataDxfId="6"/>
    <tableColumn id="17" xr3:uid="{92DC63DA-86A9-1247-B907-2218F3AE1163}" name="Source ID" dataDxfId="1"/>
    <tableColumn id="18" xr3:uid="{A1AA1C7B-0A4E-D74B-AE81-6B62EA2B5E3F}" name="Source Ref" dataDxfId="0"/>
    <tableColumn id="19" xr3:uid="{76A1B035-903F-934D-98C8-00964992BB38}" name="Notes / Conditions" dataDxfId="11"/>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49309F-0FE4-6343-B715-A0EC06001622}" name="RVGCodes" displayName="RVGCodes" ref="A4:G5" totalsRowShown="0" headerRowDxfId="23" dataDxfId="24">
  <autoFilter ref="A4:G5" xr:uid="{7449309F-0FE4-6343-B715-A0EC06001622}"/>
  <tableColumns count="7">
    <tableColumn id="1" xr3:uid="{85E79CA9-B43D-5043-840C-FBC2170A81F0}" name="Code" dataDxfId="29"/>
    <tableColumn id="2" xr3:uid="{F98A9D9C-5E94-BE4D-B5AD-805E8578A309}" name="Region" dataDxfId="28"/>
    <tableColumn id="3" xr3:uid="{6E2BF916-0D15-EF4C-86E0-3524CCC1EC71}" name="Sub-category" dataDxfId="27"/>
    <tableColumn id="4" xr3:uid="{AC9FC347-725D-B940-B858-DE2F74778FFB}" name="Procedure" dataDxfId="26"/>
    <tableColumn id="5" xr3:uid="{D79E1CE7-4951-9048-B2B8-0634CB696546}" name="Base Units" dataDxfId="22"/>
    <tableColumn id="6" xr3:uid="{5F8B1A0D-61A0-7045-8E8F-FA01AD384677}" name="Max Units" dataDxfId="21"/>
    <tableColumn id="7" xr3:uid="{7A6F7CBF-2DC3-9941-891D-AACBE9CF185F}" name="Notes" dataDxfId="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D6623FB-4A88-254E-B911-22CF2C84AB48}">
  <we:reference id="WA200010725" version="1.0.0.1" store="Omex" storeType="OMEX"/>
  <we:alternateReferences>
    <we:reference id="WA200010725" version="1.0.0.1" store="WA200010725" storeType="OMEX"/>
  </we:alternateReferences>
  <we:properties>
    <we:property name="claude.fileId" value="&quot;727b7b88-8f37-4ba6-a0c4-107d3bd3f59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64894-B90B-FA48-A33D-5AF3C23D443D}">
  <dimension ref="A1:J74"/>
  <sheetViews>
    <sheetView showGridLines="0" tabSelected="1" workbookViewId="0">
      <pane ySplit="2" topLeftCell="A29" activePane="bottomLeft" state="frozen"/>
      <selection pane="bottomLeft" activeCell="A72" sqref="A72:J72"/>
    </sheetView>
  </sheetViews>
  <sheetFormatPr baseColWidth="10" defaultRowHeight="15" x14ac:dyDescent="0.2"/>
  <cols>
    <col min="1" max="1" width="20" style="10" customWidth="1"/>
    <col min="2" max="2" width="48" style="10" customWidth="1"/>
    <col min="3" max="3" width="28" style="10" customWidth="1"/>
    <col min="4" max="4" width="20" style="10" customWidth="1"/>
    <col min="5" max="5" width="18" style="10" customWidth="1"/>
    <col min="6" max="6" width="16" style="10" customWidth="1"/>
    <col min="7" max="7" width="24" style="10" customWidth="1"/>
    <col min="8" max="8" width="20" style="10" customWidth="1"/>
    <col min="9" max="9" width="15" style="10" customWidth="1"/>
    <col min="10" max="10" width="50" style="10" customWidth="1"/>
  </cols>
  <sheetData>
    <row r="1" spans="1:10" ht="21" x14ac:dyDescent="0.25">
      <c r="A1" s="11" t="s">
        <v>976</v>
      </c>
    </row>
    <row r="2" spans="1:10" x14ac:dyDescent="0.2">
      <c r="A2" s="12" t="s">
        <v>977</v>
      </c>
    </row>
    <row r="4" spans="1:10" ht="17" x14ac:dyDescent="0.2">
      <c r="A4" s="13" t="s">
        <v>978</v>
      </c>
      <c r="B4" s="14"/>
      <c r="C4" s="14"/>
      <c r="D4" s="14"/>
      <c r="E4" s="14"/>
      <c r="F4" s="14"/>
      <c r="G4" s="14"/>
      <c r="H4" s="14"/>
      <c r="I4" s="14"/>
      <c r="J4" s="14"/>
    </row>
    <row r="5" spans="1:10" x14ac:dyDescent="0.2">
      <c r="A5" s="15" t="s">
        <v>979</v>
      </c>
      <c r="B5" s="10" t="s">
        <v>980</v>
      </c>
    </row>
    <row r="6" spans="1:10" x14ac:dyDescent="0.2">
      <c r="A6" s="15" t="s">
        <v>981</v>
      </c>
      <c r="B6" s="10" t="s">
        <v>982</v>
      </c>
    </row>
    <row r="7" spans="1:10" x14ac:dyDescent="0.2">
      <c r="A7" s="15" t="s">
        <v>983</v>
      </c>
      <c r="B7" s="10" t="s">
        <v>984</v>
      </c>
    </row>
    <row r="8" spans="1:10" x14ac:dyDescent="0.2">
      <c r="A8" s="15" t="s">
        <v>985</v>
      </c>
      <c r="B8" s="10" t="s">
        <v>986</v>
      </c>
    </row>
    <row r="10" spans="1:10" ht="17" x14ac:dyDescent="0.2">
      <c r="A10" s="13" t="s">
        <v>987</v>
      </c>
      <c r="B10" s="14"/>
      <c r="C10" s="14"/>
      <c r="D10" s="14"/>
      <c r="E10" s="14"/>
      <c r="F10" s="14"/>
      <c r="G10" s="14"/>
      <c r="H10" s="14"/>
      <c r="I10" s="14"/>
      <c r="J10" s="14"/>
    </row>
    <row r="11" spans="1:10" x14ac:dyDescent="0.2">
      <c r="A11" s="20" t="s">
        <v>988</v>
      </c>
      <c r="B11" s="20" t="s">
        <v>989</v>
      </c>
      <c r="C11" s="20" t="s">
        <v>990</v>
      </c>
      <c r="D11" s="20" t="s">
        <v>991</v>
      </c>
    </row>
    <row r="12" spans="1:10" ht="32" x14ac:dyDescent="0.2">
      <c r="A12" s="48" t="s">
        <v>992</v>
      </c>
      <c r="B12" s="49" t="s">
        <v>993</v>
      </c>
      <c r="C12" s="49" t="s">
        <v>2091</v>
      </c>
      <c r="D12" s="49" t="s">
        <v>994</v>
      </c>
    </row>
    <row r="13" spans="1:10" ht="64" x14ac:dyDescent="0.2">
      <c r="A13" s="48" t="s">
        <v>2092</v>
      </c>
      <c r="B13" s="49" t="s">
        <v>2093</v>
      </c>
      <c r="C13" s="49" t="s">
        <v>2094</v>
      </c>
      <c r="D13" s="49" t="s">
        <v>2095</v>
      </c>
    </row>
    <row r="14" spans="1:10" ht="64" x14ac:dyDescent="0.2">
      <c r="A14" s="48" t="s">
        <v>2096</v>
      </c>
      <c r="B14" s="49" t="s">
        <v>2097</v>
      </c>
      <c r="C14" s="49" t="s">
        <v>2098</v>
      </c>
      <c r="D14" s="49" t="s">
        <v>2099</v>
      </c>
    </row>
    <row r="15" spans="1:10" ht="64" x14ac:dyDescent="0.2">
      <c r="A15" s="48" t="s">
        <v>2100</v>
      </c>
      <c r="B15" s="49" t="s">
        <v>2101</v>
      </c>
      <c r="C15" s="49" t="s">
        <v>2102</v>
      </c>
      <c r="D15" s="49" t="s">
        <v>2103</v>
      </c>
    </row>
    <row r="16" spans="1:10" ht="48" x14ac:dyDescent="0.2">
      <c r="A16" s="48" t="s">
        <v>995</v>
      </c>
      <c r="B16" s="49" t="s">
        <v>996</v>
      </c>
      <c r="C16" s="49" t="s">
        <v>997</v>
      </c>
      <c r="D16" s="49" t="s">
        <v>998</v>
      </c>
    </row>
    <row r="17" spans="1:10" ht="48" x14ac:dyDescent="0.2">
      <c r="A17" s="48" t="s">
        <v>999</v>
      </c>
      <c r="B17" s="49" t="s">
        <v>1000</v>
      </c>
      <c r="C17" s="49" t="s">
        <v>2104</v>
      </c>
      <c r="D17" s="49" t="s">
        <v>1001</v>
      </c>
    </row>
    <row r="19" spans="1:10" x14ac:dyDescent="0.2">
      <c r="A19" s="16" t="s">
        <v>2105</v>
      </c>
    </row>
    <row r="21" spans="1:10" ht="17" x14ac:dyDescent="0.2">
      <c r="A21" s="13" t="s">
        <v>1002</v>
      </c>
      <c r="B21" s="14"/>
      <c r="C21" s="14"/>
      <c r="D21" s="14"/>
      <c r="E21" s="14"/>
      <c r="F21" s="14"/>
      <c r="G21" s="14"/>
      <c r="H21" s="14"/>
      <c r="I21" s="14"/>
      <c r="J21" s="14"/>
    </row>
    <row r="22" spans="1:10" x14ac:dyDescent="0.2">
      <c r="A22" s="10" t="s">
        <v>1003</v>
      </c>
      <c r="B22" s="10" t="s">
        <v>1004</v>
      </c>
      <c r="C22" s="10" t="s">
        <v>1005</v>
      </c>
      <c r="D22" s="10" t="s">
        <v>1006</v>
      </c>
      <c r="E22" s="10" t="s">
        <v>1007</v>
      </c>
      <c r="F22" s="10" t="s">
        <v>1008</v>
      </c>
      <c r="G22" s="10" t="s">
        <v>1009</v>
      </c>
      <c r="H22" s="10" t="s">
        <v>1010</v>
      </c>
      <c r="I22" s="10" t="s">
        <v>1011</v>
      </c>
      <c r="J22" s="10" t="s">
        <v>1012</v>
      </c>
    </row>
    <row r="23" spans="1:10" ht="48" x14ac:dyDescent="0.2">
      <c r="A23" s="17" t="s">
        <v>1013</v>
      </c>
      <c r="B23" s="19" t="s">
        <v>2106</v>
      </c>
      <c r="C23" s="17" t="s">
        <v>2107</v>
      </c>
      <c r="D23" s="17" t="s">
        <v>1014</v>
      </c>
      <c r="E23" s="29" t="s">
        <v>1015</v>
      </c>
      <c r="F23" s="17" t="s">
        <v>1015</v>
      </c>
      <c r="G23" s="17" t="s">
        <v>2096</v>
      </c>
      <c r="H23" s="17" t="s">
        <v>1016</v>
      </c>
      <c r="I23" s="18">
        <f>COUNTIF(MasterFees[Source ID],SourceRegister[[#This Row],[Source ID]])</f>
        <v>981</v>
      </c>
      <c r="J23" s="19" t="s">
        <v>2108</v>
      </c>
    </row>
    <row r="24" spans="1:10" ht="48" x14ac:dyDescent="0.2">
      <c r="A24" s="17" t="s">
        <v>1017</v>
      </c>
      <c r="B24" s="19" t="s">
        <v>1018</v>
      </c>
      <c r="C24" s="17" t="s">
        <v>1019</v>
      </c>
      <c r="D24" s="17" t="s">
        <v>1020</v>
      </c>
      <c r="E24" s="29">
        <v>2021</v>
      </c>
      <c r="F24" s="17" t="s">
        <v>1021</v>
      </c>
      <c r="G24" s="17" t="s">
        <v>2100</v>
      </c>
      <c r="H24" s="17" t="s">
        <v>1029</v>
      </c>
      <c r="I24" s="18">
        <f>COUNTIF(MasterFees[Source ID],SourceRegister[[#This Row],[Source ID]])</f>
        <v>0</v>
      </c>
      <c r="J24" s="19" t="s">
        <v>2109</v>
      </c>
    </row>
    <row r="25" spans="1:10" ht="48" x14ac:dyDescent="0.2">
      <c r="A25" s="17" t="s">
        <v>1022</v>
      </c>
      <c r="B25" s="19" t="s">
        <v>1023</v>
      </c>
      <c r="C25" s="17" t="s">
        <v>1024</v>
      </c>
      <c r="D25" s="17" t="s">
        <v>1025</v>
      </c>
      <c r="E25" s="29" t="s">
        <v>1026</v>
      </c>
      <c r="F25" s="17" t="s">
        <v>1027</v>
      </c>
      <c r="G25" s="17" t="s">
        <v>1028</v>
      </c>
      <c r="H25" s="17" t="s">
        <v>1029</v>
      </c>
      <c r="I25" s="18">
        <f>COUNTIF(MasterFees[Source ID],SourceRegister[[#This Row],[Source ID]])</f>
        <v>0</v>
      </c>
      <c r="J25" s="19" t="s">
        <v>1035</v>
      </c>
    </row>
    <row r="26" spans="1:10" ht="32" x14ac:dyDescent="0.2">
      <c r="A26" s="17" t="s">
        <v>1030</v>
      </c>
      <c r="B26" s="19" t="s">
        <v>1031</v>
      </c>
      <c r="C26" s="17" t="s">
        <v>1032</v>
      </c>
      <c r="D26" s="17" t="s">
        <v>1025</v>
      </c>
      <c r="E26" s="29" t="s">
        <v>1081</v>
      </c>
      <c r="F26" s="17" t="s">
        <v>1033</v>
      </c>
      <c r="G26" s="17" t="s">
        <v>1034</v>
      </c>
      <c r="H26" s="17" t="s">
        <v>1029</v>
      </c>
      <c r="I26" s="18">
        <f>COUNTIF(MasterFees[Source ID],SourceRegister[[#This Row],[Source ID]])</f>
        <v>0</v>
      </c>
      <c r="J26" s="19" t="s">
        <v>1036</v>
      </c>
    </row>
    <row r="27" spans="1:10" x14ac:dyDescent="0.2">
      <c r="A27"/>
      <c r="B27"/>
      <c r="C27"/>
      <c r="D27"/>
      <c r="E27"/>
      <c r="F27"/>
      <c r="G27"/>
      <c r="H27"/>
      <c r="I27"/>
      <c r="J27"/>
    </row>
    <row r="28" spans="1:10" x14ac:dyDescent="0.2">
      <c r="A28" s="28" t="s">
        <v>2110</v>
      </c>
      <c r="B28"/>
      <c r="C28"/>
      <c r="D28"/>
      <c r="E28"/>
      <c r="F28"/>
      <c r="G28"/>
      <c r="H28"/>
      <c r="I28"/>
      <c r="J28"/>
    </row>
    <row r="29" spans="1:10" ht="17" x14ac:dyDescent="0.2">
      <c r="A29" s="13" t="s">
        <v>2111</v>
      </c>
      <c r="B29" s="30"/>
      <c r="C29" s="30"/>
      <c r="D29" s="30"/>
      <c r="E29" s="30"/>
      <c r="F29" s="30"/>
      <c r="G29" s="30"/>
      <c r="H29" s="30"/>
      <c r="I29" s="30"/>
      <c r="J29" s="30"/>
    </row>
    <row r="30" spans="1:10" x14ac:dyDescent="0.2">
      <c r="A30" s="31" t="s">
        <v>1037</v>
      </c>
      <c r="B30" s="21" t="s">
        <v>1038</v>
      </c>
      <c r="C30" s="21" t="s">
        <v>1039</v>
      </c>
    </row>
    <row r="31" spans="1:10" x14ac:dyDescent="0.2">
      <c r="A31" s="51" t="s">
        <v>1040</v>
      </c>
      <c r="B31" s="52" t="s">
        <v>1090</v>
      </c>
      <c r="C31" s="47" t="s">
        <v>2112</v>
      </c>
    </row>
    <row r="32" spans="1:10" x14ac:dyDescent="0.2">
      <c r="A32" s="51" t="s">
        <v>1041</v>
      </c>
      <c r="B32" s="52" t="s">
        <v>1091</v>
      </c>
      <c r="C32" s="47" t="s">
        <v>2113</v>
      </c>
    </row>
    <row r="33" spans="1:3" x14ac:dyDescent="0.2">
      <c r="A33" s="50" t="s">
        <v>2114</v>
      </c>
      <c r="B33" s="47" t="s">
        <v>1092</v>
      </c>
      <c r="C33" s="47" t="s">
        <v>2115</v>
      </c>
    </row>
    <row r="34" spans="1:3" x14ac:dyDescent="0.2">
      <c r="A34" s="50" t="s">
        <v>2116</v>
      </c>
      <c r="B34" s="47" t="s">
        <v>1093</v>
      </c>
      <c r="C34" s="47" t="s">
        <v>2117</v>
      </c>
    </row>
    <row r="35" spans="1:3" x14ac:dyDescent="0.2">
      <c r="A35" s="50" t="s">
        <v>2118</v>
      </c>
      <c r="B35" s="47" t="s">
        <v>1094</v>
      </c>
      <c r="C35" s="47" t="s">
        <v>2119</v>
      </c>
    </row>
    <row r="36" spans="1:3" x14ac:dyDescent="0.2">
      <c r="A36" s="50" t="s">
        <v>2120</v>
      </c>
      <c r="B36" s="47" t="s">
        <v>1095</v>
      </c>
      <c r="C36" s="47" t="s">
        <v>2121</v>
      </c>
    </row>
    <row r="37" spans="1:3" x14ac:dyDescent="0.2">
      <c r="A37" s="50" t="s">
        <v>2122</v>
      </c>
      <c r="B37" s="47" t="s">
        <v>1096</v>
      </c>
      <c r="C37" s="47" t="s">
        <v>2123</v>
      </c>
    </row>
    <row r="38" spans="1:3" x14ac:dyDescent="0.2">
      <c r="A38" s="50" t="s">
        <v>1042</v>
      </c>
      <c r="B38" s="47" t="s">
        <v>1097</v>
      </c>
      <c r="C38" s="47" t="s">
        <v>2124</v>
      </c>
    </row>
    <row r="39" spans="1:3" x14ac:dyDescent="0.2">
      <c r="A39" s="50" t="s">
        <v>1043</v>
      </c>
      <c r="B39" s="47" t="s">
        <v>1098</v>
      </c>
      <c r="C39" s="47" t="s">
        <v>2125</v>
      </c>
    </row>
    <row r="40" spans="1:3" x14ac:dyDescent="0.2">
      <c r="A40" s="50" t="s">
        <v>1045</v>
      </c>
      <c r="B40" s="47" t="s">
        <v>1099</v>
      </c>
      <c r="C40" s="47" t="s">
        <v>2126</v>
      </c>
    </row>
    <row r="41" spans="1:3" x14ac:dyDescent="0.2">
      <c r="A41" s="50" t="s">
        <v>1046</v>
      </c>
      <c r="B41" s="47" t="s">
        <v>1100</v>
      </c>
      <c r="C41" s="47" t="s">
        <v>2127</v>
      </c>
    </row>
    <row r="42" spans="1:3" x14ac:dyDescent="0.2">
      <c r="A42" s="50" t="s">
        <v>1047</v>
      </c>
      <c r="B42" s="47" t="s">
        <v>1101</v>
      </c>
      <c r="C42" s="47" t="s">
        <v>2128</v>
      </c>
    </row>
    <row r="43" spans="1:3" x14ac:dyDescent="0.2">
      <c r="A43" s="50" t="s">
        <v>1048</v>
      </c>
      <c r="B43" s="47" t="s">
        <v>1102</v>
      </c>
      <c r="C43" s="47" t="s">
        <v>2129</v>
      </c>
    </row>
    <row r="44" spans="1:3" x14ac:dyDescent="0.2">
      <c r="A44" s="50" t="s">
        <v>1049</v>
      </c>
      <c r="B44" s="47" t="s">
        <v>1103</v>
      </c>
      <c r="C44" s="47" t="s">
        <v>2129</v>
      </c>
    </row>
    <row r="45" spans="1:3" x14ac:dyDescent="0.2">
      <c r="A45" s="50" t="s">
        <v>1050</v>
      </c>
      <c r="B45" s="47" t="s">
        <v>1104</v>
      </c>
      <c r="C45" s="47" t="s">
        <v>2130</v>
      </c>
    </row>
    <row r="46" spans="1:3" x14ac:dyDescent="0.2">
      <c r="A46" s="50" t="s">
        <v>1052</v>
      </c>
      <c r="B46" s="47" t="s">
        <v>1105</v>
      </c>
      <c r="C46" s="47" t="s">
        <v>1051</v>
      </c>
    </row>
    <row r="47" spans="1:3" x14ac:dyDescent="0.2">
      <c r="A47" s="50" t="s">
        <v>2131</v>
      </c>
      <c r="B47" s="47" t="s">
        <v>1003</v>
      </c>
      <c r="C47" s="47" t="s">
        <v>1044</v>
      </c>
    </row>
    <row r="48" spans="1:3" x14ac:dyDescent="0.2">
      <c r="A48" s="50" t="s">
        <v>2132</v>
      </c>
      <c r="B48" s="47" t="s">
        <v>1106</v>
      </c>
      <c r="C48" s="47" t="s">
        <v>2133</v>
      </c>
    </row>
    <row r="49" spans="1:10" x14ac:dyDescent="0.2">
      <c r="A49" s="50" t="s">
        <v>2134</v>
      </c>
      <c r="B49" s="47" t="s">
        <v>1107</v>
      </c>
      <c r="C49" s="47" t="s">
        <v>2135</v>
      </c>
    </row>
    <row r="50" spans="1:10" x14ac:dyDescent="0.2">
      <c r="A50" s="22" t="s">
        <v>2136</v>
      </c>
    </row>
    <row r="52" spans="1:10" x14ac:dyDescent="0.2">
      <c r="A52" s="23" t="s">
        <v>1053</v>
      </c>
      <c r="B52" s="24">
        <v>0.15</v>
      </c>
      <c r="C52" s="12" t="s">
        <v>2137</v>
      </c>
    </row>
    <row r="54" spans="1:10" ht="17" x14ac:dyDescent="0.2">
      <c r="A54" s="13" t="s">
        <v>1054</v>
      </c>
      <c r="B54" s="14"/>
      <c r="C54" s="14"/>
      <c r="D54" s="14"/>
      <c r="E54" s="14"/>
      <c r="F54" s="14"/>
      <c r="G54" s="14"/>
      <c r="H54" s="14"/>
      <c r="I54" s="14"/>
      <c r="J54" s="14"/>
    </row>
    <row r="55" spans="1:10" x14ac:dyDescent="0.2">
      <c r="A55" s="15" t="s">
        <v>1055</v>
      </c>
      <c r="B55" s="10" t="s">
        <v>1056</v>
      </c>
    </row>
    <row r="56" spans="1:10" x14ac:dyDescent="0.2">
      <c r="A56" s="15" t="s">
        <v>1057</v>
      </c>
      <c r="B56" s="10" t="s">
        <v>1058</v>
      </c>
    </row>
    <row r="57" spans="1:10" x14ac:dyDescent="0.2">
      <c r="A57" s="15" t="s">
        <v>1059</v>
      </c>
      <c r="B57" s="10" t="s">
        <v>1060</v>
      </c>
    </row>
    <row r="58" spans="1:10" x14ac:dyDescent="0.2">
      <c r="A58" s="15" t="s">
        <v>1061</v>
      </c>
      <c r="B58" s="10" t="s">
        <v>2138</v>
      </c>
    </row>
    <row r="59" spans="1:10" x14ac:dyDescent="0.2">
      <c r="A59" s="15" t="s">
        <v>1062</v>
      </c>
      <c r="B59" s="10" t="s">
        <v>1063</v>
      </c>
    </row>
    <row r="60" spans="1:10" x14ac:dyDescent="0.2">
      <c r="A60" s="15" t="s">
        <v>1064</v>
      </c>
      <c r="B60" s="10" t="s">
        <v>1065</v>
      </c>
    </row>
    <row r="61" spans="1:10" x14ac:dyDescent="0.2">
      <c r="A61" s="15" t="s">
        <v>1066</v>
      </c>
      <c r="B61" s="10" t="s">
        <v>1067</v>
      </c>
    </row>
    <row r="63" spans="1:10" ht="17" x14ac:dyDescent="0.2">
      <c r="A63" s="13" t="s">
        <v>1068</v>
      </c>
      <c r="B63" s="14"/>
      <c r="C63" s="14"/>
      <c r="D63" s="14"/>
      <c r="E63" s="14"/>
      <c r="F63" s="14"/>
      <c r="G63" s="14"/>
      <c r="H63" s="14"/>
      <c r="I63" s="14"/>
      <c r="J63" s="14"/>
    </row>
    <row r="64" spans="1:10" x14ac:dyDescent="0.2">
      <c r="A64" s="15" t="s">
        <v>1069</v>
      </c>
      <c r="B64" s="10" t="s">
        <v>1070</v>
      </c>
    </row>
    <row r="65" spans="1:10" x14ac:dyDescent="0.2">
      <c r="A65" s="15" t="s">
        <v>1071</v>
      </c>
      <c r="B65" s="10" t="s">
        <v>1072</v>
      </c>
    </row>
    <row r="66" spans="1:10" x14ac:dyDescent="0.2">
      <c r="A66" s="15" t="s">
        <v>1073</v>
      </c>
      <c r="B66" s="10" t="s">
        <v>1074</v>
      </c>
    </row>
    <row r="67" spans="1:10" x14ac:dyDescent="0.2">
      <c r="A67" s="15" t="s">
        <v>1075</v>
      </c>
      <c r="B67" s="10" t="s">
        <v>1076</v>
      </c>
    </row>
    <row r="68" spans="1:10" x14ac:dyDescent="0.2">
      <c r="A68" s="15" t="s">
        <v>1077</v>
      </c>
      <c r="B68" s="10" t="s">
        <v>2139</v>
      </c>
    </row>
    <row r="69" spans="1:10" x14ac:dyDescent="0.2">
      <c r="A69" s="15" t="s">
        <v>975</v>
      </c>
      <c r="B69" s="10" t="s">
        <v>1078</v>
      </c>
    </row>
    <row r="71" spans="1:10" ht="17" x14ac:dyDescent="0.2">
      <c r="A71" s="13" t="s">
        <v>1079</v>
      </c>
      <c r="B71" s="14"/>
      <c r="C71" s="14"/>
      <c r="D71" s="14"/>
      <c r="E71" s="14"/>
      <c r="F71" s="14"/>
      <c r="G71" s="14"/>
      <c r="H71" s="14"/>
      <c r="I71" s="14"/>
      <c r="J71" s="14"/>
    </row>
    <row r="72" spans="1:10" ht="64" customHeight="1" x14ac:dyDescent="0.2">
      <c r="A72" s="26" t="s">
        <v>2140</v>
      </c>
      <c r="B72" s="25"/>
      <c r="C72" s="25"/>
      <c r="D72" s="25"/>
      <c r="E72" s="25"/>
      <c r="F72" s="25"/>
      <c r="G72" s="25"/>
      <c r="H72" s="25"/>
      <c r="I72" s="25"/>
      <c r="J72" s="27"/>
    </row>
    <row r="73" spans="1:10" x14ac:dyDescent="0.2">
      <c r="A73" s="28" t="s">
        <v>1080</v>
      </c>
    </row>
    <row r="74" spans="1:10" ht="48" customHeight="1" x14ac:dyDescent="0.2"/>
  </sheetData>
  <mergeCells count="1">
    <mergeCell ref="A72:J72"/>
  </mergeCells>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6D172-383E-4F4B-85DD-AB8F623DCBCD}">
  <dimension ref="A1:S982"/>
  <sheetViews>
    <sheetView workbookViewId="0">
      <pane xSplit="3" ySplit="1" topLeftCell="D2" activePane="bottomRight" state="frozen"/>
      <selection pane="topRight" activeCell="D1" sqref="D1"/>
      <selection pane="bottomLeft" activeCell="A2" sqref="A2"/>
      <selection pane="bottomRight"/>
    </sheetView>
  </sheetViews>
  <sheetFormatPr baseColWidth="10" defaultRowHeight="15" x14ac:dyDescent="0.2"/>
  <cols>
    <col min="1" max="2" width="10" customWidth="1"/>
    <col min="3" max="3" width="48" customWidth="1"/>
    <col min="4" max="4" width="20" customWidth="1"/>
    <col min="5" max="5" width="11" customWidth="1"/>
    <col min="6" max="6" width="13" customWidth="1"/>
    <col min="7" max="8" width="9" customWidth="1"/>
    <col min="9" max="9" width="10" customWidth="1"/>
    <col min="10" max="10" width="9" customWidth="1"/>
    <col min="11" max="11" width="12" customWidth="1"/>
    <col min="12" max="12" width="10" customWidth="1"/>
    <col min="13" max="14" width="12" customWidth="1"/>
    <col min="15" max="15" width="11" customWidth="1"/>
    <col min="16" max="16" width="13" customWidth="1"/>
    <col min="17" max="17" width="10" customWidth="1"/>
    <col min="18" max="18" width="12" customWidth="1"/>
    <col min="19" max="19" width="40" customWidth="1"/>
  </cols>
  <sheetData>
    <row r="1" spans="1:19" ht="32" customHeight="1" x14ac:dyDescent="0.2">
      <c r="A1" s="34" t="s">
        <v>1090</v>
      </c>
      <c r="B1" s="34" t="s">
        <v>1091</v>
      </c>
      <c r="C1" s="35" t="s">
        <v>1092</v>
      </c>
      <c r="D1" s="35" t="s">
        <v>1093</v>
      </c>
      <c r="E1" s="35" t="s">
        <v>1094</v>
      </c>
      <c r="F1" s="35" t="s">
        <v>1095</v>
      </c>
      <c r="G1" s="35" t="s">
        <v>1096</v>
      </c>
      <c r="H1" s="35" t="s">
        <v>1097</v>
      </c>
      <c r="I1" s="35" t="s">
        <v>1098</v>
      </c>
      <c r="J1" s="35" t="s">
        <v>1099</v>
      </c>
      <c r="K1" s="35" t="s">
        <v>1100</v>
      </c>
      <c r="L1" s="35" t="s">
        <v>1101</v>
      </c>
      <c r="M1" s="35" t="s">
        <v>1102</v>
      </c>
      <c r="N1" s="35" t="s">
        <v>1103</v>
      </c>
      <c r="O1" s="35" t="s">
        <v>1104</v>
      </c>
      <c r="P1" s="35" t="s">
        <v>1105</v>
      </c>
      <c r="Q1" s="35" t="s">
        <v>1003</v>
      </c>
      <c r="R1" s="35" t="s">
        <v>1106</v>
      </c>
      <c r="S1" s="35" t="s">
        <v>1107</v>
      </c>
    </row>
    <row r="2" spans="1:19" x14ac:dyDescent="0.2">
      <c r="A2" s="36"/>
      <c r="B2" s="38" t="str">
        <f>IF(MasterFees[[#This Row],[RVG Code]]="","",_xlfn.XLOOKUP(MasterFees[[#This Row],[RVG Code]],RVGCodes[Code],RVGCodes[Base Units],"Code not found"))</f>
        <v/>
      </c>
      <c r="C2" s="37" t="s">
        <v>8</v>
      </c>
      <c r="D2" s="44" t="s">
        <v>1108</v>
      </c>
      <c r="E2" s="44"/>
      <c r="F2" s="44" t="s">
        <v>1109</v>
      </c>
      <c r="G2" s="39">
        <v>0</v>
      </c>
      <c r="H2" s="39">
        <v>4</v>
      </c>
      <c r="I2" s="39">
        <v>0</v>
      </c>
      <c r="J2" s="39">
        <v>4</v>
      </c>
      <c r="K2" s="40">
        <v>220</v>
      </c>
      <c r="L2" s="45" t="s">
        <v>1015</v>
      </c>
      <c r="M2" s="41" t="str">
        <f>IF(MasterFees[[#This Row],[GST Basis]]="Excl",MasterFees[[#This Row],[Fee as Printed]],IF(MasterFees[[#This Row],[GST Basis]]="Incl",MasterFees[[#This Row],[Fee as Printed]]/(1+GST_Rate),""))</f>
        <v/>
      </c>
      <c r="N2" s="41" t="str">
        <f>IF(MasterFees[[#This Row],[GST Basis]]="Incl",MasterFees[[#This Row],[Fee as Printed]],IF(MasterFees[[#This Row],[GST Basis]]="Excl",MasterFees[[#This Row],[Fee as Printed]]*(1+GST_Rate),""))</f>
        <v/>
      </c>
      <c r="O2" s="42">
        <f>IF(N(MasterFees[[#This Row],[Total Units]])=0,"",MasterFees[[#This Row],[Fee as Printed]]/MasterFees[[#This Row],[Total Units]])</f>
        <v>55</v>
      </c>
      <c r="P2" s="43"/>
      <c r="Q2" s="46" t="s">
        <v>1013</v>
      </c>
      <c r="R2" s="46" t="s">
        <v>1110</v>
      </c>
      <c r="S2" s="37"/>
    </row>
    <row r="3" spans="1:19" x14ac:dyDescent="0.2">
      <c r="A3" s="36"/>
      <c r="B3" s="38" t="str">
        <f>IF(MasterFees[[#This Row],[RVG Code]]="","",_xlfn.XLOOKUP(MasterFees[[#This Row],[RVG Code]],RVGCodes[Code],RVGCodes[Base Units],"Code not found"))</f>
        <v/>
      </c>
      <c r="C3" s="37" t="s">
        <v>9</v>
      </c>
      <c r="D3" s="44" t="s">
        <v>1108</v>
      </c>
      <c r="E3" s="44"/>
      <c r="F3" s="44" t="s">
        <v>1109</v>
      </c>
      <c r="G3" s="39">
        <v>6</v>
      </c>
      <c r="H3" s="39">
        <v>3.5</v>
      </c>
      <c r="I3" s="39">
        <v>4</v>
      </c>
      <c r="J3" s="39">
        <v>13.5</v>
      </c>
      <c r="K3" s="40">
        <v>742.5</v>
      </c>
      <c r="L3" s="45" t="s">
        <v>1015</v>
      </c>
      <c r="M3" s="41" t="str">
        <f>IF(MasterFees[[#This Row],[GST Basis]]="Excl",MasterFees[[#This Row],[Fee as Printed]],IF(MasterFees[[#This Row],[GST Basis]]="Incl",MasterFees[[#This Row],[Fee as Printed]]/(1+GST_Rate),""))</f>
        <v/>
      </c>
      <c r="N3" s="41" t="str">
        <f>IF(MasterFees[[#This Row],[GST Basis]]="Incl",MasterFees[[#This Row],[Fee as Printed]],IF(MasterFees[[#This Row],[GST Basis]]="Excl",MasterFees[[#This Row],[Fee as Printed]]*(1+GST_Rate),""))</f>
        <v/>
      </c>
      <c r="O3" s="42">
        <f>IF(N(MasterFees[[#This Row],[Total Units]])=0,"",MasterFees[[#This Row],[Fee as Printed]]/MasterFees[[#This Row],[Total Units]])</f>
        <v>55</v>
      </c>
      <c r="P3" s="43"/>
      <c r="Q3" s="46" t="s">
        <v>1013</v>
      </c>
      <c r="R3" s="46" t="s">
        <v>1111</v>
      </c>
      <c r="S3" s="37"/>
    </row>
    <row r="4" spans="1:19" x14ac:dyDescent="0.2">
      <c r="A4" s="36"/>
      <c r="B4" s="38" t="str">
        <f>IF(MasterFees[[#This Row],[RVG Code]]="","",_xlfn.XLOOKUP(MasterFees[[#This Row],[RVG Code]],RVGCodes[Code],RVGCodes[Base Units],"Code not found"))</f>
        <v/>
      </c>
      <c r="C4" s="37" t="s">
        <v>10</v>
      </c>
      <c r="D4" s="44" t="s">
        <v>1108</v>
      </c>
      <c r="E4" s="44"/>
      <c r="F4" s="44" t="s">
        <v>1109</v>
      </c>
      <c r="G4" s="39">
        <v>0</v>
      </c>
      <c r="H4" s="39">
        <v>0</v>
      </c>
      <c r="I4" s="39">
        <v>0</v>
      </c>
      <c r="J4" s="39">
        <v>0</v>
      </c>
      <c r="K4" s="40">
        <v>0</v>
      </c>
      <c r="L4" s="45" t="s">
        <v>1015</v>
      </c>
      <c r="M4" s="41" t="str">
        <f>IF(MasterFees[[#This Row],[GST Basis]]="Excl",MasterFees[[#This Row],[Fee as Printed]],IF(MasterFees[[#This Row],[GST Basis]]="Incl",MasterFees[[#This Row],[Fee as Printed]]/(1+GST_Rate),""))</f>
        <v/>
      </c>
      <c r="N4" s="41" t="str">
        <f>IF(MasterFees[[#This Row],[GST Basis]]="Incl",MasterFees[[#This Row],[Fee as Printed]],IF(MasterFees[[#This Row],[GST Basis]]="Excl",MasterFees[[#This Row],[Fee as Printed]]*(1+GST_Rate),""))</f>
        <v/>
      </c>
      <c r="O4" s="42" t="str">
        <f>IF(N(MasterFees[[#This Row],[Total Units]])=0,"",MasterFees[[#This Row],[Fee as Printed]]/MasterFees[[#This Row],[Total Units]])</f>
        <v/>
      </c>
      <c r="P4" s="43"/>
      <c r="Q4" s="46" t="s">
        <v>1013</v>
      </c>
      <c r="R4" s="46" t="s">
        <v>1112</v>
      </c>
      <c r="S4" s="37"/>
    </row>
    <row r="5" spans="1:19" x14ac:dyDescent="0.2">
      <c r="A5" s="36"/>
      <c r="B5" s="38" t="str">
        <f>IF(MasterFees[[#This Row],[RVG Code]]="","",_xlfn.XLOOKUP(MasterFees[[#This Row],[RVG Code]],RVGCodes[Code],RVGCodes[Base Units],"Code not found"))</f>
        <v/>
      </c>
      <c r="C5" s="37" t="s">
        <v>11</v>
      </c>
      <c r="D5" s="44" t="s">
        <v>1108</v>
      </c>
      <c r="E5" s="44"/>
      <c r="F5" s="44" t="s">
        <v>1109</v>
      </c>
      <c r="G5" s="39">
        <v>4</v>
      </c>
      <c r="H5" s="39">
        <v>5</v>
      </c>
      <c r="I5" s="39">
        <v>3</v>
      </c>
      <c r="J5" s="39">
        <v>12</v>
      </c>
      <c r="K5" s="40">
        <v>660</v>
      </c>
      <c r="L5" s="45" t="s">
        <v>1015</v>
      </c>
      <c r="M5" s="41" t="str">
        <f>IF(MasterFees[[#This Row],[GST Basis]]="Excl",MasterFees[[#This Row],[Fee as Printed]],IF(MasterFees[[#This Row],[GST Basis]]="Incl",MasterFees[[#This Row],[Fee as Printed]]/(1+GST_Rate),""))</f>
        <v/>
      </c>
      <c r="N5" s="41" t="str">
        <f>IF(MasterFees[[#This Row],[GST Basis]]="Incl",MasterFees[[#This Row],[Fee as Printed]],IF(MasterFees[[#This Row],[GST Basis]]="Excl",MasterFees[[#This Row],[Fee as Printed]]*(1+GST_Rate),""))</f>
        <v/>
      </c>
      <c r="O5" s="42">
        <f>IF(N(MasterFees[[#This Row],[Total Units]])=0,"",MasterFees[[#This Row],[Fee as Printed]]/MasterFees[[#This Row],[Total Units]])</f>
        <v>55</v>
      </c>
      <c r="P5" s="43"/>
      <c r="Q5" s="46" t="s">
        <v>1013</v>
      </c>
      <c r="R5" s="46" t="s">
        <v>1113</v>
      </c>
      <c r="S5" s="37"/>
    </row>
    <row r="6" spans="1:19" x14ac:dyDescent="0.2">
      <c r="A6" s="36"/>
      <c r="B6" s="38" t="str">
        <f>IF(MasterFees[[#This Row],[RVG Code]]="","",_xlfn.XLOOKUP(MasterFees[[#This Row],[RVG Code]],RVGCodes[Code],RVGCodes[Base Units],"Code not found"))</f>
        <v/>
      </c>
      <c r="C6" s="37" t="s">
        <v>12</v>
      </c>
      <c r="D6" s="44" t="s">
        <v>1108</v>
      </c>
      <c r="E6" s="44"/>
      <c r="F6" s="44" t="s">
        <v>1109</v>
      </c>
      <c r="G6" s="39">
        <v>5</v>
      </c>
      <c r="H6" s="39">
        <v>3</v>
      </c>
      <c r="I6" s="39">
        <v>0</v>
      </c>
      <c r="J6" s="39">
        <v>8</v>
      </c>
      <c r="K6" s="40">
        <v>440</v>
      </c>
      <c r="L6" s="45" t="s">
        <v>1015</v>
      </c>
      <c r="M6" s="41" t="str">
        <f>IF(MasterFees[[#This Row],[GST Basis]]="Excl",MasterFees[[#This Row],[Fee as Printed]],IF(MasterFees[[#This Row],[GST Basis]]="Incl",MasterFees[[#This Row],[Fee as Printed]]/(1+GST_Rate),""))</f>
        <v/>
      </c>
      <c r="N6" s="41" t="str">
        <f>IF(MasterFees[[#This Row],[GST Basis]]="Incl",MasterFees[[#This Row],[Fee as Printed]],IF(MasterFees[[#This Row],[GST Basis]]="Excl",MasterFees[[#This Row],[Fee as Printed]]*(1+GST_Rate),""))</f>
        <v/>
      </c>
      <c r="O6" s="42">
        <f>IF(N(MasterFees[[#This Row],[Total Units]])=0,"",MasterFees[[#This Row],[Fee as Printed]]/MasterFees[[#This Row],[Total Units]])</f>
        <v>55</v>
      </c>
      <c r="P6" s="43"/>
      <c r="Q6" s="46" t="s">
        <v>1013</v>
      </c>
      <c r="R6" s="46" t="s">
        <v>1114</v>
      </c>
      <c r="S6" s="37"/>
    </row>
    <row r="7" spans="1:19" x14ac:dyDescent="0.2">
      <c r="A7" s="36"/>
      <c r="B7" s="38" t="str">
        <f>IF(MasterFees[[#This Row],[RVG Code]]="","",_xlfn.XLOOKUP(MasterFees[[#This Row],[RVG Code]],RVGCodes[Code],RVGCodes[Base Units],"Code not found"))</f>
        <v/>
      </c>
      <c r="C7" s="37" t="s">
        <v>13</v>
      </c>
      <c r="D7" s="44" t="s">
        <v>1108</v>
      </c>
      <c r="E7" s="44"/>
      <c r="F7" s="44" t="s">
        <v>1109</v>
      </c>
      <c r="G7" s="39">
        <v>4</v>
      </c>
      <c r="H7" s="39">
        <v>5</v>
      </c>
      <c r="I7" s="39">
        <v>3</v>
      </c>
      <c r="J7" s="39">
        <v>12</v>
      </c>
      <c r="K7" s="40">
        <v>660</v>
      </c>
      <c r="L7" s="45" t="s">
        <v>1015</v>
      </c>
      <c r="M7" s="41" t="str">
        <f>IF(MasterFees[[#This Row],[GST Basis]]="Excl",MasterFees[[#This Row],[Fee as Printed]],IF(MasterFees[[#This Row],[GST Basis]]="Incl",MasterFees[[#This Row],[Fee as Printed]]/(1+GST_Rate),""))</f>
        <v/>
      </c>
      <c r="N7" s="41" t="str">
        <f>IF(MasterFees[[#This Row],[GST Basis]]="Incl",MasterFees[[#This Row],[Fee as Printed]],IF(MasterFees[[#This Row],[GST Basis]]="Excl",MasterFees[[#This Row],[Fee as Printed]]*(1+GST_Rate),""))</f>
        <v/>
      </c>
      <c r="O7" s="42">
        <f>IF(N(MasterFees[[#This Row],[Total Units]])=0,"",MasterFees[[#This Row],[Fee as Printed]]/MasterFees[[#This Row],[Total Units]])</f>
        <v>55</v>
      </c>
      <c r="P7" s="43"/>
      <c r="Q7" s="46" t="s">
        <v>1013</v>
      </c>
      <c r="R7" s="46" t="s">
        <v>1115</v>
      </c>
      <c r="S7" s="37"/>
    </row>
    <row r="8" spans="1:19" x14ac:dyDescent="0.2">
      <c r="A8" s="36"/>
      <c r="B8" s="38" t="str">
        <f>IF(MasterFees[[#This Row],[RVG Code]]="","",_xlfn.XLOOKUP(MasterFees[[#This Row],[RVG Code]],RVGCodes[Code],RVGCodes[Base Units],"Code not found"))</f>
        <v/>
      </c>
      <c r="C8" s="37" t="s">
        <v>14</v>
      </c>
      <c r="D8" s="44" t="s">
        <v>1108</v>
      </c>
      <c r="E8" s="44"/>
      <c r="F8" s="44" t="s">
        <v>1109</v>
      </c>
      <c r="G8" s="39">
        <v>0</v>
      </c>
      <c r="H8" s="39">
        <v>0</v>
      </c>
      <c r="I8" s="39">
        <v>0</v>
      </c>
      <c r="J8" s="39">
        <v>0</v>
      </c>
      <c r="K8" s="40">
        <v>0</v>
      </c>
      <c r="L8" s="45" t="s">
        <v>1015</v>
      </c>
      <c r="M8" s="41" t="str">
        <f>IF(MasterFees[[#This Row],[GST Basis]]="Excl",MasterFees[[#This Row],[Fee as Printed]],IF(MasterFees[[#This Row],[GST Basis]]="Incl",MasterFees[[#This Row],[Fee as Printed]]/(1+GST_Rate),""))</f>
        <v/>
      </c>
      <c r="N8" s="41" t="str">
        <f>IF(MasterFees[[#This Row],[GST Basis]]="Incl",MasterFees[[#This Row],[Fee as Printed]],IF(MasterFees[[#This Row],[GST Basis]]="Excl",MasterFees[[#This Row],[Fee as Printed]]*(1+GST_Rate),""))</f>
        <v/>
      </c>
      <c r="O8" s="42" t="str">
        <f>IF(N(MasterFees[[#This Row],[Total Units]])=0,"",MasterFees[[#This Row],[Fee as Printed]]/MasterFees[[#This Row],[Total Units]])</f>
        <v/>
      </c>
      <c r="P8" s="43"/>
      <c r="Q8" s="46" t="s">
        <v>1013</v>
      </c>
      <c r="R8" s="46" t="s">
        <v>1116</v>
      </c>
      <c r="S8" s="37"/>
    </row>
    <row r="9" spans="1:19" x14ac:dyDescent="0.2">
      <c r="A9" s="36"/>
      <c r="B9" s="38" t="str">
        <f>IF(MasterFees[[#This Row],[RVG Code]]="","",_xlfn.XLOOKUP(MasterFees[[#This Row],[RVG Code]],RVGCodes[Code],RVGCodes[Base Units],"Code not found"))</f>
        <v/>
      </c>
      <c r="C9" s="37" t="s">
        <v>15</v>
      </c>
      <c r="D9" s="44" t="s">
        <v>1108</v>
      </c>
      <c r="E9" s="44"/>
      <c r="F9" s="44" t="s">
        <v>1109</v>
      </c>
      <c r="G9" s="39">
        <v>0</v>
      </c>
      <c r="H9" s="39">
        <v>0</v>
      </c>
      <c r="I9" s="39">
        <v>0</v>
      </c>
      <c r="J9" s="39">
        <v>0</v>
      </c>
      <c r="K9" s="40">
        <v>0</v>
      </c>
      <c r="L9" s="45" t="s">
        <v>1015</v>
      </c>
      <c r="M9" s="41" t="str">
        <f>IF(MasterFees[[#This Row],[GST Basis]]="Excl",MasterFees[[#This Row],[Fee as Printed]],IF(MasterFees[[#This Row],[GST Basis]]="Incl",MasterFees[[#This Row],[Fee as Printed]]/(1+GST_Rate),""))</f>
        <v/>
      </c>
      <c r="N9" s="41" t="str">
        <f>IF(MasterFees[[#This Row],[GST Basis]]="Incl",MasterFees[[#This Row],[Fee as Printed]],IF(MasterFees[[#This Row],[GST Basis]]="Excl",MasterFees[[#This Row],[Fee as Printed]]*(1+GST_Rate),""))</f>
        <v/>
      </c>
      <c r="O9" s="42" t="str">
        <f>IF(N(MasterFees[[#This Row],[Total Units]])=0,"",MasterFees[[#This Row],[Fee as Printed]]/MasterFees[[#This Row],[Total Units]])</f>
        <v/>
      </c>
      <c r="P9" s="43"/>
      <c r="Q9" s="46" t="s">
        <v>1013</v>
      </c>
      <c r="R9" s="46" t="s">
        <v>1117</v>
      </c>
      <c r="S9" s="37"/>
    </row>
    <row r="10" spans="1:19" x14ac:dyDescent="0.2">
      <c r="A10" s="36"/>
      <c r="B10" s="38" t="str">
        <f>IF(MasterFees[[#This Row],[RVG Code]]="","",_xlfn.XLOOKUP(MasterFees[[#This Row],[RVG Code]],RVGCodes[Code],RVGCodes[Base Units],"Code not found"))</f>
        <v/>
      </c>
      <c r="C10" s="37" t="s">
        <v>16</v>
      </c>
      <c r="D10" s="44" t="s">
        <v>1108</v>
      </c>
      <c r="E10" s="44"/>
      <c r="F10" s="44" t="s">
        <v>1109</v>
      </c>
      <c r="G10" s="39">
        <v>6.2</v>
      </c>
      <c r="H10" s="39">
        <v>7.2</v>
      </c>
      <c r="I10" s="39">
        <v>0.5</v>
      </c>
      <c r="J10" s="39">
        <v>13.9</v>
      </c>
      <c r="K10" s="40">
        <v>761.75</v>
      </c>
      <c r="L10" s="45" t="s">
        <v>1015</v>
      </c>
      <c r="M10" s="41" t="str">
        <f>IF(MasterFees[[#This Row],[GST Basis]]="Excl",MasterFees[[#This Row],[Fee as Printed]],IF(MasterFees[[#This Row],[GST Basis]]="Incl",MasterFees[[#This Row],[Fee as Printed]]/(1+GST_Rate),""))</f>
        <v/>
      </c>
      <c r="N10" s="41" t="str">
        <f>IF(MasterFees[[#This Row],[GST Basis]]="Incl",MasterFees[[#This Row],[Fee as Printed]],IF(MasterFees[[#This Row],[GST Basis]]="Excl",MasterFees[[#This Row],[Fee as Printed]]*(1+GST_Rate),""))</f>
        <v/>
      </c>
      <c r="O10" s="42">
        <f>IF(N(MasterFees[[#This Row],[Total Units]])=0,"",MasterFees[[#This Row],[Fee as Printed]]/MasterFees[[#This Row],[Total Units]])</f>
        <v>54.802158273381295</v>
      </c>
      <c r="P10" s="43"/>
      <c r="Q10" s="46" t="s">
        <v>1013</v>
      </c>
      <c r="R10" s="46" t="s">
        <v>1118</v>
      </c>
      <c r="S10" s="37"/>
    </row>
    <row r="11" spans="1:19" x14ac:dyDescent="0.2">
      <c r="A11" s="36"/>
      <c r="B11" s="38" t="str">
        <f>IF(MasterFees[[#This Row],[RVG Code]]="","",_xlfn.XLOOKUP(MasterFees[[#This Row],[RVG Code]],RVGCodes[Code],RVGCodes[Base Units],"Code not found"))</f>
        <v/>
      </c>
      <c r="C11" s="37" t="s">
        <v>17</v>
      </c>
      <c r="D11" s="44" t="s">
        <v>1108</v>
      </c>
      <c r="E11" s="44"/>
      <c r="F11" s="44" t="s">
        <v>1109</v>
      </c>
      <c r="G11" s="39">
        <v>3.5</v>
      </c>
      <c r="H11" s="39">
        <v>5.2</v>
      </c>
      <c r="I11" s="39">
        <v>0.2</v>
      </c>
      <c r="J11" s="39">
        <v>8.8000000000000007</v>
      </c>
      <c r="K11" s="40">
        <v>485.1</v>
      </c>
      <c r="L11" s="45" t="s">
        <v>1015</v>
      </c>
      <c r="M11" s="41" t="str">
        <f>IF(MasterFees[[#This Row],[GST Basis]]="Excl",MasterFees[[#This Row],[Fee as Printed]],IF(MasterFees[[#This Row],[GST Basis]]="Incl",MasterFees[[#This Row],[Fee as Printed]]/(1+GST_Rate),""))</f>
        <v/>
      </c>
      <c r="N11" s="41" t="str">
        <f>IF(MasterFees[[#This Row],[GST Basis]]="Incl",MasterFees[[#This Row],[Fee as Printed]],IF(MasterFees[[#This Row],[GST Basis]]="Excl",MasterFees[[#This Row],[Fee as Printed]]*(1+GST_Rate),""))</f>
        <v/>
      </c>
      <c r="O11" s="42">
        <f>IF(N(MasterFees[[#This Row],[Total Units]])=0,"",MasterFees[[#This Row],[Fee as Printed]]/MasterFees[[#This Row],[Total Units]])</f>
        <v>55.125</v>
      </c>
      <c r="P11" s="43"/>
      <c r="Q11" s="46" t="s">
        <v>1013</v>
      </c>
      <c r="R11" s="46" t="s">
        <v>1119</v>
      </c>
      <c r="S11" s="37"/>
    </row>
    <row r="12" spans="1:19" x14ac:dyDescent="0.2">
      <c r="A12" s="36"/>
      <c r="B12" s="38" t="str">
        <f>IF(MasterFees[[#This Row],[RVG Code]]="","",_xlfn.XLOOKUP(MasterFees[[#This Row],[RVG Code]],RVGCodes[Code],RVGCodes[Base Units],"Code not found"))</f>
        <v/>
      </c>
      <c r="C12" s="37" t="s">
        <v>18</v>
      </c>
      <c r="D12" s="44" t="s">
        <v>1108</v>
      </c>
      <c r="E12" s="44"/>
      <c r="F12" s="44" t="s">
        <v>1109</v>
      </c>
      <c r="G12" s="39">
        <v>8</v>
      </c>
      <c r="H12" s="39">
        <v>14</v>
      </c>
      <c r="I12" s="39">
        <v>0</v>
      </c>
      <c r="J12" s="39">
        <v>22</v>
      </c>
      <c r="K12" s="40">
        <v>1210</v>
      </c>
      <c r="L12" s="45" t="s">
        <v>1015</v>
      </c>
      <c r="M12" s="41" t="str">
        <f>IF(MasterFees[[#This Row],[GST Basis]]="Excl",MasterFees[[#This Row],[Fee as Printed]],IF(MasterFees[[#This Row],[GST Basis]]="Incl",MasterFees[[#This Row],[Fee as Printed]]/(1+GST_Rate),""))</f>
        <v/>
      </c>
      <c r="N12" s="41" t="str">
        <f>IF(MasterFees[[#This Row],[GST Basis]]="Incl",MasterFees[[#This Row],[Fee as Printed]],IF(MasterFees[[#This Row],[GST Basis]]="Excl",MasterFees[[#This Row],[Fee as Printed]]*(1+GST_Rate),""))</f>
        <v/>
      </c>
      <c r="O12" s="42">
        <f>IF(N(MasterFees[[#This Row],[Total Units]])=0,"",MasterFees[[#This Row],[Fee as Printed]]/MasterFees[[#This Row],[Total Units]])</f>
        <v>55</v>
      </c>
      <c r="P12" s="43"/>
      <c r="Q12" s="46" t="s">
        <v>1013</v>
      </c>
      <c r="R12" s="46" t="s">
        <v>1120</v>
      </c>
      <c r="S12" s="37"/>
    </row>
    <row r="13" spans="1:19" x14ac:dyDescent="0.2">
      <c r="A13" s="36"/>
      <c r="B13" s="38" t="str">
        <f>IF(MasterFees[[#This Row],[RVG Code]]="","",_xlfn.XLOOKUP(MasterFees[[#This Row],[RVG Code]],RVGCodes[Code],RVGCodes[Base Units],"Code not found"))</f>
        <v/>
      </c>
      <c r="C13" s="37" t="s">
        <v>19</v>
      </c>
      <c r="D13" s="44" t="s">
        <v>1108</v>
      </c>
      <c r="E13" s="44"/>
      <c r="F13" s="44" t="s">
        <v>1109</v>
      </c>
      <c r="G13" s="39">
        <v>7</v>
      </c>
      <c r="H13" s="39">
        <v>13</v>
      </c>
      <c r="I13" s="39">
        <v>1.2</v>
      </c>
      <c r="J13" s="39">
        <v>21.2</v>
      </c>
      <c r="K13" s="40">
        <v>1166</v>
      </c>
      <c r="L13" s="45" t="s">
        <v>1015</v>
      </c>
      <c r="M13" s="41" t="str">
        <f>IF(MasterFees[[#This Row],[GST Basis]]="Excl",MasterFees[[#This Row],[Fee as Printed]],IF(MasterFees[[#This Row],[GST Basis]]="Incl",MasterFees[[#This Row],[Fee as Printed]]/(1+GST_Rate),""))</f>
        <v/>
      </c>
      <c r="N13" s="41" t="str">
        <f>IF(MasterFees[[#This Row],[GST Basis]]="Incl",MasterFees[[#This Row],[Fee as Printed]],IF(MasterFees[[#This Row],[GST Basis]]="Excl",MasterFees[[#This Row],[Fee as Printed]]*(1+GST_Rate),""))</f>
        <v/>
      </c>
      <c r="O13" s="42">
        <f>IF(N(MasterFees[[#This Row],[Total Units]])=0,"",MasterFees[[#This Row],[Fee as Printed]]/MasterFees[[#This Row],[Total Units]])</f>
        <v>55</v>
      </c>
      <c r="P13" s="43"/>
      <c r="Q13" s="46" t="s">
        <v>1013</v>
      </c>
      <c r="R13" s="46" t="s">
        <v>1121</v>
      </c>
      <c r="S13" s="37"/>
    </row>
    <row r="14" spans="1:19" x14ac:dyDescent="0.2">
      <c r="A14" s="36"/>
      <c r="B14" s="38" t="str">
        <f>IF(MasterFees[[#This Row],[RVG Code]]="","",_xlfn.XLOOKUP(MasterFees[[#This Row],[RVG Code]],RVGCodes[Code],RVGCodes[Base Units],"Code not found"))</f>
        <v/>
      </c>
      <c r="C14" s="37" t="s">
        <v>20</v>
      </c>
      <c r="D14" s="44" t="s">
        <v>1108</v>
      </c>
      <c r="E14" s="44"/>
      <c r="F14" s="44" t="s">
        <v>1109</v>
      </c>
      <c r="G14" s="39">
        <v>7.3</v>
      </c>
      <c r="H14" s="39">
        <v>12.1</v>
      </c>
      <c r="I14" s="39">
        <v>0.8</v>
      </c>
      <c r="J14" s="39">
        <v>20.100000000000001</v>
      </c>
      <c r="K14" s="40">
        <v>1104.4000000000001</v>
      </c>
      <c r="L14" s="45" t="s">
        <v>1015</v>
      </c>
      <c r="M14" s="41" t="str">
        <f>IF(MasterFees[[#This Row],[GST Basis]]="Excl",MasterFees[[#This Row],[Fee as Printed]],IF(MasterFees[[#This Row],[GST Basis]]="Incl",MasterFees[[#This Row],[Fee as Printed]]/(1+GST_Rate),""))</f>
        <v/>
      </c>
      <c r="N14" s="41" t="str">
        <f>IF(MasterFees[[#This Row],[GST Basis]]="Incl",MasterFees[[#This Row],[Fee as Printed]],IF(MasterFees[[#This Row],[GST Basis]]="Excl",MasterFees[[#This Row],[Fee as Printed]]*(1+GST_Rate),""))</f>
        <v/>
      </c>
      <c r="O14" s="42">
        <f>IF(N(MasterFees[[#This Row],[Total Units]])=0,"",MasterFees[[#This Row],[Fee as Printed]]/MasterFees[[#This Row],[Total Units]])</f>
        <v>54.945273631840799</v>
      </c>
      <c r="P14" s="43"/>
      <c r="Q14" s="46" t="s">
        <v>1013</v>
      </c>
      <c r="R14" s="46" t="s">
        <v>1122</v>
      </c>
      <c r="S14" s="37"/>
    </row>
    <row r="15" spans="1:19" x14ac:dyDescent="0.2">
      <c r="A15" s="36"/>
      <c r="B15" s="38" t="str">
        <f>IF(MasterFees[[#This Row],[RVG Code]]="","",_xlfn.XLOOKUP(MasterFees[[#This Row],[RVG Code]],RVGCodes[Code],RVGCodes[Base Units],"Code not found"))</f>
        <v/>
      </c>
      <c r="C15" s="37" t="s">
        <v>21</v>
      </c>
      <c r="D15" s="44" t="s">
        <v>1108</v>
      </c>
      <c r="E15" s="44"/>
      <c r="F15" s="44" t="s">
        <v>1109</v>
      </c>
      <c r="G15" s="39">
        <v>0</v>
      </c>
      <c r="H15" s="39">
        <v>13</v>
      </c>
      <c r="I15" s="39">
        <v>0</v>
      </c>
      <c r="J15" s="39">
        <v>13</v>
      </c>
      <c r="K15" s="40">
        <v>715</v>
      </c>
      <c r="L15" s="45" t="s">
        <v>1015</v>
      </c>
      <c r="M15" s="41" t="str">
        <f>IF(MasterFees[[#This Row],[GST Basis]]="Excl",MasterFees[[#This Row],[Fee as Printed]],IF(MasterFees[[#This Row],[GST Basis]]="Incl",MasterFees[[#This Row],[Fee as Printed]]/(1+GST_Rate),""))</f>
        <v/>
      </c>
      <c r="N15" s="41" t="str">
        <f>IF(MasterFees[[#This Row],[GST Basis]]="Incl",MasterFees[[#This Row],[Fee as Printed]],IF(MasterFees[[#This Row],[GST Basis]]="Excl",MasterFees[[#This Row],[Fee as Printed]]*(1+GST_Rate),""))</f>
        <v/>
      </c>
      <c r="O15" s="42">
        <f>IF(N(MasterFees[[#This Row],[Total Units]])=0,"",MasterFees[[#This Row],[Fee as Printed]]/MasterFees[[#This Row],[Total Units]])</f>
        <v>55</v>
      </c>
      <c r="P15" s="43"/>
      <c r="Q15" s="46" t="s">
        <v>1013</v>
      </c>
      <c r="R15" s="46" t="s">
        <v>1123</v>
      </c>
      <c r="S15" s="37"/>
    </row>
    <row r="16" spans="1:19" x14ac:dyDescent="0.2">
      <c r="A16" s="36"/>
      <c r="B16" s="38" t="str">
        <f>IF(MasterFees[[#This Row],[RVG Code]]="","",_xlfn.XLOOKUP(MasterFees[[#This Row],[RVG Code]],RVGCodes[Code],RVGCodes[Base Units],"Code not found"))</f>
        <v/>
      </c>
      <c r="C16" s="37" t="s">
        <v>22</v>
      </c>
      <c r="D16" s="44" t="s">
        <v>1108</v>
      </c>
      <c r="E16" s="44"/>
      <c r="F16" s="44" t="s">
        <v>1109</v>
      </c>
      <c r="G16" s="39">
        <v>8</v>
      </c>
      <c r="H16" s="39">
        <v>20</v>
      </c>
      <c r="I16" s="39">
        <v>2</v>
      </c>
      <c r="J16" s="39">
        <v>30</v>
      </c>
      <c r="K16" s="40">
        <v>1650</v>
      </c>
      <c r="L16" s="45" t="s">
        <v>1015</v>
      </c>
      <c r="M16" s="41" t="str">
        <f>IF(MasterFees[[#This Row],[GST Basis]]="Excl",MasterFees[[#This Row],[Fee as Printed]],IF(MasterFees[[#This Row],[GST Basis]]="Incl",MasterFees[[#This Row],[Fee as Printed]]/(1+GST_Rate),""))</f>
        <v/>
      </c>
      <c r="N16" s="41" t="str">
        <f>IF(MasterFees[[#This Row],[GST Basis]]="Incl",MasterFees[[#This Row],[Fee as Printed]],IF(MasterFees[[#This Row],[GST Basis]]="Excl",MasterFees[[#This Row],[Fee as Printed]]*(1+GST_Rate),""))</f>
        <v/>
      </c>
      <c r="O16" s="42">
        <f>IF(N(MasterFees[[#This Row],[Total Units]])=0,"",MasterFees[[#This Row],[Fee as Printed]]/MasterFees[[#This Row],[Total Units]])</f>
        <v>55</v>
      </c>
      <c r="P16" s="43"/>
      <c r="Q16" s="46" t="s">
        <v>1013</v>
      </c>
      <c r="R16" s="46" t="s">
        <v>1124</v>
      </c>
      <c r="S16" s="37"/>
    </row>
    <row r="17" spans="1:19" x14ac:dyDescent="0.2">
      <c r="A17" s="36"/>
      <c r="B17" s="38" t="str">
        <f>IF(MasterFees[[#This Row],[RVG Code]]="","",_xlfn.XLOOKUP(MasterFees[[#This Row],[RVG Code]],RVGCodes[Code],RVGCodes[Base Units],"Code not found"))</f>
        <v/>
      </c>
      <c r="C17" s="37" t="s">
        <v>23</v>
      </c>
      <c r="D17" s="44" t="s">
        <v>1108</v>
      </c>
      <c r="E17" s="44"/>
      <c r="F17" s="44" t="s">
        <v>1109</v>
      </c>
      <c r="G17" s="39">
        <v>8</v>
      </c>
      <c r="H17" s="39">
        <v>26</v>
      </c>
      <c r="I17" s="39">
        <v>2</v>
      </c>
      <c r="J17" s="39">
        <v>36</v>
      </c>
      <c r="K17" s="40">
        <v>1980</v>
      </c>
      <c r="L17" s="45" t="s">
        <v>1015</v>
      </c>
      <c r="M17" s="41" t="str">
        <f>IF(MasterFees[[#This Row],[GST Basis]]="Excl",MasterFees[[#This Row],[Fee as Printed]],IF(MasterFees[[#This Row],[GST Basis]]="Incl",MasterFees[[#This Row],[Fee as Printed]]/(1+GST_Rate),""))</f>
        <v/>
      </c>
      <c r="N17" s="41" t="str">
        <f>IF(MasterFees[[#This Row],[GST Basis]]="Incl",MasterFees[[#This Row],[Fee as Printed]],IF(MasterFees[[#This Row],[GST Basis]]="Excl",MasterFees[[#This Row],[Fee as Printed]]*(1+GST_Rate),""))</f>
        <v/>
      </c>
      <c r="O17" s="42">
        <f>IF(N(MasterFees[[#This Row],[Total Units]])=0,"",MasterFees[[#This Row],[Fee as Printed]]/MasterFees[[#This Row],[Total Units]])</f>
        <v>55</v>
      </c>
      <c r="P17" s="43"/>
      <c r="Q17" s="46" t="s">
        <v>1013</v>
      </c>
      <c r="R17" s="46" t="s">
        <v>1125</v>
      </c>
      <c r="S17" s="37"/>
    </row>
    <row r="18" spans="1:19" x14ac:dyDescent="0.2">
      <c r="A18" s="36"/>
      <c r="B18" s="38" t="str">
        <f>IF(MasterFees[[#This Row],[RVG Code]]="","",_xlfn.XLOOKUP(MasterFees[[#This Row],[RVG Code]],RVGCodes[Code],RVGCodes[Base Units],"Code not found"))</f>
        <v/>
      </c>
      <c r="C18" s="37" t="s">
        <v>24</v>
      </c>
      <c r="D18" s="44" t="s">
        <v>1108</v>
      </c>
      <c r="E18" s="44"/>
      <c r="F18" s="44" t="s">
        <v>1109</v>
      </c>
      <c r="G18" s="39">
        <v>7.5</v>
      </c>
      <c r="H18" s="39">
        <v>14.4</v>
      </c>
      <c r="I18" s="39">
        <v>0.9</v>
      </c>
      <c r="J18" s="39">
        <v>22.8</v>
      </c>
      <c r="K18" s="40">
        <v>1254</v>
      </c>
      <c r="L18" s="45" t="s">
        <v>1015</v>
      </c>
      <c r="M18" s="41" t="str">
        <f>IF(MasterFees[[#This Row],[GST Basis]]="Excl",MasterFees[[#This Row],[Fee as Printed]],IF(MasterFees[[#This Row],[GST Basis]]="Incl",MasterFees[[#This Row],[Fee as Printed]]/(1+GST_Rate),""))</f>
        <v/>
      </c>
      <c r="N18" s="41" t="str">
        <f>IF(MasterFees[[#This Row],[GST Basis]]="Incl",MasterFees[[#This Row],[Fee as Printed]],IF(MasterFees[[#This Row],[GST Basis]]="Excl",MasterFees[[#This Row],[Fee as Printed]]*(1+GST_Rate),""))</f>
        <v/>
      </c>
      <c r="O18" s="42">
        <f>IF(N(MasterFees[[#This Row],[Total Units]])=0,"",MasterFees[[#This Row],[Fee as Printed]]/MasterFees[[#This Row],[Total Units]])</f>
        <v>55</v>
      </c>
      <c r="P18" s="43"/>
      <c r="Q18" s="46" t="s">
        <v>1013</v>
      </c>
      <c r="R18" s="46" t="s">
        <v>1126</v>
      </c>
      <c r="S18" s="37"/>
    </row>
    <row r="19" spans="1:19" x14ac:dyDescent="0.2">
      <c r="A19" s="36"/>
      <c r="B19" s="38" t="str">
        <f>IF(MasterFees[[#This Row],[RVG Code]]="","",_xlfn.XLOOKUP(MasterFees[[#This Row],[RVG Code]],RVGCodes[Code],RVGCodes[Base Units],"Code not found"))</f>
        <v/>
      </c>
      <c r="C19" s="37" t="s">
        <v>25</v>
      </c>
      <c r="D19" s="44" t="s">
        <v>1108</v>
      </c>
      <c r="E19" s="44"/>
      <c r="F19" s="44" t="s">
        <v>1109</v>
      </c>
      <c r="G19" s="39">
        <v>8.5</v>
      </c>
      <c r="H19" s="39">
        <v>20</v>
      </c>
      <c r="I19" s="39">
        <v>2</v>
      </c>
      <c r="J19" s="39">
        <v>30.5</v>
      </c>
      <c r="K19" s="40">
        <v>1677.5</v>
      </c>
      <c r="L19" s="45" t="s">
        <v>1015</v>
      </c>
      <c r="M19" s="41" t="str">
        <f>IF(MasterFees[[#This Row],[GST Basis]]="Excl",MasterFees[[#This Row],[Fee as Printed]],IF(MasterFees[[#This Row],[GST Basis]]="Incl",MasterFees[[#This Row],[Fee as Printed]]/(1+GST_Rate),""))</f>
        <v/>
      </c>
      <c r="N19" s="41" t="str">
        <f>IF(MasterFees[[#This Row],[GST Basis]]="Incl",MasterFees[[#This Row],[Fee as Printed]],IF(MasterFees[[#This Row],[GST Basis]]="Excl",MasterFees[[#This Row],[Fee as Printed]]*(1+GST_Rate),""))</f>
        <v/>
      </c>
      <c r="O19" s="42">
        <f>IF(N(MasterFees[[#This Row],[Total Units]])=0,"",MasterFees[[#This Row],[Fee as Printed]]/MasterFees[[#This Row],[Total Units]])</f>
        <v>55</v>
      </c>
      <c r="P19" s="43"/>
      <c r="Q19" s="46" t="s">
        <v>1013</v>
      </c>
      <c r="R19" s="46" t="s">
        <v>1127</v>
      </c>
      <c r="S19" s="37"/>
    </row>
    <row r="20" spans="1:19" x14ac:dyDescent="0.2">
      <c r="A20" s="36"/>
      <c r="B20" s="38" t="str">
        <f>IF(MasterFees[[#This Row],[RVG Code]]="","",_xlfn.XLOOKUP(MasterFees[[#This Row],[RVG Code]],RVGCodes[Code],RVGCodes[Base Units],"Code not found"))</f>
        <v/>
      </c>
      <c r="C20" s="37" t="s">
        <v>26</v>
      </c>
      <c r="D20" s="44" t="s">
        <v>1108</v>
      </c>
      <c r="E20" s="44"/>
      <c r="F20" s="44" t="s">
        <v>1109</v>
      </c>
      <c r="G20" s="39">
        <v>0</v>
      </c>
      <c r="H20" s="39">
        <v>0</v>
      </c>
      <c r="I20" s="39">
        <v>0</v>
      </c>
      <c r="J20" s="39">
        <v>0</v>
      </c>
      <c r="K20" s="40">
        <v>0</v>
      </c>
      <c r="L20" s="45" t="s">
        <v>1015</v>
      </c>
      <c r="M20" s="41" t="str">
        <f>IF(MasterFees[[#This Row],[GST Basis]]="Excl",MasterFees[[#This Row],[Fee as Printed]],IF(MasterFees[[#This Row],[GST Basis]]="Incl",MasterFees[[#This Row],[Fee as Printed]]/(1+GST_Rate),""))</f>
        <v/>
      </c>
      <c r="N20" s="41" t="str">
        <f>IF(MasterFees[[#This Row],[GST Basis]]="Incl",MasterFees[[#This Row],[Fee as Printed]],IF(MasterFees[[#This Row],[GST Basis]]="Excl",MasterFees[[#This Row],[Fee as Printed]]*(1+GST_Rate),""))</f>
        <v/>
      </c>
      <c r="O20" s="42" t="str">
        <f>IF(N(MasterFees[[#This Row],[Total Units]])=0,"",MasterFees[[#This Row],[Fee as Printed]]/MasterFees[[#This Row],[Total Units]])</f>
        <v/>
      </c>
      <c r="P20" s="43"/>
      <c r="Q20" s="46" t="s">
        <v>1013</v>
      </c>
      <c r="R20" s="46" t="s">
        <v>1128</v>
      </c>
      <c r="S20" s="37"/>
    </row>
    <row r="21" spans="1:19" x14ac:dyDescent="0.2">
      <c r="A21" s="36"/>
      <c r="B21" s="38" t="str">
        <f>IF(MasterFees[[#This Row],[RVG Code]]="","",_xlfn.XLOOKUP(MasterFees[[#This Row],[RVG Code]],RVGCodes[Code],RVGCodes[Base Units],"Code not found"))</f>
        <v/>
      </c>
      <c r="C21" s="37" t="s">
        <v>27</v>
      </c>
      <c r="D21" s="44" t="s">
        <v>1108</v>
      </c>
      <c r="E21" s="44"/>
      <c r="F21" s="44" t="s">
        <v>1109</v>
      </c>
      <c r="G21" s="39">
        <v>5.9</v>
      </c>
      <c r="H21" s="39">
        <v>6.6</v>
      </c>
      <c r="I21" s="39">
        <v>0.3</v>
      </c>
      <c r="J21" s="39">
        <v>12.7</v>
      </c>
      <c r="K21" s="40">
        <v>700.7</v>
      </c>
      <c r="L21" s="45" t="s">
        <v>1015</v>
      </c>
      <c r="M21" s="41" t="str">
        <f>IF(MasterFees[[#This Row],[GST Basis]]="Excl",MasterFees[[#This Row],[Fee as Printed]],IF(MasterFees[[#This Row],[GST Basis]]="Incl",MasterFees[[#This Row],[Fee as Printed]]/(1+GST_Rate),""))</f>
        <v/>
      </c>
      <c r="N21" s="41" t="str">
        <f>IF(MasterFees[[#This Row],[GST Basis]]="Incl",MasterFees[[#This Row],[Fee as Printed]],IF(MasterFees[[#This Row],[GST Basis]]="Excl",MasterFees[[#This Row],[Fee as Printed]]*(1+GST_Rate),""))</f>
        <v/>
      </c>
      <c r="O21" s="42">
        <f>IF(N(MasterFees[[#This Row],[Total Units]])=0,"",MasterFees[[#This Row],[Fee as Printed]]/MasterFees[[#This Row],[Total Units]])</f>
        <v>55.173228346456696</v>
      </c>
      <c r="P21" s="43"/>
      <c r="Q21" s="46" t="s">
        <v>1013</v>
      </c>
      <c r="R21" s="46" t="s">
        <v>1129</v>
      </c>
      <c r="S21" s="37"/>
    </row>
    <row r="22" spans="1:19" x14ac:dyDescent="0.2">
      <c r="A22" s="36"/>
      <c r="B22" s="38" t="str">
        <f>IF(MasterFees[[#This Row],[RVG Code]]="","",_xlfn.XLOOKUP(MasterFees[[#This Row],[RVG Code]],RVGCodes[Code],RVGCodes[Base Units],"Code not found"))</f>
        <v/>
      </c>
      <c r="C22" s="37" t="s">
        <v>28</v>
      </c>
      <c r="D22" s="44" t="s">
        <v>1108</v>
      </c>
      <c r="E22" s="44"/>
      <c r="F22" s="44" t="s">
        <v>1109</v>
      </c>
      <c r="G22" s="39">
        <v>5.9</v>
      </c>
      <c r="H22" s="39">
        <v>6.7</v>
      </c>
      <c r="I22" s="39">
        <v>0.3</v>
      </c>
      <c r="J22" s="39">
        <v>12.9</v>
      </c>
      <c r="K22" s="40">
        <v>709.5</v>
      </c>
      <c r="L22" s="45" t="s">
        <v>1015</v>
      </c>
      <c r="M22" s="41" t="str">
        <f>IF(MasterFees[[#This Row],[GST Basis]]="Excl",MasterFees[[#This Row],[Fee as Printed]],IF(MasterFees[[#This Row],[GST Basis]]="Incl",MasterFees[[#This Row],[Fee as Printed]]/(1+GST_Rate),""))</f>
        <v/>
      </c>
      <c r="N22" s="41" t="str">
        <f>IF(MasterFees[[#This Row],[GST Basis]]="Incl",MasterFees[[#This Row],[Fee as Printed]],IF(MasterFees[[#This Row],[GST Basis]]="Excl",MasterFees[[#This Row],[Fee as Printed]]*(1+GST_Rate),""))</f>
        <v/>
      </c>
      <c r="O22" s="42">
        <f>IF(N(MasterFees[[#This Row],[Total Units]])=0,"",MasterFees[[#This Row],[Fee as Printed]]/MasterFees[[#This Row],[Total Units]])</f>
        <v>55</v>
      </c>
      <c r="P22" s="43"/>
      <c r="Q22" s="46" t="s">
        <v>1013</v>
      </c>
      <c r="R22" s="46" t="s">
        <v>1130</v>
      </c>
      <c r="S22" s="37"/>
    </row>
    <row r="23" spans="1:19" x14ac:dyDescent="0.2">
      <c r="A23" s="36"/>
      <c r="B23" s="38" t="str">
        <f>IF(MasterFees[[#This Row],[RVG Code]]="","",_xlfn.XLOOKUP(MasterFees[[#This Row],[RVG Code]],RVGCodes[Code],RVGCodes[Base Units],"Code not found"))</f>
        <v/>
      </c>
      <c r="C23" s="37" t="s">
        <v>29</v>
      </c>
      <c r="D23" s="44" t="s">
        <v>1108</v>
      </c>
      <c r="E23" s="44"/>
      <c r="F23" s="44" t="s">
        <v>1109</v>
      </c>
      <c r="G23" s="39">
        <v>6</v>
      </c>
      <c r="H23" s="39">
        <v>4</v>
      </c>
      <c r="I23" s="39">
        <v>1</v>
      </c>
      <c r="J23" s="39">
        <v>11</v>
      </c>
      <c r="K23" s="40">
        <v>605</v>
      </c>
      <c r="L23" s="45" t="s">
        <v>1015</v>
      </c>
      <c r="M23" s="41" t="str">
        <f>IF(MasterFees[[#This Row],[GST Basis]]="Excl",MasterFees[[#This Row],[Fee as Printed]],IF(MasterFees[[#This Row],[GST Basis]]="Incl",MasterFees[[#This Row],[Fee as Printed]]/(1+GST_Rate),""))</f>
        <v/>
      </c>
      <c r="N23" s="41" t="str">
        <f>IF(MasterFees[[#This Row],[GST Basis]]="Incl",MasterFees[[#This Row],[Fee as Printed]],IF(MasterFees[[#This Row],[GST Basis]]="Excl",MasterFees[[#This Row],[Fee as Printed]]*(1+GST_Rate),""))</f>
        <v/>
      </c>
      <c r="O23" s="42">
        <f>IF(N(MasterFees[[#This Row],[Total Units]])=0,"",MasterFees[[#This Row],[Fee as Printed]]/MasterFees[[#This Row],[Total Units]])</f>
        <v>55</v>
      </c>
      <c r="P23" s="43"/>
      <c r="Q23" s="46" t="s">
        <v>1013</v>
      </c>
      <c r="R23" s="46" t="s">
        <v>1131</v>
      </c>
      <c r="S23" s="37"/>
    </row>
    <row r="24" spans="1:19" x14ac:dyDescent="0.2">
      <c r="A24" s="36"/>
      <c r="B24" s="38" t="str">
        <f>IF(MasterFees[[#This Row],[RVG Code]]="","",_xlfn.XLOOKUP(MasterFees[[#This Row],[RVG Code]],RVGCodes[Code],RVGCodes[Base Units],"Code not found"))</f>
        <v/>
      </c>
      <c r="C24" s="37" t="s">
        <v>30</v>
      </c>
      <c r="D24" s="44" t="s">
        <v>1108</v>
      </c>
      <c r="E24" s="44"/>
      <c r="F24" s="44" t="s">
        <v>1109</v>
      </c>
      <c r="G24" s="39">
        <v>4.7</v>
      </c>
      <c r="H24" s="39">
        <v>2.2999999999999998</v>
      </c>
      <c r="I24" s="39">
        <v>0.4</v>
      </c>
      <c r="J24" s="39">
        <v>7.5</v>
      </c>
      <c r="K24" s="40">
        <v>411.95</v>
      </c>
      <c r="L24" s="45" t="s">
        <v>1015</v>
      </c>
      <c r="M24" s="41" t="str">
        <f>IF(MasterFees[[#This Row],[GST Basis]]="Excl",MasterFees[[#This Row],[Fee as Printed]],IF(MasterFees[[#This Row],[GST Basis]]="Incl",MasterFees[[#This Row],[Fee as Printed]]/(1+GST_Rate),""))</f>
        <v/>
      </c>
      <c r="N24" s="41" t="str">
        <f>IF(MasterFees[[#This Row],[GST Basis]]="Incl",MasterFees[[#This Row],[Fee as Printed]],IF(MasterFees[[#This Row],[GST Basis]]="Excl",MasterFees[[#This Row],[Fee as Printed]]*(1+GST_Rate),""))</f>
        <v/>
      </c>
      <c r="O24" s="42">
        <f>IF(N(MasterFees[[#This Row],[Total Units]])=0,"",MasterFees[[#This Row],[Fee as Printed]]/MasterFees[[#This Row],[Total Units]])</f>
        <v>54.926666666666662</v>
      </c>
      <c r="P24" s="43"/>
      <c r="Q24" s="46" t="s">
        <v>1013</v>
      </c>
      <c r="R24" s="46" t="s">
        <v>1132</v>
      </c>
      <c r="S24" s="37"/>
    </row>
    <row r="25" spans="1:19" x14ac:dyDescent="0.2">
      <c r="A25" s="36"/>
      <c r="B25" s="38" t="str">
        <f>IF(MasterFees[[#This Row],[RVG Code]]="","",_xlfn.XLOOKUP(MasterFees[[#This Row],[RVG Code]],RVGCodes[Code],RVGCodes[Base Units],"Code not found"))</f>
        <v/>
      </c>
      <c r="C25" s="37" t="s">
        <v>31</v>
      </c>
      <c r="D25" s="44" t="s">
        <v>1108</v>
      </c>
      <c r="E25" s="44"/>
      <c r="F25" s="44" t="s">
        <v>1109</v>
      </c>
      <c r="G25" s="39">
        <v>4.8</v>
      </c>
      <c r="H25" s="39">
        <v>2.4</v>
      </c>
      <c r="I25" s="39">
        <v>0.2</v>
      </c>
      <c r="J25" s="39">
        <v>7.4</v>
      </c>
      <c r="K25" s="40">
        <v>406.45</v>
      </c>
      <c r="L25" s="45" t="s">
        <v>1015</v>
      </c>
      <c r="M25" s="41" t="str">
        <f>IF(MasterFees[[#This Row],[GST Basis]]="Excl",MasterFees[[#This Row],[Fee as Printed]],IF(MasterFees[[#This Row],[GST Basis]]="Incl",MasterFees[[#This Row],[Fee as Printed]]/(1+GST_Rate),""))</f>
        <v/>
      </c>
      <c r="N25" s="41" t="str">
        <f>IF(MasterFees[[#This Row],[GST Basis]]="Incl",MasterFees[[#This Row],[Fee as Printed]],IF(MasterFees[[#This Row],[GST Basis]]="Excl",MasterFees[[#This Row],[Fee as Printed]]*(1+GST_Rate),""))</f>
        <v/>
      </c>
      <c r="O25" s="42">
        <f>IF(N(MasterFees[[#This Row],[Total Units]])=0,"",MasterFees[[#This Row],[Fee as Printed]]/MasterFees[[#This Row],[Total Units]])</f>
        <v>54.92567567567567</v>
      </c>
      <c r="P25" s="43"/>
      <c r="Q25" s="46" t="s">
        <v>1013</v>
      </c>
      <c r="R25" s="46" t="s">
        <v>1133</v>
      </c>
      <c r="S25" s="37"/>
    </row>
    <row r="26" spans="1:19" x14ac:dyDescent="0.2">
      <c r="A26" s="36"/>
      <c r="B26" s="38" t="str">
        <f>IF(MasterFees[[#This Row],[RVG Code]]="","",_xlfn.XLOOKUP(MasterFees[[#This Row],[RVG Code]],RVGCodes[Code],RVGCodes[Base Units],"Code not found"))</f>
        <v/>
      </c>
      <c r="C26" s="37" t="s">
        <v>32</v>
      </c>
      <c r="D26" s="44" t="s">
        <v>1108</v>
      </c>
      <c r="E26" s="44"/>
      <c r="F26" s="44" t="s">
        <v>1109</v>
      </c>
      <c r="G26" s="39">
        <v>4.7</v>
      </c>
      <c r="H26" s="39">
        <v>2.5</v>
      </c>
      <c r="I26" s="39">
        <v>0</v>
      </c>
      <c r="J26" s="39">
        <v>7.3</v>
      </c>
      <c r="K26" s="40">
        <v>400.95</v>
      </c>
      <c r="L26" s="45" t="s">
        <v>1015</v>
      </c>
      <c r="M26" s="41" t="str">
        <f>IF(MasterFees[[#This Row],[GST Basis]]="Excl",MasterFees[[#This Row],[Fee as Printed]],IF(MasterFees[[#This Row],[GST Basis]]="Incl",MasterFees[[#This Row],[Fee as Printed]]/(1+GST_Rate),""))</f>
        <v/>
      </c>
      <c r="N26" s="41" t="str">
        <f>IF(MasterFees[[#This Row],[GST Basis]]="Incl",MasterFees[[#This Row],[Fee as Printed]],IF(MasterFees[[#This Row],[GST Basis]]="Excl",MasterFees[[#This Row],[Fee as Printed]]*(1+GST_Rate),""))</f>
        <v/>
      </c>
      <c r="O26" s="42">
        <f>IF(N(MasterFees[[#This Row],[Total Units]])=0,"",MasterFees[[#This Row],[Fee as Printed]]/MasterFees[[#This Row],[Total Units]])</f>
        <v>54.924657534246577</v>
      </c>
      <c r="P26" s="43"/>
      <c r="Q26" s="46" t="s">
        <v>1013</v>
      </c>
      <c r="R26" s="46" t="s">
        <v>1134</v>
      </c>
      <c r="S26" s="37"/>
    </row>
    <row r="27" spans="1:19" x14ac:dyDescent="0.2">
      <c r="A27" s="36"/>
      <c r="B27" s="38" t="str">
        <f>IF(MasterFees[[#This Row],[RVG Code]]="","",_xlfn.XLOOKUP(MasterFees[[#This Row],[RVG Code]],RVGCodes[Code],RVGCodes[Base Units],"Code not found"))</f>
        <v/>
      </c>
      <c r="C27" s="37" t="s">
        <v>33</v>
      </c>
      <c r="D27" s="44" t="s">
        <v>1108</v>
      </c>
      <c r="E27" s="44"/>
      <c r="F27" s="44" t="s">
        <v>1109</v>
      </c>
      <c r="G27" s="39">
        <v>5</v>
      </c>
      <c r="H27" s="39">
        <v>3</v>
      </c>
      <c r="I27" s="39">
        <v>2</v>
      </c>
      <c r="J27" s="39">
        <v>10</v>
      </c>
      <c r="K27" s="40">
        <v>550</v>
      </c>
      <c r="L27" s="45" t="s">
        <v>1015</v>
      </c>
      <c r="M27" s="41" t="str">
        <f>IF(MasterFees[[#This Row],[GST Basis]]="Excl",MasterFees[[#This Row],[Fee as Printed]],IF(MasterFees[[#This Row],[GST Basis]]="Incl",MasterFees[[#This Row],[Fee as Printed]]/(1+GST_Rate),""))</f>
        <v/>
      </c>
      <c r="N27" s="41" t="str">
        <f>IF(MasterFees[[#This Row],[GST Basis]]="Incl",MasterFees[[#This Row],[Fee as Printed]],IF(MasterFees[[#This Row],[GST Basis]]="Excl",MasterFees[[#This Row],[Fee as Printed]]*(1+GST_Rate),""))</f>
        <v/>
      </c>
      <c r="O27" s="42">
        <f>IF(N(MasterFees[[#This Row],[Total Units]])=0,"",MasterFees[[#This Row],[Fee as Printed]]/MasterFees[[#This Row],[Total Units]])</f>
        <v>55</v>
      </c>
      <c r="P27" s="43"/>
      <c r="Q27" s="46" t="s">
        <v>1013</v>
      </c>
      <c r="R27" s="46" t="s">
        <v>1135</v>
      </c>
      <c r="S27" s="37"/>
    </row>
    <row r="28" spans="1:19" x14ac:dyDescent="0.2">
      <c r="A28" s="36"/>
      <c r="B28" s="38" t="str">
        <f>IF(MasterFees[[#This Row],[RVG Code]]="","",_xlfn.XLOOKUP(MasterFees[[#This Row],[RVG Code]],RVGCodes[Code],RVGCodes[Base Units],"Code not found"))</f>
        <v/>
      </c>
      <c r="C28" s="37" t="s">
        <v>34</v>
      </c>
      <c r="D28" s="44" t="s">
        <v>1108</v>
      </c>
      <c r="E28" s="44"/>
      <c r="F28" s="44" t="s">
        <v>1109</v>
      </c>
      <c r="G28" s="39">
        <v>4.9000000000000004</v>
      </c>
      <c r="H28" s="39">
        <v>3.2</v>
      </c>
      <c r="I28" s="39">
        <v>0.2</v>
      </c>
      <c r="J28" s="39">
        <v>8.3000000000000007</v>
      </c>
      <c r="K28" s="40">
        <v>458.15</v>
      </c>
      <c r="L28" s="45" t="s">
        <v>1015</v>
      </c>
      <c r="M28" s="41" t="str">
        <f>IF(MasterFees[[#This Row],[GST Basis]]="Excl",MasterFees[[#This Row],[Fee as Printed]],IF(MasterFees[[#This Row],[GST Basis]]="Incl",MasterFees[[#This Row],[Fee as Printed]]/(1+GST_Rate),""))</f>
        <v/>
      </c>
      <c r="N28" s="41" t="str">
        <f>IF(MasterFees[[#This Row],[GST Basis]]="Incl",MasterFees[[#This Row],[Fee as Printed]],IF(MasterFees[[#This Row],[GST Basis]]="Excl",MasterFees[[#This Row],[Fee as Printed]]*(1+GST_Rate),""))</f>
        <v/>
      </c>
      <c r="O28" s="42">
        <f>IF(N(MasterFees[[#This Row],[Total Units]])=0,"",MasterFees[[#This Row],[Fee as Printed]]/MasterFees[[#This Row],[Total Units]])</f>
        <v>55.198795180722882</v>
      </c>
      <c r="P28" s="43"/>
      <c r="Q28" s="46" t="s">
        <v>1013</v>
      </c>
      <c r="R28" s="46" t="s">
        <v>1136</v>
      </c>
      <c r="S28" s="37"/>
    </row>
    <row r="29" spans="1:19" x14ac:dyDescent="0.2">
      <c r="A29" s="36"/>
      <c r="B29" s="38" t="str">
        <f>IF(MasterFees[[#This Row],[RVG Code]]="","",_xlfn.XLOOKUP(MasterFees[[#This Row],[RVG Code]],RVGCodes[Code],RVGCodes[Base Units],"Code not found"))</f>
        <v/>
      </c>
      <c r="C29" s="37" t="s">
        <v>35</v>
      </c>
      <c r="D29" s="44" t="s">
        <v>1108</v>
      </c>
      <c r="E29" s="44"/>
      <c r="F29" s="44" t="s">
        <v>1109</v>
      </c>
      <c r="G29" s="39">
        <v>5</v>
      </c>
      <c r="H29" s="39">
        <v>3.2</v>
      </c>
      <c r="I29" s="39">
        <v>0.2</v>
      </c>
      <c r="J29" s="39">
        <v>8.4</v>
      </c>
      <c r="K29" s="40">
        <v>459.8</v>
      </c>
      <c r="L29" s="45" t="s">
        <v>1015</v>
      </c>
      <c r="M29" s="41" t="str">
        <f>IF(MasterFees[[#This Row],[GST Basis]]="Excl",MasterFees[[#This Row],[Fee as Printed]],IF(MasterFees[[#This Row],[GST Basis]]="Incl",MasterFees[[#This Row],[Fee as Printed]]/(1+GST_Rate),""))</f>
        <v/>
      </c>
      <c r="N29" s="41" t="str">
        <f>IF(MasterFees[[#This Row],[GST Basis]]="Incl",MasterFees[[#This Row],[Fee as Printed]],IF(MasterFees[[#This Row],[GST Basis]]="Excl",MasterFees[[#This Row],[Fee as Printed]]*(1+GST_Rate),""))</f>
        <v/>
      </c>
      <c r="O29" s="42">
        <f>IF(N(MasterFees[[#This Row],[Total Units]])=0,"",MasterFees[[#This Row],[Fee as Printed]]/MasterFees[[#This Row],[Total Units]])</f>
        <v>54.738095238095234</v>
      </c>
      <c r="P29" s="43"/>
      <c r="Q29" s="46" t="s">
        <v>1013</v>
      </c>
      <c r="R29" s="46" t="s">
        <v>1137</v>
      </c>
      <c r="S29" s="37"/>
    </row>
    <row r="30" spans="1:19" x14ac:dyDescent="0.2">
      <c r="A30" s="36"/>
      <c r="B30" s="38" t="str">
        <f>IF(MasterFees[[#This Row],[RVG Code]]="","",_xlfn.XLOOKUP(MasterFees[[#This Row],[RVG Code]],RVGCodes[Code],RVGCodes[Base Units],"Code not found"))</f>
        <v/>
      </c>
      <c r="C30" s="37" t="s">
        <v>36</v>
      </c>
      <c r="D30" s="44" t="s">
        <v>1108</v>
      </c>
      <c r="E30" s="44"/>
      <c r="F30" s="44" t="s">
        <v>1109</v>
      </c>
      <c r="G30" s="39">
        <v>0</v>
      </c>
      <c r="H30" s="39">
        <v>0</v>
      </c>
      <c r="I30" s="39">
        <v>0</v>
      </c>
      <c r="J30" s="39">
        <v>0</v>
      </c>
      <c r="K30" s="40">
        <v>0</v>
      </c>
      <c r="L30" s="45" t="s">
        <v>1015</v>
      </c>
      <c r="M30" s="41" t="str">
        <f>IF(MasterFees[[#This Row],[GST Basis]]="Excl",MasterFees[[#This Row],[Fee as Printed]],IF(MasterFees[[#This Row],[GST Basis]]="Incl",MasterFees[[#This Row],[Fee as Printed]]/(1+GST_Rate),""))</f>
        <v/>
      </c>
      <c r="N30" s="41" t="str">
        <f>IF(MasterFees[[#This Row],[GST Basis]]="Incl",MasterFees[[#This Row],[Fee as Printed]],IF(MasterFees[[#This Row],[GST Basis]]="Excl",MasterFees[[#This Row],[Fee as Printed]]*(1+GST_Rate),""))</f>
        <v/>
      </c>
      <c r="O30" s="42" t="str">
        <f>IF(N(MasterFees[[#This Row],[Total Units]])=0,"",MasterFees[[#This Row],[Fee as Printed]]/MasterFees[[#This Row],[Total Units]])</f>
        <v/>
      </c>
      <c r="P30" s="43"/>
      <c r="Q30" s="46" t="s">
        <v>1013</v>
      </c>
      <c r="R30" s="46" t="s">
        <v>1138</v>
      </c>
      <c r="S30" s="37"/>
    </row>
    <row r="31" spans="1:19" x14ac:dyDescent="0.2">
      <c r="A31" s="36"/>
      <c r="B31" s="38" t="str">
        <f>IF(MasterFees[[#This Row],[RVG Code]]="","",_xlfn.XLOOKUP(MasterFees[[#This Row],[RVG Code]],RVGCodes[Code],RVGCodes[Base Units],"Code not found"))</f>
        <v/>
      </c>
      <c r="C31" s="37" t="s">
        <v>37</v>
      </c>
      <c r="D31" s="44" t="s">
        <v>1108</v>
      </c>
      <c r="E31" s="44"/>
      <c r="F31" s="44" t="s">
        <v>1109</v>
      </c>
      <c r="G31" s="39">
        <v>1.6</v>
      </c>
      <c r="H31" s="39">
        <v>3.2</v>
      </c>
      <c r="I31" s="39">
        <v>0.4</v>
      </c>
      <c r="J31" s="39">
        <v>5.2</v>
      </c>
      <c r="K31" s="40">
        <v>286</v>
      </c>
      <c r="L31" s="45" t="s">
        <v>1015</v>
      </c>
      <c r="M31" s="41" t="str">
        <f>IF(MasterFees[[#This Row],[GST Basis]]="Excl",MasterFees[[#This Row],[Fee as Printed]],IF(MasterFees[[#This Row],[GST Basis]]="Incl",MasterFees[[#This Row],[Fee as Printed]]/(1+GST_Rate),""))</f>
        <v/>
      </c>
      <c r="N31" s="41" t="str">
        <f>IF(MasterFees[[#This Row],[GST Basis]]="Incl",MasterFees[[#This Row],[Fee as Printed]],IF(MasterFees[[#This Row],[GST Basis]]="Excl",MasterFees[[#This Row],[Fee as Printed]]*(1+GST_Rate),""))</f>
        <v/>
      </c>
      <c r="O31" s="42">
        <f>IF(N(MasterFees[[#This Row],[Total Units]])=0,"",MasterFees[[#This Row],[Fee as Printed]]/MasterFees[[#This Row],[Total Units]])</f>
        <v>55</v>
      </c>
      <c r="P31" s="43"/>
      <c r="Q31" s="46" t="s">
        <v>1013</v>
      </c>
      <c r="R31" s="46" t="s">
        <v>1139</v>
      </c>
      <c r="S31" s="37"/>
    </row>
    <row r="32" spans="1:19" x14ac:dyDescent="0.2">
      <c r="A32" s="36"/>
      <c r="B32" s="38" t="str">
        <f>IF(MasterFees[[#This Row],[RVG Code]]="","",_xlfn.XLOOKUP(MasterFees[[#This Row],[RVG Code]],RVGCodes[Code],RVGCodes[Base Units],"Code not found"))</f>
        <v/>
      </c>
      <c r="C32" s="37" t="s">
        <v>38</v>
      </c>
      <c r="D32" s="44" t="s">
        <v>1108</v>
      </c>
      <c r="E32" s="44"/>
      <c r="F32" s="44" t="s">
        <v>1109</v>
      </c>
      <c r="G32" s="39">
        <v>0</v>
      </c>
      <c r="H32" s="39">
        <v>1</v>
      </c>
      <c r="I32" s="39">
        <v>0</v>
      </c>
      <c r="J32" s="39">
        <v>1</v>
      </c>
      <c r="K32" s="40">
        <v>55</v>
      </c>
      <c r="L32" s="45" t="s">
        <v>1015</v>
      </c>
      <c r="M32" s="41" t="str">
        <f>IF(MasterFees[[#This Row],[GST Basis]]="Excl",MasterFees[[#This Row],[Fee as Printed]],IF(MasterFees[[#This Row],[GST Basis]]="Incl",MasterFees[[#This Row],[Fee as Printed]]/(1+GST_Rate),""))</f>
        <v/>
      </c>
      <c r="N32" s="41" t="str">
        <f>IF(MasterFees[[#This Row],[GST Basis]]="Incl",MasterFees[[#This Row],[Fee as Printed]],IF(MasterFees[[#This Row],[GST Basis]]="Excl",MasterFees[[#This Row],[Fee as Printed]]*(1+GST_Rate),""))</f>
        <v/>
      </c>
      <c r="O32" s="42">
        <f>IF(N(MasterFees[[#This Row],[Total Units]])=0,"",MasterFees[[#This Row],[Fee as Printed]]/MasterFees[[#This Row],[Total Units]])</f>
        <v>55</v>
      </c>
      <c r="P32" s="43"/>
      <c r="Q32" s="46" t="s">
        <v>1013</v>
      </c>
      <c r="R32" s="46" t="s">
        <v>1140</v>
      </c>
      <c r="S32" s="37"/>
    </row>
    <row r="33" spans="1:19" x14ac:dyDescent="0.2">
      <c r="A33" s="36"/>
      <c r="B33" s="38" t="str">
        <f>IF(MasterFees[[#This Row],[RVG Code]]="","",_xlfn.XLOOKUP(MasterFees[[#This Row],[RVG Code]],RVGCodes[Code],RVGCodes[Base Units],"Code not found"))</f>
        <v/>
      </c>
      <c r="C33" s="37" t="s">
        <v>39</v>
      </c>
      <c r="D33" s="44" t="s">
        <v>1108</v>
      </c>
      <c r="E33" s="44"/>
      <c r="F33" s="44" t="s">
        <v>1109</v>
      </c>
      <c r="G33" s="39">
        <v>12</v>
      </c>
      <c r="H33" s="39">
        <v>7</v>
      </c>
      <c r="I33" s="39">
        <v>2</v>
      </c>
      <c r="J33" s="39">
        <v>21</v>
      </c>
      <c r="K33" s="40">
        <v>1155</v>
      </c>
      <c r="L33" s="45" t="s">
        <v>1015</v>
      </c>
      <c r="M33" s="41" t="str">
        <f>IF(MasterFees[[#This Row],[GST Basis]]="Excl",MasterFees[[#This Row],[Fee as Printed]],IF(MasterFees[[#This Row],[GST Basis]]="Incl",MasterFees[[#This Row],[Fee as Printed]]/(1+GST_Rate),""))</f>
        <v/>
      </c>
      <c r="N33" s="41" t="str">
        <f>IF(MasterFees[[#This Row],[GST Basis]]="Incl",MasterFees[[#This Row],[Fee as Printed]],IF(MasterFees[[#This Row],[GST Basis]]="Excl",MasterFees[[#This Row],[Fee as Printed]]*(1+GST_Rate),""))</f>
        <v/>
      </c>
      <c r="O33" s="42">
        <f>IF(N(MasterFees[[#This Row],[Total Units]])=0,"",MasterFees[[#This Row],[Fee as Printed]]/MasterFees[[#This Row],[Total Units]])</f>
        <v>55</v>
      </c>
      <c r="P33" s="43"/>
      <c r="Q33" s="46" t="s">
        <v>1013</v>
      </c>
      <c r="R33" s="46" t="s">
        <v>1141</v>
      </c>
      <c r="S33" s="37"/>
    </row>
    <row r="34" spans="1:19" x14ac:dyDescent="0.2">
      <c r="A34" s="36"/>
      <c r="B34" s="38" t="str">
        <f>IF(MasterFees[[#This Row],[RVG Code]]="","",_xlfn.XLOOKUP(MasterFees[[#This Row],[RVG Code]],RVGCodes[Code],RVGCodes[Base Units],"Code not found"))</f>
        <v/>
      </c>
      <c r="C34" s="37" t="s">
        <v>40</v>
      </c>
      <c r="D34" s="44" t="s">
        <v>1108</v>
      </c>
      <c r="E34" s="44"/>
      <c r="F34" s="44" t="s">
        <v>1109</v>
      </c>
      <c r="G34" s="39">
        <v>6</v>
      </c>
      <c r="H34" s="39">
        <v>6</v>
      </c>
      <c r="I34" s="39">
        <v>2</v>
      </c>
      <c r="J34" s="39">
        <v>14</v>
      </c>
      <c r="K34" s="40">
        <v>770</v>
      </c>
      <c r="L34" s="45" t="s">
        <v>1015</v>
      </c>
      <c r="M34" s="41" t="str">
        <f>IF(MasterFees[[#This Row],[GST Basis]]="Excl",MasterFees[[#This Row],[Fee as Printed]],IF(MasterFees[[#This Row],[GST Basis]]="Incl",MasterFees[[#This Row],[Fee as Printed]]/(1+GST_Rate),""))</f>
        <v/>
      </c>
      <c r="N34" s="41" t="str">
        <f>IF(MasterFees[[#This Row],[GST Basis]]="Incl",MasterFees[[#This Row],[Fee as Printed]],IF(MasterFees[[#This Row],[GST Basis]]="Excl",MasterFees[[#This Row],[Fee as Printed]]*(1+GST_Rate),""))</f>
        <v/>
      </c>
      <c r="O34" s="42">
        <f>IF(N(MasterFees[[#This Row],[Total Units]])=0,"",MasterFees[[#This Row],[Fee as Printed]]/MasterFees[[#This Row],[Total Units]])</f>
        <v>55</v>
      </c>
      <c r="P34" s="43"/>
      <c r="Q34" s="46" t="s">
        <v>1013</v>
      </c>
      <c r="R34" s="46" t="s">
        <v>1142</v>
      </c>
      <c r="S34" s="37"/>
    </row>
    <row r="35" spans="1:19" x14ac:dyDescent="0.2">
      <c r="A35" s="36"/>
      <c r="B35" s="38" t="str">
        <f>IF(MasterFees[[#This Row],[RVG Code]]="","",_xlfn.XLOOKUP(MasterFees[[#This Row],[RVG Code]],RVGCodes[Code],RVGCodes[Base Units],"Code not found"))</f>
        <v/>
      </c>
      <c r="C35" s="37" t="s">
        <v>41</v>
      </c>
      <c r="D35" s="44" t="s">
        <v>1108</v>
      </c>
      <c r="E35" s="44"/>
      <c r="F35" s="44" t="s">
        <v>1109</v>
      </c>
      <c r="G35" s="39">
        <v>0</v>
      </c>
      <c r="H35" s="39">
        <v>0</v>
      </c>
      <c r="I35" s="39">
        <v>0</v>
      </c>
      <c r="J35" s="39">
        <v>0</v>
      </c>
      <c r="K35" s="40">
        <v>0</v>
      </c>
      <c r="L35" s="45" t="s">
        <v>1015</v>
      </c>
      <c r="M35" s="41" t="str">
        <f>IF(MasterFees[[#This Row],[GST Basis]]="Excl",MasterFees[[#This Row],[Fee as Printed]],IF(MasterFees[[#This Row],[GST Basis]]="Incl",MasterFees[[#This Row],[Fee as Printed]]/(1+GST_Rate),""))</f>
        <v/>
      </c>
      <c r="N35" s="41" t="str">
        <f>IF(MasterFees[[#This Row],[GST Basis]]="Incl",MasterFees[[#This Row],[Fee as Printed]],IF(MasterFees[[#This Row],[GST Basis]]="Excl",MasterFees[[#This Row],[Fee as Printed]]*(1+GST_Rate),""))</f>
        <v/>
      </c>
      <c r="O35" s="42" t="str">
        <f>IF(N(MasterFees[[#This Row],[Total Units]])=0,"",MasterFees[[#This Row],[Fee as Printed]]/MasterFees[[#This Row],[Total Units]])</f>
        <v/>
      </c>
      <c r="P35" s="43"/>
      <c r="Q35" s="46" t="s">
        <v>1013</v>
      </c>
      <c r="R35" s="46" t="s">
        <v>1143</v>
      </c>
      <c r="S35" s="37"/>
    </row>
    <row r="36" spans="1:19" x14ac:dyDescent="0.2">
      <c r="A36" s="36"/>
      <c r="B36" s="38" t="str">
        <f>IF(MasterFees[[#This Row],[RVG Code]]="","",_xlfn.XLOOKUP(MasterFees[[#This Row],[RVG Code]],RVGCodes[Code],RVGCodes[Base Units],"Code not found"))</f>
        <v/>
      </c>
      <c r="C36" s="37" t="s">
        <v>42</v>
      </c>
      <c r="D36" s="44" t="s">
        <v>1108</v>
      </c>
      <c r="E36" s="44"/>
      <c r="F36" s="44" t="s">
        <v>1109</v>
      </c>
      <c r="G36" s="39">
        <v>0</v>
      </c>
      <c r="H36" s="39">
        <v>0</v>
      </c>
      <c r="I36" s="39">
        <v>0</v>
      </c>
      <c r="J36" s="39">
        <v>0</v>
      </c>
      <c r="K36" s="40">
        <v>0</v>
      </c>
      <c r="L36" s="45" t="s">
        <v>1015</v>
      </c>
      <c r="M36" s="41" t="str">
        <f>IF(MasterFees[[#This Row],[GST Basis]]="Excl",MasterFees[[#This Row],[Fee as Printed]],IF(MasterFees[[#This Row],[GST Basis]]="Incl",MasterFees[[#This Row],[Fee as Printed]]/(1+GST_Rate),""))</f>
        <v/>
      </c>
      <c r="N36" s="41" t="str">
        <f>IF(MasterFees[[#This Row],[GST Basis]]="Incl",MasterFees[[#This Row],[Fee as Printed]],IF(MasterFees[[#This Row],[GST Basis]]="Excl",MasterFees[[#This Row],[Fee as Printed]]*(1+GST_Rate),""))</f>
        <v/>
      </c>
      <c r="O36" s="42" t="str">
        <f>IF(N(MasterFees[[#This Row],[Total Units]])=0,"",MasterFees[[#This Row],[Fee as Printed]]/MasterFees[[#This Row],[Total Units]])</f>
        <v/>
      </c>
      <c r="P36" s="43"/>
      <c r="Q36" s="46" t="s">
        <v>1013</v>
      </c>
      <c r="R36" s="46" t="s">
        <v>1144</v>
      </c>
      <c r="S36" s="37"/>
    </row>
    <row r="37" spans="1:19" x14ac:dyDescent="0.2">
      <c r="A37" s="36"/>
      <c r="B37" s="38" t="str">
        <f>IF(MasterFees[[#This Row],[RVG Code]]="","",_xlfn.XLOOKUP(MasterFees[[#This Row],[RVG Code]],RVGCodes[Code],RVGCodes[Base Units],"Code not found"))</f>
        <v/>
      </c>
      <c r="C37" s="37" t="s">
        <v>43</v>
      </c>
      <c r="D37" s="44" t="s">
        <v>1108</v>
      </c>
      <c r="E37" s="44"/>
      <c r="F37" s="44" t="s">
        <v>1109</v>
      </c>
      <c r="G37" s="39">
        <v>0</v>
      </c>
      <c r="H37" s="39">
        <v>0</v>
      </c>
      <c r="I37" s="39">
        <v>0</v>
      </c>
      <c r="J37" s="39">
        <v>0</v>
      </c>
      <c r="K37" s="40">
        <v>0</v>
      </c>
      <c r="L37" s="45" t="s">
        <v>1015</v>
      </c>
      <c r="M37" s="41" t="str">
        <f>IF(MasterFees[[#This Row],[GST Basis]]="Excl",MasterFees[[#This Row],[Fee as Printed]],IF(MasterFees[[#This Row],[GST Basis]]="Incl",MasterFees[[#This Row],[Fee as Printed]]/(1+GST_Rate),""))</f>
        <v/>
      </c>
      <c r="N37" s="41" t="str">
        <f>IF(MasterFees[[#This Row],[GST Basis]]="Incl",MasterFees[[#This Row],[Fee as Printed]],IF(MasterFees[[#This Row],[GST Basis]]="Excl",MasterFees[[#This Row],[Fee as Printed]]*(1+GST_Rate),""))</f>
        <v/>
      </c>
      <c r="O37" s="42" t="str">
        <f>IF(N(MasterFees[[#This Row],[Total Units]])=0,"",MasterFees[[#This Row],[Fee as Printed]]/MasterFees[[#This Row],[Total Units]])</f>
        <v/>
      </c>
      <c r="P37" s="43"/>
      <c r="Q37" s="46" t="s">
        <v>1013</v>
      </c>
      <c r="R37" s="46" t="s">
        <v>1145</v>
      </c>
      <c r="S37" s="37"/>
    </row>
    <row r="38" spans="1:19" x14ac:dyDescent="0.2">
      <c r="A38" s="36"/>
      <c r="B38" s="38" t="str">
        <f>IF(MasterFees[[#This Row],[RVG Code]]="","",_xlfn.XLOOKUP(MasterFees[[#This Row],[RVG Code]],RVGCodes[Code],RVGCodes[Base Units],"Code not found"))</f>
        <v/>
      </c>
      <c r="C38" s="37" t="s">
        <v>44</v>
      </c>
      <c r="D38" s="44" t="s">
        <v>1108</v>
      </c>
      <c r="E38" s="44"/>
      <c r="F38" s="44" t="s">
        <v>1109</v>
      </c>
      <c r="G38" s="39">
        <v>5</v>
      </c>
      <c r="H38" s="39">
        <v>4</v>
      </c>
      <c r="I38" s="39">
        <v>0</v>
      </c>
      <c r="J38" s="39">
        <v>9</v>
      </c>
      <c r="K38" s="40">
        <v>495</v>
      </c>
      <c r="L38" s="45" t="s">
        <v>1015</v>
      </c>
      <c r="M38" s="41" t="str">
        <f>IF(MasterFees[[#This Row],[GST Basis]]="Excl",MasterFees[[#This Row],[Fee as Printed]],IF(MasterFees[[#This Row],[GST Basis]]="Incl",MasterFees[[#This Row],[Fee as Printed]]/(1+GST_Rate),""))</f>
        <v/>
      </c>
      <c r="N38" s="41" t="str">
        <f>IF(MasterFees[[#This Row],[GST Basis]]="Incl",MasterFees[[#This Row],[Fee as Printed]],IF(MasterFees[[#This Row],[GST Basis]]="Excl",MasterFees[[#This Row],[Fee as Printed]]*(1+GST_Rate),""))</f>
        <v/>
      </c>
      <c r="O38" s="42">
        <f>IF(N(MasterFees[[#This Row],[Total Units]])=0,"",MasterFees[[#This Row],[Fee as Printed]]/MasterFees[[#This Row],[Total Units]])</f>
        <v>55</v>
      </c>
      <c r="P38" s="43"/>
      <c r="Q38" s="46" t="s">
        <v>1013</v>
      </c>
      <c r="R38" s="46" t="s">
        <v>1146</v>
      </c>
      <c r="S38" s="37"/>
    </row>
    <row r="39" spans="1:19" x14ac:dyDescent="0.2">
      <c r="A39" s="36"/>
      <c r="B39" s="38" t="str">
        <f>IF(MasterFees[[#This Row],[RVG Code]]="","",_xlfn.XLOOKUP(MasterFees[[#This Row],[RVG Code]],RVGCodes[Code],RVGCodes[Base Units],"Code not found"))</f>
        <v/>
      </c>
      <c r="C39" s="37" t="s">
        <v>45</v>
      </c>
      <c r="D39" s="44" t="s">
        <v>1108</v>
      </c>
      <c r="E39" s="44"/>
      <c r="F39" s="44" t="s">
        <v>1109</v>
      </c>
      <c r="G39" s="39">
        <v>4</v>
      </c>
      <c r="H39" s="39">
        <v>1</v>
      </c>
      <c r="I39" s="39">
        <v>0</v>
      </c>
      <c r="J39" s="39">
        <v>5</v>
      </c>
      <c r="K39" s="40">
        <v>275</v>
      </c>
      <c r="L39" s="45" t="s">
        <v>1015</v>
      </c>
      <c r="M39" s="41" t="str">
        <f>IF(MasterFees[[#This Row],[GST Basis]]="Excl",MasterFees[[#This Row],[Fee as Printed]],IF(MasterFees[[#This Row],[GST Basis]]="Incl",MasterFees[[#This Row],[Fee as Printed]]/(1+GST_Rate),""))</f>
        <v/>
      </c>
      <c r="N39" s="41" t="str">
        <f>IF(MasterFees[[#This Row],[GST Basis]]="Incl",MasterFees[[#This Row],[Fee as Printed]],IF(MasterFees[[#This Row],[GST Basis]]="Excl",MasterFees[[#This Row],[Fee as Printed]]*(1+GST_Rate),""))</f>
        <v/>
      </c>
      <c r="O39" s="42">
        <f>IF(N(MasterFees[[#This Row],[Total Units]])=0,"",MasterFees[[#This Row],[Fee as Printed]]/MasterFees[[#This Row],[Total Units]])</f>
        <v>55</v>
      </c>
      <c r="P39" s="43"/>
      <c r="Q39" s="46" t="s">
        <v>1013</v>
      </c>
      <c r="R39" s="46" t="s">
        <v>1147</v>
      </c>
      <c r="S39" s="37"/>
    </row>
    <row r="40" spans="1:19" x14ac:dyDescent="0.2">
      <c r="A40" s="36"/>
      <c r="B40" s="38" t="str">
        <f>IF(MasterFees[[#This Row],[RVG Code]]="","",_xlfn.XLOOKUP(MasterFees[[#This Row],[RVG Code]],RVGCodes[Code],RVGCodes[Base Units],"Code not found"))</f>
        <v/>
      </c>
      <c r="C40" s="37" t="s">
        <v>46</v>
      </c>
      <c r="D40" s="44" t="s">
        <v>1108</v>
      </c>
      <c r="E40" s="44"/>
      <c r="F40" s="44" t="s">
        <v>1109</v>
      </c>
      <c r="G40" s="39">
        <v>4.7</v>
      </c>
      <c r="H40" s="39">
        <v>4.5999999999999996</v>
      </c>
      <c r="I40" s="39">
        <v>0.4</v>
      </c>
      <c r="J40" s="39">
        <v>9.6</v>
      </c>
      <c r="K40" s="40">
        <v>528</v>
      </c>
      <c r="L40" s="45" t="s">
        <v>1015</v>
      </c>
      <c r="M40" s="41" t="str">
        <f>IF(MasterFees[[#This Row],[GST Basis]]="Excl",MasterFees[[#This Row],[Fee as Printed]],IF(MasterFees[[#This Row],[GST Basis]]="Incl",MasterFees[[#This Row],[Fee as Printed]]/(1+GST_Rate),""))</f>
        <v/>
      </c>
      <c r="N40" s="41" t="str">
        <f>IF(MasterFees[[#This Row],[GST Basis]]="Incl",MasterFees[[#This Row],[Fee as Printed]],IF(MasterFees[[#This Row],[GST Basis]]="Excl",MasterFees[[#This Row],[Fee as Printed]]*(1+GST_Rate),""))</f>
        <v/>
      </c>
      <c r="O40" s="42">
        <f>IF(N(MasterFees[[#This Row],[Total Units]])=0,"",MasterFees[[#This Row],[Fee as Printed]]/MasterFees[[#This Row],[Total Units]])</f>
        <v>55</v>
      </c>
      <c r="P40" s="43"/>
      <c r="Q40" s="46" t="s">
        <v>1013</v>
      </c>
      <c r="R40" s="46" t="s">
        <v>1148</v>
      </c>
      <c r="S40" s="37"/>
    </row>
    <row r="41" spans="1:19" x14ac:dyDescent="0.2">
      <c r="A41" s="36"/>
      <c r="B41" s="38" t="str">
        <f>IF(MasterFees[[#This Row],[RVG Code]]="","",_xlfn.XLOOKUP(MasterFees[[#This Row],[RVG Code]],RVGCodes[Code],RVGCodes[Base Units],"Code not found"))</f>
        <v/>
      </c>
      <c r="C41" s="37" t="s">
        <v>47</v>
      </c>
      <c r="D41" s="44" t="s">
        <v>1108</v>
      </c>
      <c r="E41" s="44"/>
      <c r="F41" s="44" t="s">
        <v>1109</v>
      </c>
      <c r="G41" s="39">
        <v>6.2</v>
      </c>
      <c r="H41" s="39">
        <v>8.1999999999999993</v>
      </c>
      <c r="I41" s="39">
        <v>1.3</v>
      </c>
      <c r="J41" s="39">
        <v>15.6</v>
      </c>
      <c r="K41" s="40">
        <v>860.2</v>
      </c>
      <c r="L41" s="45" t="s">
        <v>1015</v>
      </c>
      <c r="M41" s="41" t="str">
        <f>IF(MasterFees[[#This Row],[GST Basis]]="Excl",MasterFees[[#This Row],[Fee as Printed]],IF(MasterFees[[#This Row],[GST Basis]]="Incl",MasterFees[[#This Row],[Fee as Printed]]/(1+GST_Rate),""))</f>
        <v/>
      </c>
      <c r="N41" s="41" t="str">
        <f>IF(MasterFees[[#This Row],[GST Basis]]="Incl",MasterFees[[#This Row],[Fee as Printed]],IF(MasterFees[[#This Row],[GST Basis]]="Excl",MasterFees[[#This Row],[Fee as Printed]]*(1+GST_Rate),""))</f>
        <v/>
      </c>
      <c r="O41" s="42">
        <f>IF(N(MasterFees[[#This Row],[Total Units]])=0,"",MasterFees[[#This Row],[Fee as Printed]]/MasterFees[[#This Row],[Total Units]])</f>
        <v>55.141025641025642</v>
      </c>
      <c r="P41" s="43"/>
      <c r="Q41" s="46" t="s">
        <v>1013</v>
      </c>
      <c r="R41" s="46" t="s">
        <v>1149</v>
      </c>
      <c r="S41" s="37"/>
    </row>
    <row r="42" spans="1:19" x14ac:dyDescent="0.2">
      <c r="A42" s="36"/>
      <c r="B42" s="38" t="str">
        <f>IF(MasterFees[[#This Row],[RVG Code]]="","",_xlfn.XLOOKUP(MasterFees[[#This Row],[RVG Code]],RVGCodes[Code],RVGCodes[Base Units],"Code not found"))</f>
        <v/>
      </c>
      <c r="C42" s="37" t="s">
        <v>48</v>
      </c>
      <c r="D42" s="44" t="s">
        <v>1108</v>
      </c>
      <c r="E42" s="44"/>
      <c r="F42" s="44" t="s">
        <v>1109</v>
      </c>
      <c r="G42" s="39">
        <v>5.4</v>
      </c>
      <c r="H42" s="39">
        <v>5.9</v>
      </c>
      <c r="I42" s="39">
        <v>0.9</v>
      </c>
      <c r="J42" s="39">
        <v>12.2</v>
      </c>
      <c r="K42" s="40">
        <v>668.8</v>
      </c>
      <c r="L42" s="45" t="s">
        <v>1015</v>
      </c>
      <c r="M42" s="41" t="str">
        <f>IF(MasterFees[[#This Row],[GST Basis]]="Excl",MasterFees[[#This Row],[Fee as Printed]],IF(MasterFees[[#This Row],[GST Basis]]="Incl",MasterFees[[#This Row],[Fee as Printed]]/(1+GST_Rate),""))</f>
        <v/>
      </c>
      <c r="N42" s="41" t="str">
        <f>IF(MasterFees[[#This Row],[GST Basis]]="Incl",MasterFees[[#This Row],[Fee as Printed]],IF(MasterFees[[#This Row],[GST Basis]]="Excl",MasterFees[[#This Row],[Fee as Printed]]*(1+GST_Rate),""))</f>
        <v/>
      </c>
      <c r="O42" s="42">
        <f>IF(N(MasterFees[[#This Row],[Total Units]])=0,"",MasterFees[[#This Row],[Fee as Printed]]/MasterFees[[#This Row],[Total Units]])</f>
        <v>54.819672131147541</v>
      </c>
      <c r="P42" s="43"/>
      <c r="Q42" s="46" t="s">
        <v>1013</v>
      </c>
      <c r="R42" s="46" t="s">
        <v>1150</v>
      </c>
      <c r="S42" s="37"/>
    </row>
    <row r="43" spans="1:19" x14ac:dyDescent="0.2">
      <c r="A43" s="36"/>
      <c r="B43" s="38" t="str">
        <f>IF(MasterFees[[#This Row],[RVG Code]]="","",_xlfn.XLOOKUP(MasterFees[[#This Row],[RVG Code]],RVGCodes[Code],RVGCodes[Base Units],"Code not found"))</f>
        <v/>
      </c>
      <c r="C43" s="37" t="s">
        <v>49</v>
      </c>
      <c r="D43" s="44" t="s">
        <v>1108</v>
      </c>
      <c r="E43" s="44"/>
      <c r="F43" s="44" t="s">
        <v>1109</v>
      </c>
      <c r="G43" s="39">
        <v>8.3000000000000007</v>
      </c>
      <c r="H43" s="39">
        <v>12.9</v>
      </c>
      <c r="I43" s="39">
        <v>1.3</v>
      </c>
      <c r="J43" s="39">
        <v>22.4</v>
      </c>
      <c r="K43" s="40">
        <v>1230.3499999999999</v>
      </c>
      <c r="L43" s="45" t="s">
        <v>1015</v>
      </c>
      <c r="M43" s="41" t="str">
        <f>IF(MasterFees[[#This Row],[GST Basis]]="Excl",MasterFees[[#This Row],[Fee as Printed]],IF(MasterFees[[#This Row],[GST Basis]]="Incl",MasterFees[[#This Row],[Fee as Printed]]/(1+GST_Rate),""))</f>
        <v/>
      </c>
      <c r="N43" s="41" t="str">
        <f>IF(MasterFees[[#This Row],[GST Basis]]="Incl",MasterFees[[#This Row],[Fee as Printed]],IF(MasterFees[[#This Row],[GST Basis]]="Excl",MasterFees[[#This Row],[Fee as Printed]]*(1+GST_Rate),""))</f>
        <v/>
      </c>
      <c r="O43" s="42">
        <f>IF(N(MasterFees[[#This Row],[Total Units]])=0,"",MasterFees[[#This Row],[Fee as Printed]]/MasterFees[[#This Row],[Total Units]])</f>
        <v>54.926339285714285</v>
      </c>
      <c r="P43" s="43"/>
      <c r="Q43" s="46" t="s">
        <v>1013</v>
      </c>
      <c r="R43" s="46" t="s">
        <v>1151</v>
      </c>
      <c r="S43" s="37"/>
    </row>
    <row r="44" spans="1:19" x14ac:dyDescent="0.2">
      <c r="A44" s="36"/>
      <c r="B44" s="38" t="str">
        <f>IF(MasterFees[[#This Row],[RVG Code]]="","",_xlfn.XLOOKUP(MasterFees[[#This Row],[RVG Code]],RVGCodes[Code],RVGCodes[Base Units],"Code not found"))</f>
        <v/>
      </c>
      <c r="C44" s="37" t="s">
        <v>50</v>
      </c>
      <c r="D44" s="44" t="s">
        <v>1108</v>
      </c>
      <c r="E44" s="44"/>
      <c r="F44" s="44" t="s">
        <v>1109</v>
      </c>
      <c r="G44" s="39">
        <v>5</v>
      </c>
      <c r="H44" s="39">
        <v>5.7</v>
      </c>
      <c r="I44" s="39">
        <v>0.8</v>
      </c>
      <c r="J44" s="39">
        <v>11.5</v>
      </c>
      <c r="K44" s="40">
        <v>634.70000000000005</v>
      </c>
      <c r="L44" s="45" t="s">
        <v>1015</v>
      </c>
      <c r="M44" s="41" t="str">
        <f>IF(MasterFees[[#This Row],[GST Basis]]="Excl",MasterFees[[#This Row],[Fee as Printed]],IF(MasterFees[[#This Row],[GST Basis]]="Incl",MasterFees[[#This Row],[Fee as Printed]]/(1+GST_Rate),""))</f>
        <v/>
      </c>
      <c r="N44" s="41" t="str">
        <f>IF(MasterFees[[#This Row],[GST Basis]]="Incl",MasterFees[[#This Row],[Fee as Printed]],IF(MasterFees[[#This Row],[GST Basis]]="Excl",MasterFees[[#This Row],[Fee as Printed]]*(1+GST_Rate),""))</f>
        <v/>
      </c>
      <c r="O44" s="42">
        <f>IF(N(MasterFees[[#This Row],[Total Units]])=0,"",MasterFees[[#This Row],[Fee as Printed]]/MasterFees[[#This Row],[Total Units]])</f>
        <v>55.19130434782609</v>
      </c>
      <c r="P44" s="43"/>
      <c r="Q44" s="46" t="s">
        <v>1013</v>
      </c>
      <c r="R44" s="46" t="s">
        <v>1152</v>
      </c>
      <c r="S44" s="37"/>
    </row>
    <row r="45" spans="1:19" x14ac:dyDescent="0.2">
      <c r="A45" s="36"/>
      <c r="B45" s="38" t="str">
        <f>IF(MasterFees[[#This Row],[RVG Code]]="","",_xlfn.XLOOKUP(MasterFees[[#This Row],[RVG Code]],RVGCodes[Code],RVGCodes[Base Units],"Code not found"))</f>
        <v/>
      </c>
      <c r="C45" s="37" t="s">
        <v>51</v>
      </c>
      <c r="D45" s="44" t="s">
        <v>1108</v>
      </c>
      <c r="E45" s="44"/>
      <c r="F45" s="44" t="s">
        <v>1109</v>
      </c>
      <c r="G45" s="39">
        <v>5</v>
      </c>
      <c r="H45" s="39">
        <v>4.3</v>
      </c>
      <c r="I45" s="39">
        <v>1.2</v>
      </c>
      <c r="J45" s="39">
        <v>10.5</v>
      </c>
      <c r="K45" s="40">
        <v>575.29999999999995</v>
      </c>
      <c r="L45" s="45" t="s">
        <v>1015</v>
      </c>
      <c r="M45" s="41" t="str">
        <f>IF(MasterFees[[#This Row],[GST Basis]]="Excl",MasterFees[[#This Row],[Fee as Printed]],IF(MasterFees[[#This Row],[GST Basis]]="Incl",MasterFees[[#This Row],[Fee as Printed]]/(1+GST_Rate),""))</f>
        <v/>
      </c>
      <c r="N45" s="41" t="str">
        <f>IF(MasterFees[[#This Row],[GST Basis]]="Incl",MasterFees[[#This Row],[Fee as Printed]],IF(MasterFees[[#This Row],[GST Basis]]="Excl",MasterFees[[#This Row],[Fee as Printed]]*(1+GST_Rate),""))</f>
        <v/>
      </c>
      <c r="O45" s="42">
        <f>IF(N(MasterFees[[#This Row],[Total Units]])=0,"",MasterFees[[#This Row],[Fee as Printed]]/MasterFees[[#This Row],[Total Units]])</f>
        <v>54.790476190476184</v>
      </c>
      <c r="P45" s="43"/>
      <c r="Q45" s="46" t="s">
        <v>1013</v>
      </c>
      <c r="R45" s="46" t="s">
        <v>1153</v>
      </c>
      <c r="S45" s="37"/>
    </row>
    <row r="46" spans="1:19" x14ac:dyDescent="0.2">
      <c r="A46" s="36"/>
      <c r="B46" s="38" t="str">
        <f>IF(MasterFees[[#This Row],[RVG Code]]="","",_xlfn.XLOOKUP(MasterFees[[#This Row],[RVG Code]],RVGCodes[Code],RVGCodes[Base Units],"Code not found"))</f>
        <v/>
      </c>
      <c r="C46" s="37" t="s">
        <v>52</v>
      </c>
      <c r="D46" s="44" t="s">
        <v>1108</v>
      </c>
      <c r="E46" s="44"/>
      <c r="F46" s="44" t="s">
        <v>1109</v>
      </c>
      <c r="G46" s="39">
        <v>6</v>
      </c>
      <c r="H46" s="39">
        <v>6.2</v>
      </c>
      <c r="I46" s="39">
        <v>0.2</v>
      </c>
      <c r="J46" s="39">
        <v>12.4</v>
      </c>
      <c r="K46" s="40">
        <v>682</v>
      </c>
      <c r="L46" s="45" t="s">
        <v>1015</v>
      </c>
      <c r="M46" s="41" t="str">
        <f>IF(MasterFees[[#This Row],[GST Basis]]="Excl",MasterFees[[#This Row],[Fee as Printed]],IF(MasterFees[[#This Row],[GST Basis]]="Incl",MasterFees[[#This Row],[Fee as Printed]]/(1+GST_Rate),""))</f>
        <v/>
      </c>
      <c r="N46" s="41" t="str">
        <f>IF(MasterFees[[#This Row],[GST Basis]]="Incl",MasterFees[[#This Row],[Fee as Printed]],IF(MasterFees[[#This Row],[GST Basis]]="Excl",MasterFees[[#This Row],[Fee as Printed]]*(1+GST_Rate),""))</f>
        <v/>
      </c>
      <c r="O46" s="42">
        <f>IF(N(MasterFees[[#This Row],[Total Units]])=0,"",MasterFees[[#This Row],[Fee as Printed]]/MasterFees[[#This Row],[Total Units]])</f>
        <v>55</v>
      </c>
      <c r="P46" s="43"/>
      <c r="Q46" s="46" t="s">
        <v>1013</v>
      </c>
      <c r="R46" s="46" t="s">
        <v>1154</v>
      </c>
      <c r="S46" s="37"/>
    </row>
    <row r="47" spans="1:19" x14ac:dyDescent="0.2">
      <c r="A47" s="36"/>
      <c r="B47" s="38" t="str">
        <f>IF(MasterFees[[#This Row],[RVG Code]]="","",_xlfn.XLOOKUP(MasterFees[[#This Row],[RVG Code]],RVGCodes[Code],RVGCodes[Base Units],"Code not found"))</f>
        <v/>
      </c>
      <c r="C47" s="37" t="s">
        <v>53</v>
      </c>
      <c r="D47" s="44" t="s">
        <v>1108</v>
      </c>
      <c r="E47" s="44"/>
      <c r="F47" s="44" t="s">
        <v>1109</v>
      </c>
      <c r="G47" s="39">
        <v>8.1</v>
      </c>
      <c r="H47" s="39">
        <v>12.9</v>
      </c>
      <c r="I47" s="39">
        <v>0.7</v>
      </c>
      <c r="J47" s="39">
        <v>21.7</v>
      </c>
      <c r="K47" s="40">
        <v>1190.75</v>
      </c>
      <c r="L47" s="45" t="s">
        <v>1015</v>
      </c>
      <c r="M47" s="41" t="str">
        <f>IF(MasterFees[[#This Row],[GST Basis]]="Excl",MasterFees[[#This Row],[Fee as Printed]],IF(MasterFees[[#This Row],[GST Basis]]="Incl",MasterFees[[#This Row],[Fee as Printed]]/(1+GST_Rate),""))</f>
        <v/>
      </c>
      <c r="N47" s="41" t="str">
        <f>IF(MasterFees[[#This Row],[GST Basis]]="Incl",MasterFees[[#This Row],[Fee as Printed]],IF(MasterFees[[#This Row],[GST Basis]]="Excl",MasterFees[[#This Row],[Fee as Printed]]*(1+GST_Rate),""))</f>
        <v/>
      </c>
      <c r="O47" s="42">
        <f>IF(N(MasterFees[[#This Row],[Total Units]])=0,"",MasterFees[[#This Row],[Fee as Printed]]/MasterFees[[#This Row],[Total Units]])</f>
        <v>54.873271889400925</v>
      </c>
      <c r="P47" s="43"/>
      <c r="Q47" s="46" t="s">
        <v>1013</v>
      </c>
      <c r="R47" s="46" t="s">
        <v>1155</v>
      </c>
      <c r="S47" s="37"/>
    </row>
    <row r="48" spans="1:19" x14ac:dyDescent="0.2">
      <c r="A48" s="36"/>
      <c r="B48" s="38" t="str">
        <f>IF(MasterFees[[#This Row],[RVG Code]]="","",_xlfn.XLOOKUP(MasterFees[[#This Row],[RVG Code]],RVGCodes[Code],RVGCodes[Base Units],"Code not found"))</f>
        <v/>
      </c>
      <c r="C48" s="37" t="s">
        <v>54</v>
      </c>
      <c r="D48" s="44" t="s">
        <v>1108</v>
      </c>
      <c r="E48" s="44"/>
      <c r="F48" s="44" t="s">
        <v>1109</v>
      </c>
      <c r="G48" s="39">
        <v>10.9</v>
      </c>
      <c r="H48" s="39">
        <v>10.199999999999999</v>
      </c>
      <c r="I48" s="39">
        <v>0.9</v>
      </c>
      <c r="J48" s="39">
        <v>22</v>
      </c>
      <c r="K48" s="40">
        <v>1207.25</v>
      </c>
      <c r="L48" s="45" t="s">
        <v>1015</v>
      </c>
      <c r="M48" s="41" t="str">
        <f>IF(MasterFees[[#This Row],[GST Basis]]="Excl",MasterFees[[#This Row],[Fee as Printed]],IF(MasterFees[[#This Row],[GST Basis]]="Incl",MasterFees[[#This Row],[Fee as Printed]]/(1+GST_Rate),""))</f>
        <v/>
      </c>
      <c r="N48" s="41" t="str">
        <f>IF(MasterFees[[#This Row],[GST Basis]]="Incl",MasterFees[[#This Row],[Fee as Printed]],IF(MasterFees[[#This Row],[GST Basis]]="Excl",MasterFees[[#This Row],[Fee as Printed]]*(1+GST_Rate),""))</f>
        <v/>
      </c>
      <c r="O48" s="42">
        <f>IF(N(MasterFees[[#This Row],[Total Units]])=0,"",MasterFees[[#This Row],[Fee as Printed]]/MasterFees[[#This Row],[Total Units]])</f>
        <v>54.875</v>
      </c>
      <c r="P48" s="43"/>
      <c r="Q48" s="46" t="s">
        <v>1013</v>
      </c>
      <c r="R48" s="46" t="s">
        <v>1156</v>
      </c>
      <c r="S48" s="37"/>
    </row>
    <row r="49" spans="1:19" x14ac:dyDescent="0.2">
      <c r="A49" s="36"/>
      <c r="B49" s="38" t="str">
        <f>IF(MasterFees[[#This Row],[RVG Code]]="","",_xlfn.XLOOKUP(MasterFees[[#This Row],[RVG Code]],RVGCodes[Code],RVGCodes[Base Units],"Code not found"))</f>
        <v/>
      </c>
      <c r="C49" s="37" t="s">
        <v>55</v>
      </c>
      <c r="D49" s="44" t="s">
        <v>1108</v>
      </c>
      <c r="E49" s="44"/>
      <c r="F49" s="44" t="s">
        <v>1109</v>
      </c>
      <c r="G49" s="39">
        <v>20</v>
      </c>
      <c r="H49" s="39">
        <v>24</v>
      </c>
      <c r="I49" s="39">
        <v>0</v>
      </c>
      <c r="J49" s="39">
        <v>44</v>
      </c>
      <c r="K49" s="40">
        <v>2420</v>
      </c>
      <c r="L49" s="45" t="s">
        <v>1015</v>
      </c>
      <c r="M49" s="41" t="str">
        <f>IF(MasterFees[[#This Row],[GST Basis]]="Excl",MasterFees[[#This Row],[Fee as Printed]],IF(MasterFees[[#This Row],[GST Basis]]="Incl",MasterFees[[#This Row],[Fee as Printed]]/(1+GST_Rate),""))</f>
        <v/>
      </c>
      <c r="N49" s="41" t="str">
        <f>IF(MasterFees[[#This Row],[GST Basis]]="Incl",MasterFees[[#This Row],[Fee as Printed]],IF(MasterFees[[#This Row],[GST Basis]]="Excl",MasterFees[[#This Row],[Fee as Printed]]*(1+GST_Rate),""))</f>
        <v/>
      </c>
      <c r="O49" s="42">
        <f>IF(N(MasterFees[[#This Row],[Total Units]])=0,"",MasterFees[[#This Row],[Fee as Printed]]/MasterFees[[#This Row],[Total Units]])</f>
        <v>55</v>
      </c>
      <c r="P49" s="43"/>
      <c r="Q49" s="46" t="s">
        <v>1013</v>
      </c>
      <c r="R49" s="46" t="s">
        <v>1157</v>
      </c>
      <c r="S49" s="37"/>
    </row>
    <row r="50" spans="1:19" x14ac:dyDescent="0.2">
      <c r="A50" s="36"/>
      <c r="B50" s="38" t="str">
        <f>IF(MasterFees[[#This Row],[RVG Code]]="","",_xlfn.XLOOKUP(MasterFees[[#This Row],[RVG Code]],RVGCodes[Code],RVGCodes[Base Units],"Code not found"))</f>
        <v/>
      </c>
      <c r="C50" s="37" t="s">
        <v>56</v>
      </c>
      <c r="D50" s="44" t="s">
        <v>1108</v>
      </c>
      <c r="E50" s="44"/>
      <c r="F50" s="44" t="s">
        <v>1109</v>
      </c>
      <c r="G50" s="39">
        <v>17</v>
      </c>
      <c r="H50" s="39">
        <v>17.8</v>
      </c>
      <c r="I50" s="39">
        <v>3.3</v>
      </c>
      <c r="J50" s="39">
        <v>38</v>
      </c>
      <c r="K50" s="40">
        <v>2091.65</v>
      </c>
      <c r="L50" s="45" t="s">
        <v>1015</v>
      </c>
      <c r="M50" s="41" t="str">
        <f>IF(MasterFees[[#This Row],[GST Basis]]="Excl",MasterFees[[#This Row],[Fee as Printed]],IF(MasterFees[[#This Row],[GST Basis]]="Incl",MasterFees[[#This Row],[Fee as Printed]]/(1+GST_Rate),""))</f>
        <v/>
      </c>
      <c r="N50" s="41" t="str">
        <f>IF(MasterFees[[#This Row],[GST Basis]]="Incl",MasterFees[[#This Row],[Fee as Printed]],IF(MasterFees[[#This Row],[GST Basis]]="Excl",MasterFees[[#This Row],[Fee as Printed]]*(1+GST_Rate),""))</f>
        <v/>
      </c>
      <c r="O50" s="42">
        <f>IF(N(MasterFees[[#This Row],[Total Units]])=0,"",MasterFees[[#This Row],[Fee as Printed]]/MasterFees[[#This Row],[Total Units]])</f>
        <v>55.043421052631579</v>
      </c>
      <c r="P50" s="43"/>
      <c r="Q50" s="46" t="s">
        <v>1013</v>
      </c>
      <c r="R50" s="46" t="s">
        <v>1158</v>
      </c>
      <c r="S50" s="37"/>
    </row>
    <row r="51" spans="1:19" x14ac:dyDescent="0.2">
      <c r="A51" s="36"/>
      <c r="B51" s="38" t="str">
        <f>IF(MasterFees[[#This Row],[RVG Code]]="","",_xlfn.XLOOKUP(MasterFees[[#This Row],[RVG Code]],RVGCodes[Code],RVGCodes[Base Units],"Code not found"))</f>
        <v/>
      </c>
      <c r="C51" s="37" t="s">
        <v>57</v>
      </c>
      <c r="D51" s="44" t="s">
        <v>1108</v>
      </c>
      <c r="E51" s="44"/>
      <c r="F51" s="44" t="s">
        <v>1109</v>
      </c>
      <c r="G51" s="39">
        <v>5.9</v>
      </c>
      <c r="H51" s="39">
        <v>6.2</v>
      </c>
      <c r="I51" s="39">
        <v>0.6</v>
      </c>
      <c r="J51" s="39">
        <v>12.7</v>
      </c>
      <c r="K51" s="40">
        <v>695.75</v>
      </c>
      <c r="L51" s="45" t="s">
        <v>1015</v>
      </c>
      <c r="M51" s="41" t="str">
        <f>IF(MasterFees[[#This Row],[GST Basis]]="Excl",MasterFees[[#This Row],[Fee as Printed]],IF(MasterFees[[#This Row],[GST Basis]]="Incl",MasterFees[[#This Row],[Fee as Printed]]/(1+GST_Rate),""))</f>
        <v/>
      </c>
      <c r="N51" s="41" t="str">
        <f>IF(MasterFees[[#This Row],[GST Basis]]="Incl",MasterFees[[#This Row],[Fee as Printed]],IF(MasterFees[[#This Row],[GST Basis]]="Excl",MasterFees[[#This Row],[Fee as Printed]]*(1+GST_Rate),""))</f>
        <v/>
      </c>
      <c r="O51" s="42">
        <f>IF(N(MasterFees[[#This Row],[Total Units]])=0,"",MasterFees[[#This Row],[Fee as Printed]]/MasterFees[[#This Row],[Total Units]])</f>
        <v>54.78346456692914</v>
      </c>
      <c r="P51" s="43"/>
      <c r="Q51" s="46" t="s">
        <v>1013</v>
      </c>
      <c r="R51" s="46" t="s">
        <v>1159</v>
      </c>
      <c r="S51" s="37"/>
    </row>
    <row r="52" spans="1:19" x14ac:dyDescent="0.2">
      <c r="A52" s="36"/>
      <c r="B52" s="38" t="str">
        <f>IF(MasterFees[[#This Row],[RVG Code]]="","",_xlfn.XLOOKUP(MasterFees[[#This Row],[RVG Code]],RVGCodes[Code],RVGCodes[Base Units],"Code not found"))</f>
        <v/>
      </c>
      <c r="C52" s="37" t="s">
        <v>58</v>
      </c>
      <c r="D52" s="44" t="s">
        <v>1108</v>
      </c>
      <c r="E52" s="44"/>
      <c r="F52" s="44" t="s">
        <v>1109</v>
      </c>
      <c r="G52" s="39">
        <v>5</v>
      </c>
      <c r="H52" s="39">
        <v>7</v>
      </c>
      <c r="I52" s="39">
        <v>0</v>
      </c>
      <c r="J52" s="39">
        <v>12</v>
      </c>
      <c r="K52" s="40">
        <v>660</v>
      </c>
      <c r="L52" s="45" t="s">
        <v>1015</v>
      </c>
      <c r="M52" s="41" t="str">
        <f>IF(MasterFees[[#This Row],[GST Basis]]="Excl",MasterFees[[#This Row],[Fee as Printed]],IF(MasterFees[[#This Row],[GST Basis]]="Incl",MasterFees[[#This Row],[Fee as Printed]]/(1+GST_Rate),""))</f>
        <v/>
      </c>
      <c r="N52" s="41" t="str">
        <f>IF(MasterFees[[#This Row],[GST Basis]]="Incl",MasterFees[[#This Row],[Fee as Printed]],IF(MasterFees[[#This Row],[GST Basis]]="Excl",MasterFees[[#This Row],[Fee as Printed]]*(1+GST_Rate),""))</f>
        <v/>
      </c>
      <c r="O52" s="42">
        <f>IF(N(MasterFees[[#This Row],[Total Units]])=0,"",MasterFees[[#This Row],[Fee as Printed]]/MasterFees[[#This Row],[Total Units]])</f>
        <v>55</v>
      </c>
      <c r="P52" s="43"/>
      <c r="Q52" s="46" t="s">
        <v>1013</v>
      </c>
      <c r="R52" s="46" t="s">
        <v>1160</v>
      </c>
      <c r="S52" s="37"/>
    </row>
    <row r="53" spans="1:19" x14ac:dyDescent="0.2">
      <c r="A53" s="36"/>
      <c r="B53" s="38" t="str">
        <f>IF(MasterFees[[#This Row],[RVG Code]]="","",_xlfn.XLOOKUP(MasterFees[[#This Row],[RVG Code]],RVGCodes[Code],RVGCodes[Base Units],"Code not found"))</f>
        <v/>
      </c>
      <c r="C53" s="37" t="s">
        <v>59</v>
      </c>
      <c r="D53" s="44" t="s">
        <v>1108</v>
      </c>
      <c r="E53" s="44"/>
      <c r="F53" s="44" t="s">
        <v>1109</v>
      </c>
      <c r="G53" s="39">
        <v>4.0999999999999996</v>
      </c>
      <c r="H53" s="39">
        <v>2.4</v>
      </c>
      <c r="I53" s="39">
        <v>0.5</v>
      </c>
      <c r="J53" s="39">
        <v>7</v>
      </c>
      <c r="K53" s="40">
        <v>386.1</v>
      </c>
      <c r="L53" s="45" t="s">
        <v>1015</v>
      </c>
      <c r="M53" s="41" t="str">
        <f>IF(MasterFees[[#This Row],[GST Basis]]="Excl",MasterFees[[#This Row],[Fee as Printed]],IF(MasterFees[[#This Row],[GST Basis]]="Incl",MasterFees[[#This Row],[Fee as Printed]]/(1+GST_Rate),""))</f>
        <v/>
      </c>
      <c r="N53" s="41" t="str">
        <f>IF(MasterFees[[#This Row],[GST Basis]]="Incl",MasterFees[[#This Row],[Fee as Printed]],IF(MasterFees[[#This Row],[GST Basis]]="Excl",MasterFees[[#This Row],[Fee as Printed]]*(1+GST_Rate),""))</f>
        <v/>
      </c>
      <c r="O53" s="42">
        <f>IF(N(MasterFees[[#This Row],[Total Units]])=0,"",MasterFees[[#This Row],[Fee as Printed]]/MasterFees[[#This Row],[Total Units]])</f>
        <v>55.157142857142858</v>
      </c>
      <c r="P53" s="43"/>
      <c r="Q53" s="46" t="s">
        <v>1013</v>
      </c>
      <c r="R53" s="46" t="s">
        <v>1161</v>
      </c>
      <c r="S53" s="37"/>
    </row>
    <row r="54" spans="1:19" x14ac:dyDescent="0.2">
      <c r="A54" s="36"/>
      <c r="B54" s="38" t="str">
        <f>IF(MasterFees[[#This Row],[RVG Code]]="","",_xlfn.XLOOKUP(MasterFees[[#This Row],[RVG Code]],RVGCodes[Code],RVGCodes[Base Units],"Code not found"))</f>
        <v/>
      </c>
      <c r="C54" s="37" t="s">
        <v>60</v>
      </c>
      <c r="D54" s="44" t="s">
        <v>1108</v>
      </c>
      <c r="E54" s="44"/>
      <c r="F54" s="44" t="s">
        <v>1109</v>
      </c>
      <c r="G54" s="39">
        <v>5.5</v>
      </c>
      <c r="H54" s="39">
        <v>4</v>
      </c>
      <c r="I54" s="39">
        <v>0.3</v>
      </c>
      <c r="J54" s="39">
        <v>9.8000000000000007</v>
      </c>
      <c r="K54" s="40">
        <v>539</v>
      </c>
      <c r="L54" s="45" t="s">
        <v>1015</v>
      </c>
      <c r="M54" s="41" t="str">
        <f>IF(MasterFees[[#This Row],[GST Basis]]="Excl",MasterFees[[#This Row],[Fee as Printed]],IF(MasterFees[[#This Row],[GST Basis]]="Incl",MasterFees[[#This Row],[Fee as Printed]]/(1+GST_Rate),""))</f>
        <v/>
      </c>
      <c r="N54" s="41" t="str">
        <f>IF(MasterFees[[#This Row],[GST Basis]]="Incl",MasterFees[[#This Row],[Fee as Printed]],IF(MasterFees[[#This Row],[GST Basis]]="Excl",MasterFees[[#This Row],[Fee as Printed]]*(1+GST_Rate),""))</f>
        <v/>
      </c>
      <c r="O54" s="42">
        <f>IF(N(MasterFees[[#This Row],[Total Units]])=0,"",MasterFees[[#This Row],[Fee as Printed]]/MasterFees[[#This Row],[Total Units]])</f>
        <v>54.999999999999993</v>
      </c>
      <c r="P54" s="43"/>
      <c r="Q54" s="46" t="s">
        <v>1013</v>
      </c>
      <c r="R54" s="46" t="s">
        <v>1162</v>
      </c>
      <c r="S54" s="37"/>
    </row>
    <row r="55" spans="1:19" x14ac:dyDescent="0.2">
      <c r="A55" s="36"/>
      <c r="B55" s="38" t="str">
        <f>IF(MasterFees[[#This Row],[RVG Code]]="","",_xlfn.XLOOKUP(MasterFees[[#This Row],[RVG Code]],RVGCodes[Code],RVGCodes[Base Units],"Code not found"))</f>
        <v/>
      </c>
      <c r="C55" s="37" t="s">
        <v>61</v>
      </c>
      <c r="D55" s="44" t="s">
        <v>1108</v>
      </c>
      <c r="E55" s="44"/>
      <c r="F55" s="44" t="s">
        <v>1109</v>
      </c>
      <c r="G55" s="39">
        <v>6</v>
      </c>
      <c r="H55" s="39">
        <v>6.7</v>
      </c>
      <c r="I55" s="39">
        <v>0.1</v>
      </c>
      <c r="J55" s="39">
        <v>12.9</v>
      </c>
      <c r="K55" s="40">
        <v>706.75</v>
      </c>
      <c r="L55" s="45" t="s">
        <v>1015</v>
      </c>
      <c r="M55" s="41" t="str">
        <f>IF(MasterFees[[#This Row],[GST Basis]]="Excl",MasterFees[[#This Row],[Fee as Printed]],IF(MasterFees[[#This Row],[GST Basis]]="Incl",MasterFees[[#This Row],[Fee as Printed]]/(1+GST_Rate),""))</f>
        <v/>
      </c>
      <c r="N55" s="41" t="str">
        <f>IF(MasterFees[[#This Row],[GST Basis]]="Incl",MasterFees[[#This Row],[Fee as Printed]],IF(MasterFees[[#This Row],[GST Basis]]="Excl",MasterFees[[#This Row],[Fee as Printed]]*(1+GST_Rate),""))</f>
        <v/>
      </c>
      <c r="O55" s="42">
        <f>IF(N(MasterFees[[#This Row],[Total Units]])=0,"",MasterFees[[#This Row],[Fee as Printed]]/MasterFees[[#This Row],[Total Units]])</f>
        <v>54.786821705426355</v>
      </c>
      <c r="P55" s="43"/>
      <c r="Q55" s="46" t="s">
        <v>1013</v>
      </c>
      <c r="R55" s="46" t="s">
        <v>1163</v>
      </c>
      <c r="S55" s="37"/>
    </row>
    <row r="56" spans="1:19" x14ac:dyDescent="0.2">
      <c r="A56" s="36"/>
      <c r="B56" s="38" t="str">
        <f>IF(MasterFees[[#This Row],[RVG Code]]="","",_xlfn.XLOOKUP(MasterFees[[#This Row],[RVG Code]],RVGCodes[Code],RVGCodes[Base Units],"Code not found"))</f>
        <v/>
      </c>
      <c r="C56" s="37" t="s">
        <v>62</v>
      </c>
      <c r="D56" s="44" t="s">
        <v>1108</v>
      </c>
      <c r="E56" s="44"/>
      <c r="F56" s="44" t="s">
        <v>1109</v>
      </c>
      <c r="G56" s="39">
        <v>4</v>
      </c>
      <c r="H56" s="39">
        <v>2.5</v>
      </c>
      <c r="I56" s="39">
        <v>0.5</v>
      </c>
      <c r="J56" s="39">
        <v>7</v>
      </c>
      <c r="K56" s="40">
        <v>386.1</v>
      </c>
      <c r="L56" s="45" t="s">
        <v>1015</v>
      </c>
      <c r="M56" s="41" t="str">
        <f>IF(MasterFees[[#This Row],[GST Basis]]="Excl",MasterFees[[#This Row],[Fee as Printed]],IF(MasterFees[[#This Row],[GST Basis]]="Incl",MasterFees[[#This Row],[Fee as Printed]]/(1+GST_Rate),""))</f>
        <v/>
      </c>
      <c r="N56" s="41" t="str">
        <f>IF(MasterFees[[#This Row],[GST Basis]]="Incl",MasterFees[[#This Row],[Fee as Printed]],IF(MasterFees[[#This Row],[GST Basis]]="Excl",MasterFees[[#This Row],[Fee as Printed]]*(1+GST_Rate),""))</f>
        <v/>
      </c>
      <c r="O56" s="42">
        <f>IF(N(MasterFees[[#This Row],[Total Units]])=0,"",MasterFees[[#This Row],[Fee as Printed]]/MasterFees[[#This Row],[Total Units]])</f>
        <v>55.157142857142858</v>
      </c>
      <c r="P56" s="43"/>
      <c r="Q56" s="46" t="s">
        <v>1013</v>
      </c>
      <c r="R56" s="46" t="s">
        <v>1164</v>
      </c>
      <c r="S56" s="37"/>
    </row>
    <row r="57" spans="1:19" x14ac:dyDescent="0.2">
      <c r="A57" s="36"/>
      <c r="B57" s="38" t="str">
        <f>IF(MasterFees[[#This Row],[RVG Code]]="","",_xlfn.XLOOKUP(MasterFees[[#This Row],[RVG Code]],RVGCodes[Code],RVGCodes[Base Units],"Code not found"))</f>
        <v/>
      </c>
      <c r="C57" s="37" t="s">
        <v>63</v>
      </c>
      <c r="D57" s="44" t="s">
        <v>1108</v>
      </c>
      <c r="E57" s="44"/>
      <c r="F57" s="44" t="s">
        <v>1109</v>
      </c>
      <c r="G57" s="39">
        <v>5</v>
      </c>
      <c r="H57" s="39">
        <v>5.6</v>
      </c>
      <c r="I57" s="39">
        <v>1.2</v>
      </c>
      <c r="J57" s="39">
        <v>11.8</v>
      </c>
      <c r="K57" s="40">
        <v>647.35</v>
      </c>
      <c r="L57" s="45" t="s">
        <v>1015</v>
      </c>
      <c r="M57" s="41" t="str">
        <f>IF(MasterFees[[#This Row],[GST Basis]]="Excl",MasterFees[[#This Row],[Fee as Printed]],IF(MasterFees[[#This Row],[GST Basis]]="Incl",MasterFees[[#This Row],[Fee as Printed]]/(1+GST_Rate),""))</f>
        <v/>
      </c>
      <c r="N57" s="41" t="str">
        <f>IF(MasterFees[[#This Row],[GST Basis]]="Incl",MasterFees[[#This Row],[Fee as Printed]],IF(MasterFees[[#This Row],[GST Basis]]="Excl",MasterFees[[#This Row],[Fee as Printed]]*(1+GST_Rate),""))</f>
        <v/>
      </c>
      <c r="O57" s="42">
        <f>IF(N(MasterFees[[#This Row],[Total Units]])=0,"",MasterFees[[#This Row],[Fee as Printed]]/MasterFees[[#This Row],[Total Units]])</f>
        <v>54.860169491525426</v>
      </c>
      <c r="P57" s="43"/>
      <c r="Q57" s="46" t="s">
        <v>1013</v>
      </c>
      <c r="R57" s="46" t="s">
        <v>1165</v>
      </c>
      <c r="S57" s="37"/>
    </row>
    <row r="58" spans="1:19" x14ac:dyDescent="0.2">
      <c r="A58" s="36"/>
      <c r="B58" s="38" t="str">
        <f>IF(MasterFees[[#This Row],[RVG Code]]="","",_xlfn.XLOOKUP(MasterFees[[#This Row],[RVG Code]],RVGCodes[Code],RVGCodes[Base Units],"Code not found"))</f>
        <v/>
      </c>
      <c r="C58" s="37" t="s">
        <v>64</v>
      </c>
      <c r="D58" s="44" t="s">
        <v>1108</v>
      </c>
      <c r="E58" s="44"/>
      <c r="F58" s="44" t="s">
        <v>1109</v>
      </c>
      <c r="G58" s="39">
        <v>21</v>
      </c>
      <c r="H58" s="39">
        <v>23.3</v>
      </c>
      <c r="I58" s="39">
        <v>3.8</v>
      </c>
      <c r="J58" s="39">
        <v>48</v>
      </c>
      <c r="K58" s="40">
        <v>2640</v>
      </c>
      <c r="L58" s="45" t="s">
        <v>1015</v>
      </c>
      <c r="M58" s="41" t="str">
        <f>IF(MasterFees[[#This Row],[GST Basis]]="Excl",MasterFees[[#This Row],[Fee as Printed]],IF(MasterFees[[#This Row],[GST Basis]]="Incl",MasterFees[[#This Row],[Fee as Printed]]/(1+GST_Rate),""))</f>
        <v/>
      </c>
      <c r="N58" s="41" t="str">
        <f>IF(MasterFees[[#This Row],[GST Basis]]="Incl",MasterFees[[#This Row],[Fee as Printed]],IF(MasterFees[[#This Row],[GST Basis]]="Excl",MasterFees[[#This Row],[Fee as Printed]]*(1+GST_Rate),""))</f>
        <v/>
      </c>
      <c r="O58" s="42">
        <f>IF(N(MasterFees[[#This Row],[Total Units]])=0,"",MasterFees[[#This Row],[Fee as Printed]]/MasterFees[[#This Row],[Total Units]])</f>
        <v>55</v>
      </c>
      <c r="P58" s="43"/>
      <c r="Q58" s="46" t="s">
        <v>1013</v>
      </c>
      <c r="R58" s="46" t="s">
        <v>1166</v>
      </c>
      <c r="S58" s="37"/>
    </row>
    <row r="59" spans="1:19" x14ac:dyDescent="0.2">
      <c r="A59" s="36"/>
      <c r="B59" s="38" t="str">
        <f>IF(MasterFees[[#This Row],[RVG Code]]="","",_xlfn.XLOOKUP(MasterFees[[#This Row],[RVG Code]],RVGCodes[Code],RVGCodes[Base Units],"Code not found"))</f>
        <v/>
      </c>
      <c r="C59" s="37" t="s">
        <v>65</v>
      </c>
      <c r="D59" s="44" t="s">
        <v>1108</v>
      </c>
      <c r="E59" s="44"/>
      <c r="F59" s="44" t="s">
        <v>1109</v>
      </c>
      <c r="G59" s="39">
        <v>0</v>
      </c>
      <c r="H59" s="39">
        <v>1</v>
      </c>
      <c r="I59" s="39">
        <v>0</v>
      </c>
      <c r="J59" s="39">
        <v>1</v>
      </c>
      <c r="K59" s="40">
        <v>55</v>
      </c>
      <c r="L59" s="45" t="s">
        <v>1015</v>
      </c>
      <c r="M59" s="41" t="str">
        <f>IF(MasterFees[[#This Row],[GST Basis]]="Excl",MasterFees[[#This Row],[Fee as Printed]],IF(MasterFees[[#This Row],[GST Basis]]="Incl",MasterFees[[#This Row],[Fee as Printed]]/(1+GST_Rate),""))</f>
        <v/>
      </c>
      <c r="N59" s="41" t="str">
        <f>IF(MasterFees[[#This Row],[GST Basis]]="Incl",MasterFees[[#This Row],[Fee as Printed]],IF(MasterFees[[#This Row],[GST Basis]]="Excl",MasterFees[[#This Row],[Fee as Printed]]*(1+GST_Rate),""))</f>
        <v/>
      </c>
      <c r="O59" s="42">
        <f>IF(N(MasterFees[[#This Row],[Total Units]])=0,"",MasterFees[[#This Row],[Fee as Printed]]/MasterFees[[#This Row],[Total Units]])</f>
        <v>55</v>
      </c>
      <c r="P59" s="43"/>
      <c r="Q59" s="46" t="s">
        <v>1013</v>
      </c>
      <c r="R59" s="46" t="s">
        <v>1167</v>
      </c>
      <c r="S59" s="37"/>
    </row>
    <row r="60" spans="1:19" x14ac:dyDescent="0.2">
      <c r="A60" s="36"/>
      <c r="B60" s="38" t="str">
        <f>IF(MasterFees[[#This Row],[RVG Code]]="","",_xlfn.XLOOKUP(MasterFees[[#This Row],[RVG Code]],RVGCodes[Code],RVGCodes[Base Units],"Code not found"))</f>
        <v/>
      </c>
      <c r="C60" s="37" t="s">
        <v>66</v>
      </c>
      <c r="D60" s="44" t="s">
        <v>1108</v>
      </c>
      <c r="E60" s="44"/>
      <c r="F60" s="44" t="s">
        <v>1109</v>
      </c>
      <c r="G60" s="39">
        <v>2.5</v>
      </c>
      <c r="H60" s="39">
        <v>2</v>
      </c>
      <c r="I60" s="39">
        <v>0</v>
      </c>
      <c r="J60" s="39">
        <v>4.5</v>
      </c>
      <c r="K60" s="40">
        <v>247.5</v>
      </c>
      <c r="L60" s="45" t="s">
        <v>1015</v>
      </c>
      <c r="M60" s="41" t="str">
        <f>IF(MasterFees[[#This Row],[GST Basis]]="Excl",MasterFees[[#This Row],[Fee as Printed]],IF(MasterFees[[#This Row],[GST Basis]]="Incl",MasterFees[[#This Row],[Fee as Printed]]/(1+GST_Rate),""))</f>
        <v/>
      </c>
      <c r="N60" s="41" t="str">
        <f>IF(MasterFees[[#This Row],[GST Basis]]="Incl",MasterFees[[#This Row],[Fee as Printed]],IF(MasterFees[[#This Row],[GST Basis]]="Excl",MasterFees[[#This Row],[Fee as Printed]]*(1+GST_Rate),""))</f>
        <v/>
      </c>
      <c r="O60" s="42">
        <f>IF(N(MasterFees[[#This Row],[Total Units]])=0,"",MasterFees[[#This Row],[Fee as Printed]]/MasterFees[[#This Row],[Total Units]])</f>
        <v>55</v>
      </c>
      <c r="P60" s="43"/>
      <c r="Q60" s="46" t="s">
        <v>1013</v>
      </c>
      <c r="R60" s="46" t="s">
        <v>1168</v>
      </c>
      <c r="S60" s="37"/>
    </row>
    <row r="61" spans="1:19" x14ac:dyDescent="0.2">
      <c r="A61" s="36"/>
      <c r="B61" s="38" t="str">
        <f>IF(MasterFees[[#This Row],[RVG Code]]="","",_xlfn.XLOOKUP(MasterFees[[#This Row],[RVG Code]],RVGCodes[Code],RVGCodes[Base Units],"Code not found"))</f>
        <v/>
      </c>
      <c r="C61" s="37" t="s">
        <v>67</v>
      </c>
      <c r="D61" s="44" t="s">
        <v>1108</v>
      </c>
      <c r="E61" s="44"/>
      <c r="F61" s="44" t="s">
        <v>1109</v>
      </c>
      <c r="G61" s="39">
        <v>4</v>
      </c>
      <c r="H61" s="39">
        <v>2.4</v>
      </c>
      <c r="I61" s="39">
        <v>0.4</v>
      </c>
      <c r="J61" s="39">
        <v>6.7</v>
      </c>
      <c r="K61" s="40">
        <v>370.7</v>
      </c>
      <c r="L61" s="45" t="s">
        <v>1015</v>
      </c>
      <c r="M61" s="41" t="str">
        <f>IF(MasterFees[[#This Row],[GST Basis]]="Excl",MasterFees[[#This Row],[Fee as Printed]],IF(MasterFees[[#This Row],[GST Basis]]="Incl",MasterFees[[#This Row],[Fee as Printed]]/(1+GST_Rate),""))</f>
        <v/>
      </c>
      <c r="N61" s="41" t="str">
        <f>IF(MasterFees[[#This Row],[GST Basis]]="Incl",MasterFees[[#This Row],[Fee as Printed]],IF(MasterFees[[#This Row],[GST Basis]]="Excl",MasterFees[[#This Row],[Fee as Printed]]*(1+GST_Rate),""))</f>
        <v/>
      </c>
      <c r="O61" s="42">
        <f>IF(N(MasterFees[[#This Row],[Total Units]])=0,"",MasterFees[[#This Row],[Fee as Printed]]/MasterFees[[#This Row],[Total Units]])</f>
        <v>55.328358208955223</v>
      </c>
      <c r="P61" s="43"/>
      <c r="Q61" s="46" t="s">
        <v>1013</v>
      </c>
      <c r="R61" s="46" t="s">
        <v>1169</v>
      </c>
      <c r="S61" s="37"/>
    </row>
    <row r="62" spans="1:19" x14ac:dyDescent="0.2">
      <c r="A62" s="36"/>
      <c r="B62" s="38" t="str">
        <f>IF(MasterFees[[#This Row],[RVG Code]]="","",_xlfn.XLOOKUP(MasterFees[[#This Row],[RVG Code]],RVGCodes[Code],RVGCodes[Base Units],"Code not found"))</f>
        <v/>
      </c>
      <c r="C62" s="37" t="s">
        <v>68</v>
      </c>
      <c r="D62" s="44" t="s">
        <v>1108</v>
      </c>
      <c r="E62" s="44"/>
      <c r="F62" s="44" t="s">
        <v>1109</v>
      </c>
      <c r="G62" s="39">
        <v>5</v>
      </c>
      <c r="H62" s="39">
        <v>9</v>
      </c>
      <c r="I62" s="39">
        <v>0</v>
      </c>
      <c r="J62" s="39">
        <v>14</v>
      </c>
      <c r="K62" s="40">
        <v>770</v>
      </c>
      <c r="L62" s="45" t="s">
        <v>1015</v>
      </c>
      <c r="M62" s="41" t="str">
        <f>IF(MasterFees[[#This Row],[GST Basis]]="Excl",MasterFees[[#This Row],[Fee as Printed]],IF(MasterFees[[#This Row],[GST Basis]]="Incl",MasterFees[[#This Row],[Fee as Printed]]/(1+GST_Rate),""))</f>
        <v/>
      </c>
      <c r="N62" s="41" t="str">
        <f>IF(MasterFees[[#This Row],[GST Basis]]="Incl",MasterFees[[#This Row],[Fee as Printed]],IF(MasterFees[[#This Row],[GST Basis]]="Excl",MasterFees[[#This Row],[Fee as Printed]]*(1+GST_Rate),""))</f>
        <v/>
      </c>
      <c r="O62" s="42">
        <f>IF(N(MasterFees[[#This Row],[Total Units]])=0,"",MasterFees[[#This Row],[Fee as Printed]]/MasterFees[[#This Row],[Total Units]])</f>
        <v>55</v>
      </c>
      <c r="P62" s="43"/>
      <c r="Q62" s="46" t="s">
        <v>1013</v>
      </c>
      <c r="R62" s="46" t="s">
        <v>1170</v>
      </c>
      <c r="S62" s="37"/>
    </row>
    <row r="63" spans="1:19" x14ac:dyDescent="0.2">
      <c r="A63" s="36"/>
      <c r="B63" s="38" t="str">
        <f>IF(MasterFees[[#This Row],[RVG Code]]="","",_xlfn.XLOOKUP(MasterFees[[#This Row],[RVG Code]],RVGCodes[Code],RVGCodes[Base Units],"Code not found"))</f>
        <v/>
      </c>
      <c r="C63" s="37" t="s">
        <v>69</v>
      </c>
      <c r="D63" s="44" t="s">
        <v>1108</v>
      </c>
      <c r="E63" s="44"/>
      <c r="F63" s="44" t="s">
        <v>1109</v>
      </c>
      <c r="G63" s="39">
        <v>0</v>
      </c>
      <c r="H63" s="39">
        <v>0</v>
      </c>
      <c r="I63" s="39">
        <v>0</v>
      </c>
      <c r="J63" s="39">
        <v>0</v>
      </c>
      <c r="K63" s="40">
        <v>0</v>
      </c>
      <c r="L63" s="45" t="s">
        <v>1015</v>
      </c>
      <c r="M63" s="41" t="str">
        <f>IF(MasterFees[[#This Row],[GST Basis]]="Excl",MasterFees[[#This Row],[Fee as Printed]],IF(MasterFees[[#This Row],[GST Basis]]="Incl",MasterFees[[#This Row],[Fee as Printed]]/(1+GST_Rate),""))</f>
        <v/>
      </c>
      <c r="N63" s="41" t="str">
        <f>IF(MasterFees[[#This Row],[GST Basis]]="Incl",MasterFees[[#This Row],[Fee as Printed]],IF(MasterFees[[#This Row],[GST Basis]]="Excl",MasterFees[[#This Row],[Fee as Printed]]*(1+GST_Rate),""))</f>
        <v/>
      </c>
      <c r="O63" s="42" t="str">
        <f>IF(N(MasterFees[[#This Row],[Total Units]])=0,"",MasterFees[[#This Row],[Fee as Printed]]/MasterFees[[#This Row],[Total Units]])</f>
        <v/>
      </c>
      <c r="P63" s="43"/>
      <c r="Q63" s="46" t="s">
        <v>1013</v>
      </c>
      <c r="R63" s="46" t="s">
        <v>1171</v>
      </c>
      <c r="S63" s="37"/>
    </row>
    <row r="64" spans="1:19" x14ac:dyDescent="0.2">
      <c r="A64" s="36"/>
      <c r="B64" s="38" t="str">
        <f>IF(MasterFees[[#This Row],[RVG Code]]="","",_xlfn.XLOOKUP(MasterFees[[#This Row],[RVG Code]],RVGCodes[Code],RVGCodes[Base Units],"Code not found"))</f>
        <v/>
      </c>
      <c r="C64" s="37" t="s">
        <v>70</v>
      </c>
      <c r="D64" s="44" t="s">
        <v>1108</v>
      </c>
      <c r="E64" s="44"/>
      <c r="F64" s="44" t="s">
        <v>1109</v>
      </c>
      <c r="G64" s="39">
        <v>2.7</v>
      </c>
      <c r="H64" s="39">
        <v>2.5</v>
      </c>
      <c r="I64" s="39">
        <v>0.2</v>
      </c>
      <c r="J64" s="39">
        <v>5.3</v>
      </c>
      <c r="K64" s="40">
        <v>292.60000000000002</v>
      </c>
      <c r="L64" s="45" t="s">
        <v>1015</v>
      </c>
      <c r="M64" s="41" t="str">
        <f>IF(MasterFees[[#This Row],[GST Basis]]="Excl",MasterFees[[#This Row],[Fee as Printed]],IF(MasterFees[[#This Row],[GST Basis]]="Incl",MasterFees[[#This Row],[Fee as Printed]]/(1+GST_Rate),""))</f>
        <v/>
      </c>
      <c r="N64" s="41" t="str">
        <f>IF(MasterFees[[#This Row],[GST Basis]]="Incl",MasterFees[[#This Row],[Fee as Printed]],IF(MasterFees[[#This Row],[GST Basis]]="Excl",MasterFees[[#This Row],[Fee as Printed]]*(1+GST_Rate),""))</f>
        <v/>
      </c>
      <c r="O64" s="42">
        <f>IF(N(MasterFees[[#This Row],[Total Units]])=0,"",MasterFees[[#This Row],[Fee as Printed]]/MasterFees[[#This Row],[Total Units]])</f>
        <v>55.207547169811328</v>
      </c>
      <c r="P64" s="43"/>
      <c r="Q64" s="46" t="s">
        <v>1013</v>
      </c>
      <c r="R64" s="46" t="s">
        <v>1172</v>
      </c>
      <c r="S64" s="37"/>
    </row>
    <row r="65" spans="1:19" x14ac:dyDescent="0.2">
      <c r="A65" s="36"/>
      <c r="B65" s="38" t="str">
        <f>IF(MasterFees[[#This Row],[RVG Code]]="","",_xlfn.XLOOKUP(MasterFees[[#This Row],[RVG Code]],RVGCodes[Code],RVGCodes[Base Units],"Code not found"))</f>
        <v/>
      </c>
      <c r="C65" s="37" t="s">
        <v>71</v>
      </c>
      <c r="D65" s="44" t="s">
        <v>1108</v>
      </c>
      <c r="E65" s="44"/>
      <c r="F65" s="44" t="s">
        <v>1109</v>
      </c>
      <c r="G65" s="39">
        <v>5.8</v>
      </c>
      <c r="H65" s="39">
        <v>10.7</v>
      </c>
      <c r="I65" s="39">
        <v>0.7</v>
      </c>
      <c r="J65" s="39">
        <v>17.2</v>
      </c>
      <c r="K65" s="40">
        <v>946</v>
      </c>
      <c r="L65" s="45" t="s">
        <v>1015</v>
      </c>
      <c r="M65" s="41" t="str">
        <f>IF(MasterFees[[#This Row],[GST Basis]]="Excl",MasterFees[[#This Row],[Fee as Printed]],IF(MasterFees[[#This Row],[GST Basis]]="Incl",MasterFees[[#This Row],[Fee as Printed]]/(1+GST_Rate),""))</f>
        <v/>
      </c>
      <c r="N65" s="41" t="str">
        <f>IF(MasterFees[[#This Row],[GST Basis]]="Incl",MasterFees[[#This Row],[Fee as Printed]],IF(MasterFees[[#This Row],[GST Basis]]="Excl",MasterFees[[#This Row],[Fee as Printed]]*(1+GST_Rate),""))</f>
        <v/>
      </c>
      <c r="O65" s="42">
        <f>IF(N(MasterFees[[#This Row],[Total Units]])=0,"",MasterFees[[#This Row],[Fee as Printed]]/MasterFees[[#This Row],[Total Units]])</f>
        <v>55</v>
      </c>
      <c r="P65" s="43"/>
      <c r="Q65" s="46" t="s">
        <v>1013</v>
      </c>
      <c r="R65" s="46" t="s">
        <v>1173</v>
      </c>
      <c r="S65" s="37"/>
    </row>
    <row r="66" spans="1:19" x14ac:dyDescent="0.2">
      <c r="A66" s="36"/>
      <c r="B66" s="38" t="str">
        <f>IF(MasterFees[[#This Row],[RVG Code]]="","",_xlfn.XLOOKUP(MasterFees[[#This Row],[RVG Code]],RVGCodes[Code],RVGCodes[Base Units],"Code not found"))</f>
        <v/>
      </c>
      <c r="C66" s="37" t="s">
        <v>72</v>
      </c>
      <c r="D66" s="44" t="s">
        <v>1108</v>
      </c>
      <c r="E66" s="44"/>
      <c r="F66" s="44" t="s">
        <v>1109</v>
      </c>
      <c r="G66" s="39">
        <v>4.5</v>
      </c>
      <c r="H66" s="39">
        <v>6.5</v>
      </c>
      <c r="I66" s="39">
        <v>0.8</v>
      </c>
      <c r="J66" s="39">
        <v>11.8</v>
      </c>
      <c r="K66" s="40">
        <v>646.79999999999995</v>
      </c>
      <c r="L66" s="45" t="s">
        <v>1015</v>
      </c>
      <c r="M66" s="41" t="str">
        <f>IF(MasterFees[[#This Row],[GST Basis]]="Excl",MasterFees[[#This Row],[Fee as Printed]],IF(MasterFees[[#This Row],[GST Basis]]="Incl",MasterFees[[#This Row],[Fee as Printed]]/(1+GST_Rate),""))</f>
        <v/>
      </c>
      <c r="N66" s="41" t="str">
        <f>IF(MasterFees[[#This Row],[GST Basis]]="Incl",MasterFees[[#This Row],[Fee as Printed]],IF(MasterFees[[#This Row],[GST Basis]]="Excl",MasterFees[[#This Row],[Fee as Printed]]*(1+GST_Rate),""))</f>
        <v/>
      </c>
      <c r="O66" s="42">
        <f>IF(N(MasterFees[[#This Row],[Total Units]])=0,"",MasterFees[[#This Row],[Fee as Printed]]/MasterFees[[#This Row],[Total Units]])</f>
        <v>54.813559322033889</v>
      </c>
      <c r="P66" s="43"/>
      <c r="Q66" s="46" t="s">
        <v>1013</v>
      </c>
      <c r="R66" s="46" t="s">
        <v>1174</v>
      </c>
      <c r="S66" s="37"/>
    </row>
    <row r="67" spans="1:19" x14ac:dyDescent="0.2">
      <c r="A67" s="36"/>
      <c r="B67" s="38" t="str">
        <f>IF(MasterFees[[#This Row],[RVG Code]]="","",_xlfn.XLOOKUP(MasterFees[[#This Row],[RVG Code]],RVGCodes[Code],RVGCodes[Base Units],"Code not found"))</f>
        <v/>
      </c>
      <c r="C67" s="37" t="s">
        <v>73</v>
      </c>
      <c r="D67" s="44" t="s">
        <v>1108</v>
      </c>
      <c r="E67" s="44"/>
      <c r="F67" s="44" t="s">
        <v>1109</v>
      </c>
      <c r="G67" s="39">
        <v>7</v>
      </c>
      <c r="H67" s="39">
        <v>29</v>
      </c>
      <c r="I67" s="39">
        <v>2</v>
      </c>
      <c r="J67" s="39">
        <v>38</v>
      </c>
      <c r="K67" s="40">
        <v>2090</v>
      </c>
      <c r="L67" s="45" t="s">
        <v>1015</v>
      </c>
      <c r="M67" s="41" t="str">
        <f>IF(MasterFees[[#This Row],[GST Basis]]="Excl",MasterFees[[#This Row],[Fee as Printed]],IF(MasterFees[[#This Row],[GST Basis]]="Incl",MasterFees[[#This Row],[Fee as Printed]]/(1+GST_Rate),""))</f>
        <v/>
      </c>
      <c r="N67" s="41" t="str">
        <f>IF(MasterFees[[#This Row],[GST Basis]]="Incl",MasterFees[[#This Row],[Fee as Printed]],IF(MasterFees[[#This Row],[GST Basis]]="Excl",MasterFees[[#This Row],[Fee as Printed]]*(1+GST_Rate),""))</f>
        <v/>
      </c>
      <c r="O67" s="42">
        <f>IF(N(MasterFees[[#This Row],[Total Units]])=0,"",MasterFees[[#This Row],[Fee as Printed]]/MasterFees[[#This Row],[Total Units]])</f>
        <v>55</v>
      </c>
      <c r="P67" s="43"/>
      <c r="Q67" s="46" t="s">
        <v>1013</v>
      </c>
      <c r="R67" s="46" t="s">
        <v>1175</v>
      </c>
      <c r="S67" s="37"/>
    </row>
    <row r="68" spans="1:19" x14ac:dyDescent="0.2">
      <c r="A68" s="36"/>
      <c r="B68" s="38" t="str">
        <f>IF(MasterFees[[#This Row],[RVG Code]]="","",_xlfn.XLOOKUP(MasterFees[[#This Row],[RVG Code]],RVGCodes[Code],RVGCodes[Base Units],"Code not found"))</f>
        <v/>
      </c>
      <c r="C68" s="37" t="s">
        <v>74</v>
      </c>
      <c r="D68" s="44" t="s">
        <v>1108</v>
      </c>
      <c r="E68" s="44"/>
      <c r="F68" s="44" t="s">
        <v>1109</v>
      </c>
      <c r="G68" s="39">
        <v>6</v>
      </c>
      <c r="H68" s="39">
        <v>17.3</v>
      </c>
      <c r="I68" s="39">
        <v>1.5</v>
      </c>
      <c r="J68" s="39">
        <v>24.8</v>
      </c>
      <c r="K68" s="40">
        <v>1361.25</v>
      </c>
      <c r="L68" s="45" t="s">
        <v>1015</v>
      </c>
      <c r="M68" s="41" t="str">
        <f>IF(MasterFees[[#This Row],[GST Basis]]="Excl",MasterFees[[#This Row],[Fee as Printed]],IF(MasterFees[[#This Row],[GST Basis]]="Incl",MasterFees[[#This Row],[Fee as Printed]]/(1+GST_Rate),""))</f>
        <v/>
      </c>
      <c r="N68" s="41" t="str">
        <f>IF(MasterFees[[#This Row],[GST Basis]]="Incl",MasterFees[[#This Row],[Fee as Printed]],IF(MasterFees[[#This Row],[GST Basis]]="Excl",MasterFees[[#This Row],[Fee as Printed]]*(1+GST_Rate),""))</f>
        <v/>
      </c>
      <c r="O68" s="42">
        <f>IF(N(MasterFees[[#This Row],[Total Units]])=0,"",MasterFees[[#This Row],[Fee as Printed]]/MasterFees[[#This Row],[Total Units]])</f>
        <v>54.889112903225808</v>
      </c>
      <c r="P68" s="43"/>
      <c r="Q68" s="46" t="s">
        <v>1013</v>
      </c>
      <c r="R68" s="46" t="s">
        <v>1176</v>
      </c>
      <c r="S68" s="37"/>
    </row>
    <row r="69" spans="1:19" x14ac:dyDescent="0.2">
      <c r="A69" s="36"/>
      <c r="B69" s="38" t="str">
        <f>IF(MasterFees[[#This Row],[RVG Code]]="","",_xlfn.XLOOKUP(MasterFees[[#This Row],[RVG Code]],RVGCodes[Code],RVGCodes[Base Units],"Code not found"))</f>
        <v/>
      </c>
      <c r="C69" s="37" t="s">
        <v>75</v>
      </c>
      <c r="D69" s="44" t="s">
        <v>1108</v>
      </c>
      <c r="E69" s="44"/>
      <c r="F69" s="44" t="s">
        <v>1109</v>
      </c>
      <c r="G69" s="39">
        <v>5.7</v>
      </c>
      <c r="H69" s="39">
        <v>14.8</v>
      </c>
      <c r="I69" s="39">
        <v>1.3</v>
      </c>
      <c r="J69" s="39">
        <v>21.8</v>
      </c>
      <c r="K69" s="40">
        <v>1200.0999999999999</v>
      </c>
      <c r="L69" s="45" t="s">
        <v>1015</v>
      </c>
      <c r="M69" s="41" t="str">
        <f>IF(MasterFees[[#This Row],[GST Basis]]="Excl",MasterFees[[#This Row],[Fee as Printed]],IF(MasterFees[[#This Row],[GST Basis]]="Incl",MasterFees[[#This Row],[Fee as Printed]]/(1+GST_Rate),""))</f>
        <v/>
      </c>
      <c r="N69" s="41" t="str">
        <f>IF(MasterFees[[#This Row],[GST Basis]]="Incl",MasterFees[[#This Row],[Fee as Printed]],IF(MasterFees[[#This Row],[GST Basis]]="Excl",MasterFees[[#This Row],[Fee as Printed]]*(1+GST_Rate),""))</f>
        <v/>
      </c>
      <c r="O69" s="42">
        <f>IF(N(MasterFees[[#This Row],[Total Units]])=0,"",MasterFees[[#This Row],[Fee as Printed]]/MasterFees[[#This Row],[Total Units]])</f>
        <v>55.050458715596321</v>
      </c>
      <c r="P69" s="43"/>
      <c r="Q69" s="46" t="s">
        <v>1013</v>
      </c>
      <c r="R69" s="46" t="s">
        <v>1177</v>
      </c>
      <c r="S69" s="37"/>
    </row>
    <row r="70" spans="1:19" x14ac:dyDescent="0.2">
      <c r="A70" s="36"/>
      <c r="B70" s="38" t="str">
        <f>IF(MasterFees[[#This Row],[RVG Code]]="","",_xlfn.XLOOKUP(MasterFees[[#This Row],[RVG Code]],RVGCodes[Code],RVGCodes[Base Units],"Code not found"))</f>
        <v/>
      </c>
      <c r="C70" s="37" t="s">
        <v>76</v>
      </c>
      <c r="D70" s="44" t="s">
        <v>1108</v>
      </c>
      <c r="E70" s="44"/>
      <c r="F70" s="44" t="s">
        <v>1109</v>
      </c>
      <c r="G70" s="39">
        <v>0</v>
      </c>
      <c r="H70" s="39">
        <v>0</v>
      </c>
      <c r="I70" s="39">
        <v>0</v>
      </c>
      <c r="J70" s="39">
        <v>0</v>
      </c>
      <c r="K70" s="40">
        <v>0</v>
      </c>
      <c r="L70" s="45" t="s">
        <v>1015</v>
      </c>
      <c r="M70" s="41" t="str">
        <f>IF(MasterFees[[#This Row],[GST Basis]]="Excl",MasterFees[[#This Row],[Fee as Printed]],IF(MasterFees[[#This Row],[GST Basis]]="Incl",MasterFees[[#This Row],[Fee as Printed]]/(1+GST_Rate),""))</f>
        <v/>
      </c>
      <c r="N70" s="41" t="str">
        <f>IF(MasterFees[[#This Row],[GST Basis]]="Incl",MasterFees[[#This Row],[Fee as Printed]],IF(MasterFees[[#This Row],[GST Basis]]="Excl",MasterFees[[#This Row],[Fee as Printed]]*(1+GST_Rate),""))</f>
        <v/>
      </c>
      <c r="O70" s="42" t="str">
        <f>IF(N(MasterFees[[#This Row],[Total Units]])=0,"",MasterFees[[#This Row],[Fee as Printed]]/MasterFees[[#This Row],[Total Units]])</f>
        <v/>
      </c>
      <c r="P70" s="43"/>
      <c r="Q70" s="46" t="s">
        <v>1013</v>
      </c>
      <c r="R70" s="46" t="s">
        <v>1178</v>
      </c>
      <c r="S70" s="37"/>
    </row>
    <row r="71" spans="1:19" x14ac:dyDescent="0.2">
      <c r="A71" s="36"/>
      <c r="B71" s="38" t="str">
        <f>IF(MasterFees[[#This Row],[RVG Code]]="","",_xlfn.XLOOKUP(MasterFees[[#This Row],[RVG Code]],RVGCodes[Code],RVGCodes[Base Units],"Code not found"))</f>
        <v/>
      </c>
      <c r="C71" s="37" t="s">
        <v>77</v>
      </c>
      <c r="D71" s="44" t="s">
        <v>1108</v>
      </c>
      <c r="E71" s="44"/>
      <c r="F71" s="44" t="s">
        <v>1109</v>
      </c>
      <c r="G71" s="39">
        <v>5.7</v>
      </c>
      <c r="H71" s="39">
        <v>14.4</v>
      </c>
      <c r="I71" s="39">
        <v>1</v>
      </c>
      <c r="J71" s="39">
        <v>21</v>
      </c>
      <c r="K71" s="40">
        <v>1154.45</v>
      </c>
      <c r="L71" s="45" t="s">
        <v>1015</v>
      </c>
      <c r="M71" s="41" t="str">
        <f>IF(MasterFees[[#This Row],[GST Basis]]="Excl",MasterFees[[#This Row],[Fee as Printed]],IF(MasterFees[[#This Row],[GST Basis]]="Incl",MasterFees[[#This Row],[Fee as Printed]]/(1+GST_Rate),""))</f>
        <v/>
      </c>
      <c r="N71" s="41" t="str">
        <f>IF(MasterFees[[#This Row],[GST Basis]]="Incl",MasterFees[[#This Row],[Fee as Printed]],IF(MasterFees[[#This Row],[GST Basis]]="Excl",MasterFees[[#This Row],[Fee as Printed]]*(1+GST_Rate),""))</f>
        <v/>
      </c>
      <c r="O71" s="42">
        <f>IF(N(MasterFees[[#This Row],[Total Units]])=0,"",MasterFees[[#This Row],[Fee as Printed]]/MasterFees[[#This Row],[Total Units]])</f>
        <v>54.973809523809528</v>
      </c>
      <c r="P71" s="43"/>
      <c r="Q71" s="46" t="s">
        <v>1013</v>
      </c>
      <c r="R71" s="46" t="s">
        <v>1179</v>
      </c>
      <c r="S71" s="37"/>
    </row>
    <row r="72" spans="1:19" x14ac:dyDescent="0.2">
      <c r="A72" s="36"/>
      <c r="B72" s="38" t="str">
        <f>IF(MasterFees[[#This Row],[RVG Code]]="","",_xlfn.XLOOKUP(MasterFees[[#This Row],[RVG Code]],RVGCodes[Code],RVGCodes[Base Units],"Code not found"))</f>
        <v/>
      </c>
      <c r="C72" s="37" t="s">
        <v>78</v>
      </c>
      <c r="D72" s="44" t="s">
        <v>1108</v>
      </c>
      <c r="E72" s="44"/>
      <c r="F72" s="44" t="s">
        <v>1109</v>
      </c>
      <c r="G72" s="39">
        <v>5.7</v>
      </c>
      <c r="H72" s="39">
        <v>14.3</v>
      </c>
      <c r="I72" s="39">
        <v>0</v>
      </c>
      <c r="J72" s="39">
        <v>20</v>
      </c>
      <c r="K72" s="40">
        <v>1099.45</v>
      </c>
      <c r="L72" s="45" t="s">
        <v>1015</v>
      </c>
      <c r="M72" s="41" t="str">
        <f>IF(MasterFees[[#This Row],[GST Basis]]="Excl",MasterFees[[#This Row],[Fee as Printed]],IF(MasterFees[[#This Row],[GST Basis]]="Incl",MasterFees[[#This Row],[Fee as Printed]]/(1+GST_Rate),""))</f>
        <v/>
      </c>
      <c r="N72" s="41" t="str">
        <f>IF(MasterFees[[#This Row],[GST Basis]]="Incl",MasterFees[[#This Row],[Fee as Printed]],IF(MasterFees[[#This Row],[GST Basis]]="Excl",MasterFees[[#This Row],[Fee as Printed]]*(1+GST_Rate),""))</f>
        <v/>
      </c>
      <c r="O72" s="42">
        <f>IF(N(MasterFees[[#This Row],[Total Units]])=0,"",MasterFees[[#This Row],[Fee as Printed]]/MasterFees[[#This Row],[Total Units]])</f>
        <v>54.972500000000004</v>
      </c>
      <c r="P72" s="43"/>
      <c r="Q72" s="46" t="s">
        <v>1013</v>
      </c>
      <c r="R72" s="46" t="s">
        <v>1180</v>
      </c>
      <c r="S72" s="37"/>
    </row>
    <row r="73" spans="1:19" x14ac:dyDescent="0.2">
      <c r="A73" s="36"/>
      <c r="B73" s="38" t="str">
        <f>IF(MasterFees[[#This Row],[RVG Code]]="","",_xlfn.XLOOKUP(MasterFees[[#This Row],[RVG Code]],RVGCodes[Code],RVGCodes[Base Units],"Code not found"))</f>
        <v/>
      </c>
      <c r="C73" s="37" t="s">
        <v>79</v>
      </c>
      <c r="D73" s="44" t="s">
        <v>1108</v>
      </c>
      <c r="E73" s="44"/>
      <c r="F73" s="44" t="s">
        <v>1109</v>
      </c>
      <c r="G73" s="39">
        <v>6.1</v>
      </c>
      <c r="H73" s="39">
        <v>17.7</v>
      </c>
      <c r="I73" s="39">
        <v>0.1</v>
      </c>
      <c r="J73" s="39">
        <v>23.9</v>
      </c>
      <c r="K73" s="40">
        <v>1313.4</v>
      </c>
      <c r="L73" s="45" t="s">
        <v>1015</v>
      </c>
      <c r="M73" s="41" t="str">
        <f>IF(MasterFees[[#This Row],[GST Basis]]="Excl",MasterFees[[#This Row],[Fee as Printed]],IF(MasterFees[[#This Row],[GST Basis]]="Incl",MasterFees[[#This Row],[Fee as Printed]]/(1+GST_Rate),""))</f>
        <v/>
      </c>
      <c r="N73" s="41" t="str">
        <f>IF(MasterFees[[#This Row],[GST Basis]]="Incl",MasterFees[[#This Row],[Fee as Printed]],IF(MasterFees[[#This Row],[GST Basis]]="Excl",MasterFees[[#This Row],[Fee as Printed]]*(1+GST_Rate),""))</f>
        <v/>
      </c>
      <c r="O73" s="42">
        <f>IF(N(MasterFees[[#This Row],[Total Units]])=0,"",MasterFees[[#This Row],[Fee as Printed]]/MasterFees[[#This Row],[Total Units]])</f>
        <v>54.953974895397494</v>
      </c>
      <c r="P73" s="43"/>
      <c r="Q73" s="46" t="s">
        <v>1013</v>
      </c>
      <c r="R73" s="46" t="s">
        <v>1181</v>
      </c>
      <c r="S73" s="37"/>
    </row>
    <row r="74" spans="1:19" x14ac:dyDescent="0.2">
      <c r="A74" s="36"/>
      <c r="B74" s="38" t="str">
        <f>IF(MasterFees[[#This Row],[RVG Code]]="","",_xlfn.XLOOKUP(MasterFees[[#This Row],[RVG Code]],RVGCodes[Code],RVGCodes[Base Units],"Code not found"))</f>
        <v/>
      </c>
      <c r="C74" s="37" t="s">
        <v>80</v>
      </c>
      <c r="D74" s="44" t="s">
        <v>1108</v>
      </c>
      <c r="E74" s="44"/>
      <c r="F74" s="44" t="s">
        <v>1109</v>
      </c>
      <c r="G74" s="39">
        <v>8.3000000000000007</v>
      </c>
      <c r="H74" s="39">
        <v>22.3</v>
      </c>
      <c r="I74" s="39">
        <v>1.3</v>
      </c>
      <c r="J74" s="39">
        <v>31.9</v>
      </c>
      <c r="K74" s="40">
        <v>1751.75</v>
      </c>
      <c r="L74" s="45" t="s">
        <v>1015</v>
      </c>
      <c r="M74" s="41" t="str">
        <f>IF(MasterFees[[#This Row],[GST Basis]]="Excl",MasterFees[[#This Row],[Fee as Printed]],IF(MasterFees[[#This Row],[GST Basis]]="Incl",MasterFees[[#This Row],[Fee as Printed]]/(1+GST_Rate),""))</f>
        <v/>
      </c>
      <c r="N74" s="41" t="str">
        <f>IF(MasterFees[[#This Row],[GST Basis]]="Incl",MasterFees[[#This Row],[Fee as Printed]],IF(MasterFees[[#This Row],[GST Basis]]="Excl",MasterFees[[#This Row],[Fee as Printed]]*(1+GST_Rate),""))</f>
        <v/>
      </c>
      <c r="O74" s="42">
        <f>IF(N(MasterFees[[#This Row],[Total Units]])=0,"",MasterFees[[#This Row],[Fee as Printed]]/MasterFees[[#This Row],[Total Units]])</f>
        <v>54.913793103448278</v>
      </c>
      <c r="P74" s="43"/>
      <c r="Q74" s="46" t="s">
        <v>1013</v>
      </c>
      <c r="R74" s="46" t="s">
        <v>1182</v>
      </c>
      <c r="S74" s="37"/>
    </row>
    <row r="75" spans="1:19" x14ac:dyDescent="0.2">
      <c r="A75" s="36"/>
      <c r="B75" s="38" t="str">
        <f>IF(MasterFees[[#This Row],[RVG Code]]="","",_xlfn.XLOOKUP(MasterFees[[#This Row],[RVG Code]],RVGCodes[Code],RVGCodes[Base Units],"Code not found"))</f>
        <v/>
      </c>
      <c r="C75" s="37" t="s">
        <v>81</v>
      </c>
      <c r="D75" s="44" t="s">
        <v>1108</v>
      </c>
      <c r="E75" s="44"/>
      <c r="F75" s="44" t="s">
        <v>1109</v>
      </c>
      <c r="G75" s="39">
        <v>5.7</v>
      </c>
      <c r="H75" s="39">
        <v>10.9</v>
      </c>
      <c r="I75" s="39">
        <v>0.5</v>
      </c>
      <c r="J75" s="39">
        <v>17.100000000000001</v>
      </c>
      <c r="K75" s="40">
        <v>939.95</v>
      </c>
      <c r="L75" s="45" t="s">
        <v>1015</v>
      </c>
      <c r="M75" s="41" t="str">
        <f>IF(MasterFees[[#This Row],[GST Basis]]="Excl",MasterFees[[#This Row],[Fee as Printed]],IF(MasterFees[[#This Row],[GST Basis]]="Incl",MasterFees[[#This Row],[Fee as Printed]]/(1+GST_Rate),""))</f>
        <v/>
      </c>
      <c r="N75" s="41" t="str">
        <f>IF(MasterFees[[#This Row],[GST Basis]]="Incl",MasterFees[[#This Row],[Fee as Printed]],IF(MasterFees[[#This Row],[GST Basis]]="Excl",MasterFees[[#This Row],[Fee as Printed]]*(1+GST_Rate),""))</f>
        <v/>
      </c>
      <c r="O75" s="42">
        <f>IF(N(MasterFees[[#This Row],[Total Units]])=0,"",MasterFees[[#This Row],[Fee as Printed]]/MasterFees[[#This Row],[Total Units]])</f>
        <v>54.967836257309941</v>
      </c>
      <c r="P75" s="43"/>
      <c r="Q75" s="46" t="s">
        <v>1013</v>
      </c>
      <c r="R75" s="46" t="s">
        <v>1183</v>
      </c>
      <c r="S75" s="37"/>
    </row>
    <row r="76" spans="1:19" x14ac:dyDescent="0.2">
      <c r="A76" s="36"/>
      <c r="B76" s="38" t="str">
        <f>IF(MasterFees[[#This Row],[RVG Code]]="","",_xlfn.XLOOKUP(MasterFees[[#This Row],[RVG Code]],RVGCodes[Code],RVGCodes[Base Units],"Code not found"))</f>
        <v/>
      </c>
      <c r="C76" s="37" t="s">
        <v>82</v>
      </c>
      <c r="D76" s="44" t="s">
        <v>1108</v>
      </c>
      <c r="E76" s="44"/>
      <c r="F76" s="44" t="s">
        <v>1109</v>
      </c>
      <c r="G76" s="39">
        <v>6</v>
      </c>
      <c r="H76" s="39">
        <v>11</v>
      </c>
      <c r="I76" s="39">
        <v>3</v>
      </c>
      <c r="J76" s="39">
        <v>20</v>
      </c>
      <c r="K76" s="40">
        <v>1100</v>
      </c>
      <c r="L76" s="45" t="s">
        <v>1015</v>
      </c>
      <c r="M76" s="41" t="str">
        <f>IF(MasterFees[[#This Row],[GST Basis]]="Excl",MasterFees[[#This Row],[Fee as Printed]],IF(MasterFees[[#This Row],[GST Basis]]="Incl",MasterFees[[#This Row],[Fee as Printed]]/(1+GST_Rate),""))</f>
        <v/>
      </c>
      <c r="N76" s="41" t="str">
        <f>IF(MasterFees[[#This Row],[GST Basis]]="Incl",MasterFees[[#This Row],[Fee as Printed]],IF(MasterFees[[#This Row],[GST Basis]]="Excl",MasterFees[[#This Row],[Fee as Printed]]*(1+GST_Rate),""))</f>
        <v/>
      </c>
      <c r="O76" s="42">
        <f>IF(N(MasterFees[[#This Row],[Total Units]])=0,"",MasterFees[[#This Row],[Fee as Printed]]/MasterFees[[#This Row],[Total Units]])</f>
        <v>55</v>
      </c>
      <c r="P76" s="43"/>
      <c r="Q76" s="46" t="s">
        <v>1013</v>
      </c>
      <c r="R76" s="46" t="s">
        <v>1184</v>
      </c>
      <c r="S76" s="37"/>
    </row>
    <row r="77" spans="1:19" x14ac:dyDescent="0.2">
      <c r="A77" s="36"/>
      <c r="B77" s="38" t="str">
        <f>IF(MasterFees[[#This Row],[RVG Code]]="","",_xlfn.XLOOKUP(MasterFees[[#This Row],[RVG Code]],RVGCodes[Code],RVGCodes[Base Units],"Code not found"))</f>
        <v/>
      </c>
      <c r="C77" s="37" t="s">
        <v>83</v>
      </c>
      <c r="D77" s="44" t="s">
        <v>1108</v>
      </c>
      <c r="E77" s="44"/>
      <c r="F77" s="44" t="s">
        <v>1109</v>
      </c>
      <c r="G77" s="39">
        <v>6.8</v>
      </c>
      <c r="H77" s="39">
        <v>15.5</v>
      </c>
      <c r="I77" s="39">
        <v>1.8</v>
      </c>
      <c r="J77" s="39">
        <v>24</v>
      </c>
      <c r="K77" s="40">
        <v>1320</v>
      </c>
      <c r="L77" s="45" t="s">
        <v>1015</v>
      </c>
      <c r="M77" s="41" t="str">
        <f>IF(MasterFees[[#This Row],[GST Basis]]="Excl",MasterFees[[#This Row],[Fee as Printed]],IF(MasterFees[[#This Row],[GST Basis]]="Incl",MasterFees[[#This Row],[Fee as Printed]]/(1+GST_Rate),""))</f>
        <v/>
      </c>
      <c r="N77" s="41" t="str">
        <f>IF(MasterFees[[#This Row],[GST Basis]]="Incl",MasterFees[[#This Row],[Fee as Printed]],IF(MasterFees[[#This Row],[GST Basis]]="Excl",MasterFees[[#This Row],[Fee as Printed]]*(1+GST_Rate),""))</f>
        <v/>
      </c>
      <c r="O77" s="42">
        <f>IF(N(MasterFees[[#This Row],[Total Units]])=0,"",MasterFees[[#This Row],[Fee as Printed]]/MasterFees[[#This Row],[Total Units]])</f>
        <v>55</v>
      </c>
      <c r="P77" s="43"/>
      <c r="Q77" s="46" t="s">
        <v>1013</v>
      </c>
      <c r="R77" s="46" t="s">
        <v>1185</v>
      </c>
      <c r="S77" s="37"/>
    </row>
    <row r="78" spans="1:19" x14ac:dyDescent="0.2">
      <c r="A78" s="36"/>
      <c r="B78" s="38" t="str">
        <f>IF(MasterFees[[#This Row],[RVG Code]]="","",_xlfn.XLOOKUP(MasterFees[[#This Row],[RVG Code]],RVGCodes[Code],RVGCodes[Base Units],"Code not found"))</f>
        <v/>
      </c>
      <c r="C78" s="37" t="s">
        <v>84</v>
      </c>
      <c r="D78" s="44" t="s">
        <v>1108</v>
      </c>
      <c r="E78" s="44"/>
      <c r="F78" s="44" t="s">
        <v>1109</v>
      </c>
      <c r="G78" s="39">
        <v>3.6</v>
      </c>
      <c r="H78" s="39">
        <v>3.8</v>
      </c>
      <c r="I78" s="39">
        <v>0.9</v>
      </c>
      <c r="J78" s="39">
        <v>8.4</v>
      </c>
      <c r="K78" s="40">
        <v>460.35</v>
      </c>
      <c r="L78" s="45" t="s">
        <v>1015</v>
      </c>
      <c r="M78" s="41" t="str">
        <f>IF(MasterFees[[#This Row],[GST Basis]]="Excl",MasterFees[[#This Row],[Fee as Printed]],IF(MasterFees[[#This Row],[GST Basis]]="Incl",MasterFees[[#This Row],[Fee as Printed]]/(1+GST_Rate),""))</f>
        <v/>
      </c>
      <c r="N78" s="41" t="str">
        <f>IF(MasterFees[[#This Row],[GST Basis]]="Incl",MasterFees[[#This Row],[Fee as Printed]],IF(MasterFees[[#This Row],[GST Basis]]="Excl",MasterFees[[#This Row],[Fee as Printed]]*(1+GST_Rate),""))</f>
        <v/>
      </c>
      <c r="O78" s="42">
        <f>IF(N(MasterFees[[#This Row],[Total Units]])=0,"",MasterFees[[#This Row],[Fee as Printed]]/MasterFees[[#This Row],[Total Units]])</f>
        <v>54.803571428571431</v>
      </c>
      <c r="P78" s="43"/>
      <c r="Q78" s="46" t="s">
        <v>1013</v>
      </c>
      <c r="R78" s="46" t="s">
        <v>1186</v>
      </c>
      <c r="S78" s="37"/>
    </row>
    <row r="79" spans="1:19" x14ac:dyDescent="0.2">
      <c r="A79" s="36"/>
      <c r="B79" s="38" t="str">
        <f>IF(MasterFees[[#This Row],[RVG Code]]="","",_xlfn.XLOOKUP(MasterFees[[#This Row],[RVG Code]],RVGCodes[Code],RVGCodes[Base Units],"Code not found"))</f>
        <v/>
      </c>
      <c r="C79" s="37" t="s">
        <v>85</v>
      </c>
      <c r="D79" s="44" t="s">
        <v>1108</v>
      </c>
      <c r="E79" s="44"/>
      <c r="F79" s="44" t="s">
        <v>1109</v>
      </c>
      <c r="G79" s="39">
        <v>1.4</v>
      </c>
      <c r="H79" s="39">
        <v>1.4</v>
      </c>
      <c r="I79" s="39">
        <v>0.4</v>
      </c>
      <c r="J79" s="39">
        <v>3.1</v>
      </c>
      <c r="K79" s="40">
        <v>171.6</v>
      </c>
      <c r="L79" s="45" t="s">
        <v>1015</v>
      </c>
      <c r="M79" s="41" t="str">
        <f>IF(MasterFees[[#This Row],[GST Basis]]="Excl",MasterFees[[#This Row],[Fee as Printed]],IF(MasterFees[[#This Row],[GST Basis]]="Incl",MasterFees[[#This Row],[Fee as Printed]]/(1+GST_Rate),""))</f>
        <v/>
      </c>
      <c r="N79" s="41" t="str">
        <f>IF(MasterFees[[#This Row],[GST Basis]]="Incl",MasterFees[[#This Row],[Fee as Printed]],IF(MasterFees[[#This Row],[GST Basis]]="Excl",MasterFees[[#This Row],[Fee as Printed]]*(1+GST_Rate),""))</f>
        <v/>
      </c>
      <c r="O79" s="42">
        <f>IF(N(MasterFees[[#This Row],[Total Units]])=0,"",MasterFees[[#This Row],[Fee as Printed]]/MasterFees[[#This Row],[Total Units]])</f>
        <v>55.354838709677416</v>
      </c>
      <c r="P79" s="43"/>
      <c r="Q79" s="46" t="s">
        <v>1013</v>
      </c>
      <c r="R79" s="46" t="s">
        <v>1187</v>
      </c>
      <c r="S79" s="37"/>
    </row>
    <row r="80" spans="1:19" x14ac:dyDescent="0.2">
      <c r="A80" s="36"/>
      <c r="B80" s="38" t="str">
        <f>IF(MasterFees[[#This Row],[RVG Code]]="","",_xlfn.XLOOKUP(MasterFees[[#This Row],[RVG Code]],RVGCodes[Code],RVGCodes[Base Units],"Code not found"))</f>
        <v/>
      </c>
      <c r="C80" s="37" t="s">
        <v>86</v>
      </c>
      <c r="D80" s="44" t="s">
        <v>1108</v>
      </c>
      <c r="E80" s="44"/>
      <c r="F80" s="44" t="s">
        <v>1109</v>
      </c>
      <c r="G80" s="39">
        <v>2.1</v>
      </c>
      <c r="H80" s="39">
        <v>1.8</v>
      </c>
      <c r="I80" s="39">
        <v>0.4</v>
      </c>
      <c r="J80" s="39">
        <v>4.4000000000000004</v>
      </c>
      <c r="K80" s="40">
        <v>239.8</v>
      </c>
      <c r="L80" s="45" t="s">
        <v>1015</v>
      </c>
      <c r="M80" s="41" t="str">
        <f>IF(MasterFees[[#This Row],[GST Basis]]="Excl",MasterFees[[#This Row],[Fee as Printed]],IF(MasterFees[[#This Row],[GST Basis]]="Incl",MasterFees[[#This Row],[Fee as Printed]]/(1+GST_Rate),""))</f>
        <v/>
      </c>
      <c r="N80" s="41" t="str">
        <f>IF(MasterFees[[#This Row],[GST Basis]]="Incl",MasterFees[[#This Row],[Fee as Printed]],IF(MasterFees[[#This Row],[GST Basis]]="Excl",MasterFees[[#This Row],[Fee as Printed]]*(1+GST_Rate),""))</f>
        <v/>
      </c>
      <c r="O80" s="42">
        <f>IF(N(MasterFees[[#This Row],[Total Units]])=0,"",MasterFees[[#This Row],[Fee as Printed]]/MasterFees[[#This Row],[Total Units]])</f>
        <v>54.5</v>
      </c>
      <c r="P80" s="43"/>
      <c r="Q80" s="46" t="s">
        <v>1013</v>
      </c>
      <c r="R80" s="46" t="s">
        <v>1188</v>
      </c>
      <c r="S80" s="37"/>
    </row>
    <row r="81" spans="1:19" x14ac:dyDescent="0.2">
      <c r="A81" s="36"/>
      <c r="B81" s="38" t="str">
        <f>IF(MasterFees[[#This Row],[RVG Code]]="","",_xlfn.XLOOKUP(MasterFees[[#This Row],[RVG Code]],RVGCodes[Code],RVGCodes[Base Units],"Code not found"))</f>
        <v/>
      </c>
      <c r="C81" s="37" t="s">
        <v>87</v>
      </c>
      <c r="D81" s="44" t="s">
        <v>1108</v>
      </c>
      <c r="E81" s="44"/>
      <c r="F81" s="44" t="s">
        <v>1109</v>
      </c>
      <c r="G81" s="39">
        <v>6.4</v>
      </c>
      <c r="H81" s="39">
        <v>21.3</v>
      </c>
      <c r="I81" s="39">
        <v>1.2</v>
      </c>
      <c r="J81" s="39">
        <v>28.8</v>
      </c>
      <c r="K81" s="40">
        <v>1584.55</v>
      </c>
      <c r="L81" s="45" t="s">
        <v>1015</v>
      </c>
      <c r="M81" s="41" t="str">
        <f>IF(MasterFees[[#This Row],[GST Basis]]="Excl",MasterFees[[#This Row],[Fee as Printed]],IF(MasterFees[[#This Row],[GST Basis]]="Incl",MasterFees[[#This Row],[Fee as Printed]]/(1+GST_Rate),""))</f>
        <v/>
      </c>
      <c r="N81" s="41" t="str">
        <f>IF(MasterFees[[#This Row],[GST Basis]]="Incl",MasterFees[[#This Row],[Fee as Printed]],IF(MasterFees[[#This Row],[GST Basis]]="Excl",MasterFees[[#This Row],[Fee as Printed]]*(1+GST_Rate),""))</f>
        <v/>
      </c>
      <c r="O81" s="42">
        <f>IF(N(MasterFees[[#This Row],[Total Units]])=0,"",MasterFees[[#This Row],[Fee as Printed]]/MasterFees[[#This Row],[Total Units]])</f>
        <v>55.019097222222221</v>
      </c>
      <c r="P81" s="43"/>
      <c r="Q81" s="46" t="s">
        <v>1013</v>
      </c>
      <c r="R81" s="46" t="s">
        <v>1189</v>
      </c>
      <c r="S81" s="37"/>
    </row>
    <row r="82" spans="1:19" x14ac:dyDescent="0.2">
      <c r="A82" s="36"/>
      <c r="B82" s="38" t="str">
        <f>IF(MasterFees[[#This Row],[RVG Code]]="","",_xlfn.XLOOKUP(MasterFees[[#This Row],[RVG Code]],RVGCodes[Code],RVGCodes[Base Units],"Code not found"))</f>
        <v/>
      </c>
      <c r="C82" s="37" t="s">
        <v>88</v>
      </c>
      <c r="D82" s="44" t="s">
        <v>1108</v>
      </c>
      <c r="E82" s="44"/>
      <c r="F82" s="44" t="s">
        <v>1109</v>
      </c>
      <c r="G82" s="39">
        <v>6.1</v>
      </c>
      <c r="H82" s="39">
        <v>8</v>
      </c>
      <c r="I82" s="39">
        <v>0.3</v>
      </c>
      <c r="J82" s="39">
        <v>14.4</v>
      </c>
      <c r="K82" s="40">
        <v>789.8</v>
      </c>
      <c r="L82" s="45" t="s">
        <v>1015</v>
      </c>
      <c r="M82" s="41" t="str">
        <f>IF(MasterFees[[#This Row],[GST Basis]]="Excl",MasterFees[[#This Row],[Fee as Printed]],IF(MasterFees[[#This Row],[GST Basis]]="Incl",MasterFees[[#This Row],[Fee as Printed]]/(1+GST_Rate),""))</f>
        <v/>
      </c>
      <c r="N82" s="41" t="str">
        <f>IF(MasterFees[[#This Row],[GST Basis]]="Incl",MasterFees[[#This Row],[Fee as Printed]],IF(MasterFees[[#This Row],[GST Basis]]="Excl",MasterFees[[#This Row],[Fee as Printed]]*(1+GST_Rate),""))</f>
        <v/>
      </c>
      <c r="O82" s="42">
        <f>IF(N(MasterFees[[#This Row],[Total Units]])=0,"",MasterFees[[#This Row],[Fee as Printed]]/MasterFees[[#This Row],[Total Units]])</f>
        <v>54.847222222222214</v>
      </c>
      <c r="P82" s="43"/>
      <c r="Q82" s="46" t="s">
        <v>1013</v>
      </c>
      <c r="R82" s="46" t="s">
        <v>1190</v>
      </c>
      <c r="S82" s="37"/>
    </row>
    <row r="83" spans="1:19" x14ac:dyDescent="0.2">
      <c r="A83" s="36"/>
      <c r="B83" s="38" t="str">
        <f>IF(MasterFees[[#This Row],[RVG Code]]="","",_xlfn.XLOOKUP(MasterFees[[#This Row],[RVG Code]],RVGCodes[Code],RVGCodes[Base Units],"Code not found"))</f>
        <v/>
      </c>
      <c r="C83" s="37" t="s">
        <v>89</v>
      </c>
      <c r="D83" s="44" t="s">
        <v>1108</v>
      </c>
      <c r="E83" s="44"/>
      <c r="F83" s="44" t="s">
        <v>1109</v>
      </c>
      <c r="G83" s="39">
        <v>1.8</v>
      </c>
      <c r="H83" s="39">
        <v>2</v>
      </c>
      <c r="I83" s="39">
        <v>0.5</v>
      </c>
      <c r="J83" s="39">
        <v>4.3</v>
      </c>
      <c r="K83" s="40">
        <v>234.3</v>
      </c>
      <c r="L83" s="45" t="s">
        <v>1015</v>
      </c>
      <c r="M83" s="41" t="str">
        <f>IF(MasterFees[[#This Row],[GST Basis]]="Excl",MasterFees[[#This Row],[Fee as Printed]],IF(MasterFees[[#This Row],[GST Basis]]="Incl",MasterFees[[#This Row],[Fee as Printed]]/(1+GST_Rate),""))</f>
        <v/>
      </c>
      <c r="N83" s="41" t="str">
        <f>IF(MasterFees[[#This Row],[GST Basis]]="Incl",MasterFees[[#This Row],[Fee as Printed]],IF(MasterFees[[#This Row],[GST Basis]]="Excl",MasterFees[[#This Row],[Fee as Printed]]*(1+GST_Rate),""))</f>
        <v/>
      </c>
      <c r="O83" s="42">
        <f>IF(N(MasterFees[[#This Row],[Total Units]])=0,"",MasterFees[[#This Row],[Fee as Printed]]/MasterFees[[#This Row],[Total Units]])</f>
        <v>54.488372093023258</v>
      </c>
      <c r="P83" s="43"/>
      <c r="Q83" s="46" t="s">
        <v>1013</v>
      </c>
      <c r="R83" s="46" t="s">
        <v>1191</v>
      </c>
      <c r="S83" s="37"/>
    </row>
    <row r="84" spans="1:19" x14ac:dyDescent="0.2">
      <c r="A84" s="36"/>
      <c r="B84" s="38" t="str">
        <f>IF(MasterFees[[#This Row],[RVG Code]]="","",_xlfn.XLOOKUP(MasterFees[[#This Row],[RVG Code]],RVGCodes[Code],RVGCodes[Base Units],"Code not found"))</f>
        <v/>
      </c>
      <c r="C84" s="37" t="s">
        <v>90</v>
      </c>
      <c r="D84" s="44" t="s">
        <v>1108</v>
      </c>
      <c r="E84" s="44"/>
      <c r="F84" s="44" t="s">
        <v>1109</v>
      </c>
      <c r="G84" s="39">
        <v>5.2</v>
      </c>
      <c r="H84" s="39">
        <v>3.7</v>
      </c>
      <c r="I84" s="39">
        <v>0.2</v>
      </c>
      <c r="J84" s="39">
        <v>9.1</v>
      </c>
      <c r="K84" s="40">
        <v>498.85</v>
      </c>
      <c r="L84" s="45" t="s">
        <v>1015</v>
      </c>
      <c r="M84" s="41" t="str">
        <f>IF(MasterFees[[#This Row],[GST Basis]]="Excl",MasterFees[[#This Row],[Fee as Printed]],IF(MasterFees[[#This Row],[GST Basis]]="Incl",MasterFees[[#This Row],[Fee as Printed]]/(1+GST_Rate),""))</f>
        <v/>
      </c>
      <c r="N84" s="41" t="str">
        <f>IF(MasterFees[[#This Row],[GST Basis]]="Incl",MasterFees[[#This Row],[Fee as Printed]],IF(MasterFees[[#This Row],[GST Basis]]="Excl",MasterFees[[#This Row],[Fee as Printed]]*(1+GST_Rate),""))</f>
        <v/>
      </c>
      <c r="O84" s="42">
        <f>IF(N(MasterFees[[#This Row],[Total Units]])=0,"",MasterFees[[#This Row],[Fee as Printed]]/MasterFees[[#This Row],[Total Units]])</f>
        <v>54.818681318681321</v>
      </c>
      <c r="P84" s="43"/>
      <c r="Q84" s="46" t="s">
        <v>1013</v>
      </c>
      <c r="R84" s="46" t="s">
        <v>1192</v>
      </c>
      <c r="S84" s="37"/>
    </row>
    <row r="85" spans="1:19" x14ac:dyDescent="0.2">
      <c r="A85" s="36"/>
      <c r="B85" s="38" t="str">
        <f>IF(MasterFees[[#This Row],[RVG Code]]="","",_xlfn.XLOOKUP(MasterFees[[#This Row],[RVG Code]],RVGCodes[Code],RVGCodes[Base Units],"Code not found"))</f>
        <v/>
      </c>
      <c r="C85" s="37" t="s">
        <v>91</v>
      </c>
      <c r="D85" s="44" t="s">
        <v>1108</v>
      </c>
      <c r="E85" s="44"/>
      <c r="F85" s="44" t="s">
        <v>1109</v>
      </c>
      <c r="G85" s="39">
        <v>6</v>
      </c>
      <c r="H85" s="39">
        <v>8</v>
      </c>
      <c r="I85" s="39">
        <v>0</v>
      </c>
      <c r="J85" s="39">
        <v>14</v>
      </c>
      <c r="K85" s="40">
        <v>770</v>
      </c>
      <c r="L85" s="45" t="s">
        <v>1015</v>
      </c>
      <c r="M85" s="41" t="str">
        <f>IF(MasterFees[[#This Row],[GST Basis]]="Excl",MasterFees[[#This Row],[Fee as Printed]],IF(MasterFees[[#This Row],[GST Basis]]="Incl",MasterFees[[#This Row],[Fee as Printed]]/(1+GST_Rate),""))</f>
        <v/>
      </c>
      <c r="N85" s="41" t="str">
        <f>IF(MasterFees[[#This Row],[GST Basis]]="Incl",MasterFees[[#This Row],[Fee as Printed]],IF(MasterFees[[#This Row],[GST Basis]]="Excl",MasterFees[[#This Row],[Fee as Printed]]*(1+GST_Rate),""))</f>
        <v/>
      </c>
      <c r="O85" s="42">
        <f>IF(N(MasterFees[[#This Row],[Total Units]])=0,"",MasterFees[[#This Row],[Fee as Printed]]/MasterFees[[#This Row],[Total Units]])</f>
        <v>55</v>
      </c>
      <c r="P85" s="43"/>
      <c r="Q85" s="46" t="s">
        <v>1013</v>
      </c>
      <c r="R85" s="46" t="s">
        <v>1193</v>
      </c>
      <c r="S85" s="37"/>
    </row>
    <row r="86" spans="1:19" x14ac:dyDescent="0.2">
      <c r="A86" s="36"/>
      <c r="B86" s="38" t="str">
        <f>IF(MasterFees[[#This Row],[RVG Code]]="","",_xlfn.XLOOKUP(MasterFees[[#This Row],[RVG Code]],RVGCodes[Code],RVGCodes[Base Units],"Code not found"))</f>
        <v/>
      </c>
      <c r="C86" s="37" t="s">
        <v>92</v>
      </c>
      <c r="D86" s="44" t="s">
        <v>1108</v>
      </c>
      <c r="E86" s="44"/>
      <c r="F86" s="44" t="s">
        <v>1109</v>
      </c>
      <c r="G86" s="39">
        <v>6</v>
      </c>
      <c r="H86" s="39">
        <v>5.5</v>
      </c>
      <c r="I86" s="39">
        <v>1</v>
      </c>
      <c r="J86" s="39">
        <v>12.5</v>
      </c>
      <c r="K86" s="40">
        <v>687.5</v>
      </c>
      <c r="L86" s="45" t="s">
        <v>1015</v>
      </c>
      <c r="M86" s="41" t="str">
        <f>IF(MasterFees[[#This Row],[GST Basis]]="Excl",MasterFees[[#This Row],[Fee as Printed]],IF(MasterFees[[#This Row],[GST Basis]]="Incl",MasterFees[[#This Row],[Fee as Printed]]/(1+GST_Rate),""))</f>
        <v/>
      </c>
      <c r="N86" s="41" t="str">
        <f>IF(MasterFees[[#This Row],[GST Basis]]="Incl",MasterFees[[#This Row],[Fee as Printed]],IF(MasterFees[[#This Row],[GST Basis]]="Excl",MasterFees[[#This Row],[Fee as Printed]]*(1+GST_Rate),""))</f>
        <v/>
      </c>
      <c r="O86" s="42">
        <f>IF(N(MasterFees[[#This Row],[Total Units]])=0,"",MasterFees[[#This Row],[Fee as Printed]]/MasterFees[[#This Row],[Total Units]])</f>
        <v>55</v>
      </c>
      <c r="P86" s="43"/>
      <c r="Q86" s="46" t="s">
        <v>1013</v>
      </c>
      <c r="R86" s="46" t="s">
        <v>1194</v>
      </c>
      <c r="S86" s="37"/>
    </row>
    <row r="87" spans="1:19" x14ac:dyDescent="0.2">
      <c r="A87" s="36"/>
      <c r="B87" s="38" t="str">
        <f>IF(MasterFees[[#This Row],[RVG Code]]="","",_xlfn.XLOOKUP(MasterFees[[#This Row],[RVG Code]],RVGCodes[Code],RVGCodes[Base Units],"Code not found"))</f>
        <v/>
      </c>
      <c r="C87" s="37" t="s">
        <v>93</v>
      </c>
      <c r="D87" s="44" t="s">
        <v>1108</v>
      </c>
      <c r="E87" s="44"/>
      <c r="F87" s="44" t="s">
        <v>1109</v>
      </c>
      <c r="G87" s="39">
        <v>6</v>
      </c>
      <c r="H87" s="39">
        <v>6</v>
      </c>
      <c r="I87" s="39">
        <v>2</v>
      </c>
      <c r="J87" s="39">
        <v>14</v>
      </c>
      <c r="K87" s="40">
        <v>770</v>
      </c>
      <c r="L87" s="45" t="s">
        <v>1015</v>
      </c>
      <c r="M87" s="41" t="str">
        <f>IF(MasterFees[[#This Row],[GST Basis]]="Excl",MasterFees[[#This Row],[Fee as Printed]],IF(MasterFees[[#This Row],[GST Basis]]="Incl",MasterFees[[#This Row],[Fee as Printed]]/(1+GST_Rate),""))</f>
        <v/>
      </c>
      <c r="N87" s="41" t="str">
        <f>IF(MasterFees[[#This Row],[GST Basis]]="Incl",MasterFees[[#This Row],[Fee as Printed]],IF(MasterFees[[#This Row],[GST Basis]]="Excl",MasterFees[[#This Row],[Fee as Printed]]*(1+GST_Rate),""))</f>
        <v/>
      </c>
      <c r="O87" s="42">
        <f>IF(N(MasterFees[[#This Row],[Total Units]])=0,"",MasterFees[[#This Row],[Fee as Printed]]/MasterFees[[#This Row],[Total Units]])</f>
        <v>55</v>
      </c>
      <c r="P87" s="43"/>
      <c r="Q87" s="46" t="s">
        <v>1013</v>
      </c>
      <c r="R87" s="46" t="s">
        <v>1195</v>
      </c>
      <c r="S87" s="37"/>
    </row>
    <row r="88" spans="1:19" x14ac:dyDescent="0.2">
      <c r="A88" s="36"/>
      <c r="B88" s="38" t="str">
        <f>IF(MasterFees[[#This Row],[RVG Code]]="","",_xlfn.XLOOKUP(MasterFees[[#This Row],[RVG Code]],RVGCodes[Code],RVGCodes[Base Units],"Code not found"))</f>
        <v/>
      </c>
      <c r="C88" s="37" t="s">
        <v>94</v>
      </c>
      <c r="D88" s="44" t="s">
        <v>1108</v>
      </c>
      <c r="E88" s="44"/>
      <c r="F88" s="44" t="s">
        <v>1109</v>
      </c>
      <c r="G88" s="39">
        <v>0</v>
      </c>
      <c r="H88" s="39">
        <v>0</v>
      </c>
      <c r="I88" s="39">
        <v>0</v>
      </c>
      <c r="J88" s="39">
        <v>0</v>
      </c>
      <c r="K88" s="40">
        <v>0</v>
      </c>
      <c r="L88" s="45" t="s">
        <v>1015</v>
      </c>
      <c r="M88" s="41" t="str">
        <f>IF(MasterFees[[#This Row],[GST Basis]]="Excl",MasterFees[[#This Row],[Fee as Printed]],IF(MasterFees[[#This Row],[GST Basis]]="Incl",MasterFees[[#This Row],[Fee as Printed]]/(1+GST_Rate),""))</f>
        <v/>
      </c>
      <c r="N88" s="41" t="str">
        <f>IF(MasterFees[[#This Row],[GST Basis]]="Incl",MasterFees[[#This Row],[Fee as Printed]],IF(MasterFees[[#This Row],[GST Basis]]="Excl",MasterFees[[#This Row],[Fee as Printed]]*(1+GST_Rate),""))</f>
        <v/>
      </c>
      <c r="O88" s="42" t="str">
        <f>IF(N(MasterFees[[#This Row],[Total Units]])=0,"",MasterFees[[#This Row],[Fee as Printed]]/MasterFees[[#This Row],[Total Units]])</f>
        <v/>
      </c>
      <c r="P88" s="43"/>
      <c r="Q88" s="46" t="s">
        <v>1013</v>
      </c>
      <c r="R88" s="46" t="s">
        <v>1196</v>
      </c>
      <c r="S88" s="37"/>
    </row>
    <row r="89" spans="1:19" x14ac:dyDescent="0.2">
      <c r="A89" s="36"/>
      <c r="B89" s="38" t="str">
        <f>IF(MasterFees[[#This Row],[RVG Code]]="","",_xlfn.XLOOKUP(MasterFees[[#This Row],[RVG Code]],RVGCodes[Code],RVGCodes[Base Units],"Code not found"))</f>
        <v/>
      </c>
      <c r="C89" s="37" t="s">
        <v>95</v>
      </c>
      <c r="D89" s="44" t="s">
        <v>1108</v>
      </c>
      <c r="E89" s="44"/>
      <c r="F89" s="44" t="s">
        <v>1109</v>
      </c>
      <c r="G89" s="39">
        <v>3.8</v>
      </c>
      <c r="H89" s="39">
        <v>1.7</v>
      </c>
      <c r="I89" s="39">
        <v>0.4</v>
      </c>
      <c r="J89" s="39">
        <v>5.9</v>
      </c>
      <c r="K89" s="40">
        <v>323.39999999999998</v>
      </c>
      <c r="L89" s="45" t="s">
        <v>1015</v>
      </c>
      <c r="M89" s="41" t="str">
        <f>IF(MasterFees[[#This Row],[GST Basis]]="Excl",MasterFees[[#This Row],[Fee as Printed]],IF(MasterFees[[#This Row],[GST Basis]]="Incl",MasterFees[[#This Row],[Fee as Printed]]/(1+GST_Rate),""))</f>
        <v/>
      </c>
      <c r="N89" s="41" t="str">
        <f>IF(MasterFees[[#This Row],[GST Basis]]="Incl",MasterFees[[#This Row],[Fee as Printed]],IF(MasterFees[[#This Row],[GST Basis]]="Excl",MasterFees[[#This Row],[Fee as Printed]]*(1+GST_Rate),""))</f>
        <v/>
      </c>
      <c r="O89" s="42">
        <f>IF(N(MasterFees[[#This Row],[Total Units]])=0,"",MasterFees[[#This Row],[Fee as Printed]]/MasterFees[[#This Row],[Total Units]])</f>
        <v>54.813559322033889</v>
      </c>
      <c r="P89" s="43"/>
      <c r="Q89" s="46" t="s">
        <v>1013</v>
      </c>
      <c r="R89" s="46" t="s">
        <v>1197</v>
      </c>
      <c r="S89" s="37"/>
    </row>
    <row r="90" spans="1:19" x14ac:dyDescent="0.2">
      <c r="A90" s="36"/>
      <c r="B90" s="38" t="str">
        <f>IF(MasterFees[[#This Row],[RVG Code]]="","",_xlfn.XLOOKUP(MasterFees[[#This Row],[RVG Code]],RVGCodes[Code],RVGCodes[Base Units],"Code not found"))</f>
        <v/>
      </c>
      <c r="C90" s="37" t="s">
        <v>96</v>
      </c>
      <c r="D90" s="44" t="s">
        <v>1108</v>
      </c>
      <c r="E90" s="44"/>
      <c r="F90" s="44" t="s">
        <v>1109</v>
      </c>
      <c r="G90" s="39">
        <v>4</v>
      </c>
      <c r="H90" s="39">
        <v>1.5</v>
      </c>
      <c r="I90" s="39">
        <v>0.6</v>
      </c>
      <c r="J90" s="39">
        <v>6.1</v>
      </c>
      <c r="K90" s="40">
        <v>332.75</v>
      </c>
      <c r="L90" s="45" t="s">
        <v>1015</v>
      </c>
      <c r="M90" s="41" t="str">
        <f>IF(MasterFees[[#This Row],[GST Basis]]="Excl",MasterFees[[#This Row],[Fee as Printed]],IF(MasterFees[[#This Row],[GST Basis]]="Incl",MasterFees[[#This Row],[Fee as Printed]]/(1+GST_Rate),""))</f>
        <v/>
      </c>
      <c r="N90" s="41" t="str">
        <f>IF(MasterFees[[#This Row],[GST Basis]]="Incl",MasterFees[[#This Row],[Fee as Printed]],IF(MasterFees[[#This Row],[GST Basis]]="Excl",MasterFees[[#This Row],[Fee as Printed]]*(1+GST_Rate),""))</f>
        <v/>
      </c>
      <c r="O90" s="42">
        <f>IF(N(MasterFees[[#This Row],[Total Units]])=0,"",MasterFees[[#This Row],[Fee as Printed]]/MasterFees[[#This Row],[Total Units]])</f>
        <v>54.549180327868854</v>
      </c>
      <c r="P90" s="43"/>
      <c r="Q90" s="46" t="s">
        <v>1013</v>
      </c>
      <c r="R90" s="46" t="s">
        <v>1198</v>
      </c>
      <c r="S90" s="37"/>
    </row>
    <row r="91" spans="1:19" x14ac:dyDescent="0.2">
      <c r="A91" s="36"/>
      <c r="B91" s="38" t="str">
        <f>IF(MasterFees[[#This Row],[RVG Code]]="","",_xlfn.XLOOKUP(MasterFees[[#This Row],[RVG Code]],RVGCodes[Code],RVGCodes[Base Units],"Code not found"))</f>
        <v/>
      </c>
      <c r="C91" s="37" t="s">
        <v>97</v>
      </c>
      <c r="D91" s="44" t="s">
        <v>1108</v>
      </c>
      <c r="E91" s="44"/>
      <c r="F91" s="44" t="s">
        <v>1109</v>
      </c>
      <c r="G91" s="39">
        <v>5.6</v>
      </c>
      <c r="H91" s="39">
        <v>12.2</v>
      </c>
      <c r="I91" s="39">
        <v>1.3</v>
      </c>
      <c r="J91" s="39">
        <v>19.100000000000001</v>
      </c>
      <c r="K91" s="40">
        <v>1048.3</v>
      </c>
      <c r="L91" s="45" t="s">
        <v>1015</v>
      </c>
      <c r="M91" s="41" t="str">
        <f>IF(MasterFees[[#This Row],[GST Basis]]="Excl",MasterFees[[#This Row],[Fee as Printed]],IF(MasterFees[[#This Row],[GST Basis]]="Incl",MasterFees[[#This Row],[Fee as Printed]]/(1+GST_Rate),""))</f>
        <v/>
      </c>
      <c r="N91" s="41" t="str">
        <f>IF(MasterFees[[#This Row],[GST Basis]]="Incl",MasterFees[[#This Row],[Fee as Printed]],IF(MasterFees[[#This Row],[GST Basis]]="Excl",MasterFees[[#This Row],[Fee as Printed]]*(1+GST_Rate),""))</f>
        <v/>
      </c>
      <c r="O91" s="42">
        <f>IF(N(MasterFees[[#This Row],[Total Units]])=0,"",MasterFees[[#This Row],[Fee as Printed]]/MasterFees[[#This Row],[Total Units]])</f>
        <v>54.884816753926692</v>
      </c>
      <c r="P91" s="43"/>
      <c r="Q91" s="46" t="s">
        <v>1013</v>
      </c>
      <c r="R91" s="46" t="s">
        <v>1199</v>
      </c>
      <c r="S91" s="37"/>
    </row>
    <row r="92" spans="1:19" x14ac:dyDescent="0.2">
      <c r="A92" s="36"/>
      <c r="B92" s="38" t="str">
        <f>IF(MasterFees[[#This Row],[RVG Code]]="","",_xlfn.XLOOKUP(MasterFees[[#This Row],[RVG Code]],RVGCodes[Code],RVGCodes[Base Units],"Code not found"))</f>
        <v/>
      </c>
      <c r="C92" s="37" t="s">
        <v>98</v>
      </c>
      <c r="D92" s="44" t="s">
        <v>1108</v>
      </c>
      <c r="E92" s="44"/>
      <c r="F92" s="44" t="s">
        <v>1109</v>
      </c>
      <c r="G92" s="39">
        <v>5</v>
      </c>
      <c r="H92" s="39">
        <v>8.5</v>
      </c>
      <c r="I92" s="39">
        <v>2</v>
      </c>
      <c r="J92" s="39">
        <v>15.5</v>
      </c>
      <c r="K92" s="40">
        <v>852.5</v>
      </c>
      <c r="L92" s="45" t="s">
        <v>1015</v>
      </c>
      <c r="M92" s="41" t="str">
        <f>IF(MasterFees[[#This Row],[GST Basis]]="Excl",MasterFees[[#This Row],[Fee as Printed]],IF(MasterFees[[#This Row],[GST Basis]]="Incl",MasterFees[[#This Row],[Fee as Printed]]/(1+GST_Rate),""))</f>
        <v/>
      </c>
      <c r="N92" s="41" t="str">
        <f>IF(MasterFees[[#This Row],[GST Basis]]="Incl",MasterFees[[#This Row],[Fee as Printed]],IF(MasterFees[[#This Row],[GST Basis]]="Excl",MasterFees[[#This Row],[Fee as Printed]]*(1+GST_Rate),""))</f>
        <v/>
      </c>
      <c r="O92" s="42">
        <f>IF(N(MasterFees[[#This Row],[Total Units]])=0,"",MasterFees[[#This Row],[Fee as Printed]]/MasterFees[[#This Row],[Total Units]])</f>
        <v>55</v>
      </c>
      <c r="P92" s="43"/>
      <c r="Q92" s="46" t="s">
        <v>1013</v>
      </c>
      <c r="R92" s="46" t="s">
        <v>1200</v>
      </c>
      <c r="S92" s="37"/>
    </row>
    <row r="93" spans="1:19" x14ac:dyDescent="0.2">
      <c r="A93" s="36"/>
      <c r="B93" s="38" t="str">
        <f>IF(MasterFees[[#This Row],[RVG Code]]="","",_xlfn.XLOOKUP(MasterFees[[#This Row],[RVG Code]],RVGCodes[Code],RVGCodes[Base Units],"Code not found"))</f>
        <v/>
      </c>
      <c r="C93" s="37" t="s">
        <v>99</v>
      </c>
      <c r="D93" s="44" t="s">
        <v>1108</v>
      </c>
      <c r="E93" s="44"/>
      <c r="F93" s="44" t="s">
        <v>1109</v>
      </c>
      <c r="G93" s="39">
        <v>7</v>
      </c>
      <c r="H93" s="39">
        <v>8</v>
      </c>
      <c r="I93" s="39">
        <v>2</v>
      </c>
      <c r="J93" s="39">
        <v>17</v>
      </c>
      <c r="K93" s="40">
        <v>935</v>
      </c>
      <c r="L93" s="45" t="s">
        <v>1015</v>
      </c>
      <c r="M93" s="41" t="str">
        <f>IF(MasterFees[[#This Row],[GST Basis]]="Excl",MasterFees[[#This Row],[Fee as Printed]],IF(MasterFees[[#This Row],[GST Basis]]="Incl",MasterFees[[#This Row],[Fee as Printed]]/(1+GST_Rate),""))</f>
        <v/>
      </c>
      <c r="N93" s="41" t="str">
        <f>IF(MasterFees[[#This Row],[GST Basis]]="Incl",MasterFees[[#This Row],[Fee as Printed]],IF(MasterFees[[#This Row],[GST Basis]]="Excl",MasterFees[[#This Row],[Fee as Printed]]*(1+GST_Rate),""))</f>
        <v/>
      </c>
      <c r="O93" s="42">
        <f>IF(N(MasterFees[[#This Row],[Total Units]])=0,"",MasterFees[[#This Row],[Fee as Printed]]/MasterFees[[#This Row],[Total Units]])</f>
        <v>55</v>
      </c>
      <c r="P93" s="43"/>
      <c r="Q93" s="46" t="s">
        <v>1013</v>
      </c>
      <c r="R93" s="46" t="s">
        <v>1201</v>
      </c>
      <c r="S93" s="37"/>
    </row>
    <row r="94" spans="1:19" x14ac:dyDescent="0.2">
      <c r="A94" s="36"/>
      <c r="B94" s="38" t="str">
        <f>IF(MasterFees[[#This Row],[RVG Code]]="","",_xlfn.XLOOKUP(MasterFees[[#This Row],[RVG Code]],RVGCodes[Code],RVGCodes[Base Units],"Code not found"))</f>
        <v/>
      </c>
      <c r="C94" s="37" t="s">
        <v>100</v>
      </c>
      <c r="D94" s="44" t="s">
        <v>1108</v>
      </c>
      <c r="E94" s="44"/>
      <c r="F94" s="44" t="s">
        <v>1109</v>
      </c>
      <c r="G94" s="39">
        <v>5.0999999999999996</v>
      </c>
      <c r="H94" s="39">
        <v>3.5</v>
      </c>
      <c r="I94" s="39">
        <v>0.1</v>
      </c>
      <c r="J94" s="39">
        <v>8.8000000000000007</v>
      </c>
      <c r="K94" s="40">
        <v>482.35</v>
      </c>
      <c r="L94" s="45" t="s">
        <v>1015</v>
      </c>
      <c r="M94" s="41" t="str">
        <f>IF(MasterFees[[#This Row],[GST Basis]]="Excl",MasterFees[[#This Row],[Fee as Printed]],IF(MasterFees[[#This Row],[GST Basis]]="Incl",MasterFees[[#This Row],[Fee as Printed]]/(1+GST_Rate),""))</f>
        <v/>
      </c>
      <c r="N94" s="41" t="str">
        <f>IF(MasterFees[[#This Row],[GST Basis]]="Incl",MasterFees[[#This Row],[Fee as Printed]],IF(MasterFees[[#This Row],[GST Basis]]="Excl",MasterFees[[#This Row],[Fee as Printed]]*(1+GST_Rate),""))</f>
        <v/>
      </c>
      <c r="O94" s="42">
        <f>IF(N(MasterFees[[#This Row],[Total Units]])=0,"",MasterFees[[#This Row],[Fee as Printed]]/MasterFees[[#This Row],[Total Units]])</f>
        <v>54.8125</v>
      </c>
      <c r="P94" s="43"/>
      <c r="Q94" s="46" t="s">
        <v>1013</v>
      </c>
      <c r="R94" s="46" t="s">
        <v>1202</v>
      </c>
      <c r="S94" s="37"/>
    </row>
    <row r="95" spans="1:19" x14ac:dyDescent="0.2">
      <c r="A95" s="36"/>
      <c r="B95" s="38" t="str">
        <f>IF(MasterFees[[#This Row],[RVG Code]]="","",_xlfn.XLOOKUP(MasterFees[[#This Row],[RVG Code]],RVGCodes[Code],RVGCodes[Base Units],"Code not found"))</f>
        <v/>
      </c>
      <c r="C95" s="37" t="s">
        <v>101</v>
      </c>
      <c r="D95" s="44" t="s">
        <v>1108</v>
      </c>
      <c r="E95" s="44"/>
      <c r="F95" s="44" t="s">
        <v>1109</v>
      </c>
      <c r="G95" s="39">
        <v>7</v>
      </c>
      <c r="H95" s="39">
        <v>6</v>
      </c>
      <c r="I95" s="39">
        <v>0</v>
      </c>
      <c r="J95" s="39">
        <v>13</v>
      </c>
      <c r="K95" s="40">
        <v>715</v>
      </c>
      <c r="L95" s="45" t="s">
        <v>1015</v>
      </c>
      <c r="M95" s="41" t="str">
        <f>IF(MasterFees[[#This Row],[GST Basis]]="Excl",MasterFees[[#This Row],[Fee as Printed]],IF(MasterFees[[#This Row],[GST Basis]]="Incl",MasterFees[[#This Row],[Fee as Printed]]/(1+GST_Rate),""))</f>
        <v/>
      </c>
      <c r="N95" s="41" t="str">
        <f>IF(MasterFees[[#This Row],[GST Basis]]="Incl",MasterFees[[#This Row],[Fee as Printed]],IF(MasterFees[[#This Row],[GST Basis]]="Excl",MasterFees[[#This Row],[Fee as Printed]]*(1+GST_Rate),""))</f>
        <v/>
      </c>
      <c r="O95" s="42">
        <f>IF(N(MasterFees[[#This Row],[Total Units]])=0,"",MasterFees[[#This Row],[Fee as Printed]]/MasterFees[[#This Row],[Total Units]])</f>
        <v>55</v>
      </c>
      <c r="P95" s="43"/>
      <c r="Q95" s="46" t="s">
        <v>1013</v>
      </c>
      <c r="R95" s="46" t="s">
        <v>1203</v>
      </c>
      <c r="S95" s="37"/>
    </row>
    <row r="96" spans="1:19" x14ac:dyDescent="0.2">
      <c r="A96" s="36"/>
      <c r="B96" s="38" t="str">
        <f>IF(MasterFees[[#This Row],[RVG Code]]="","",_xlfn.XLOOKUP(MasterFees[[#This Row],[RVG Code]],RVGCodes[Code],RVGCodes[Base Units],"Code not found"))</f>
        <v/>
      </c>
      <c r="C96" s="37" t="s">
        <v>70</v>
      </c>
      <c r="D96" s="44" t="s">
        <v>1108</v>
      </c>
      <c r="E96" s="44"/>
      <c r="F96" s="44" t="s">
        <v>1109</v>
      </c>
      <c r="G96" s="39">
        <v>1.6</v>
      </c>
      <c r="H96" s="39">
        <v>2.4</v>
      </c>
      <c r="I96" s="39">
        <v>0</v>
      </c>
      <c r="J96" s="39">
        <v>4</v>
      </c>
      <c r="K96" s="40">
        <v>220</v>
      </c>
      <c r="L96" s="45" t="s">
        <v>1015</v>
      </c>
      <c r="M96" s="41" t="str">
        <f>IF(MasterFees[[#This Row],[GST Basis]]="Excl",MasterFees[[#This Row],[Fee as Printed]],IF(MasterFees[[#This Row],[GST Basis]]="Incl",MasterFees[[#This Row],[Fee as Printed]]/(1+GST_Rate),""))</f>
        <v/>
      </c>
      <c r="N96" s="41" t="str">
        <f>IF(MasterFees[[#This Row],[GST Basis]]="Incl",MasterFees[[#This Row],[Fee as Printed]],IF(MasterFees[[#This Row],[GST Basis]]="Excl",MasterFees[[#This Row],[Fee as Printed]]*(1+GST_Rate),""))</f>
        <v/>
      </c>
      <c r="O96" s="42">
        <f>IF(N(MasterFees[[#This Row],[Total Units]])=0,"",MasterFees[[#This Row],[Fee as Printed]]/MasterFees[[#This Row],[Total Units]])</f>
        <v>55</v>
      </c>
      <c r="P96" s="43"/>
      <c r="Q96" s="46" t="s">
        <v>1013</v>
      </c>
      <c r="R96" s="46" t="s">
        <v>1204</v>
      </c>
      <c r="S96" s="37"/>
    </row>
    <row r="97" spans="1:19" x14ac:dyDescent="0.2">
      <c r="A97" s="36"/>
      <c r="B97" s="38" t="str">
        <f>IF(MasterFees[[#This Row],[RVG Code]]="","",_xlfn.XLOOKUP(MasterFees[[#This Row],[RVG Code]],RVGCodes[Code],RVGCodes[Base Units],"Code not found"))</f>
        <v/>
      </c>
      <c r="C97" s="37" t="s">
        <v>102</v>
      </c>
      <c r="D97" s="44" t="s">
        <v>1108</v>
      </c>
      <c r="E97" s="44"/>
      <c r="F97" s="44" t="s">
        <v>1109</v>
      </c>
      <c r="G97" s="39">
        <v>5.6</v>
      </c>
      <c r="H97" s="39">
        <v>16.2</v>
      </c>
      <c r="I97" s="39">
        <v>1.8</v>
      </c>
      <c r="J97" s="39">
        <v>23.7</v>
      </c>
      <c r="K97" s="40">
        <v>1301.3</v>
      </c>
      <c r="L97" s="45" t="s">
        <v>1015</v>
      </c>
      <c r="M97" s="41" t="str">
        <f>IF(MasterFees[[#This Row],[GST Basis]]="Excl",MasterFees[[#This Row],[Fee as Printed]],IF(MasterFees[[#This Row],[GST Basis]]="Incl",MasterFees[[#This Row],[Fee as Printed]]/(1+GST_Rate),""))</f>
        <v/>
      </c>
      <c r="N97" s="41" t="str">
        <f>IF(MasterFees[[#This Row],[GST Basis]]="Incl",MasterFees[[#This Row],[Fee as Printed]],IF(MasterFees[[#This Row],[GST Basis]]="Excl",MasterFees[[#This Row],[Fee as Printed]]*(1+GST_Rate),""))</f>
        <v/>
      </c>
      <c r="O97" s="42">
        <f>IF(N(MasterFees[[#This Row],[Total Units]])=0,"",MasterFees[[#This Row],[Fee as Printed]]/MasterFees[[#This Row],[Total Units]])</f>
        <v>54.907172995780591</v>
      </c>
      <c r="P97" s="43"/>
      <c r="Q97" s="46" t="s">
        <v>1013</v>
      </c>
      <c r="R97" s="46" t="s">
        <v>1205</v>
      </c>
      <c r="S97" s="37"/>
    </row>
    <row r="98" spans="1:19" x14ac:dyDescent="0.2">
      <c r="A98" s="36"/>
      <c r="B98" s="38" t="str">
        <f>IF(MasterFees[[#This Row],[RVG Code]]="","",_xlfn.XLOOKUP(MasterFees[[#This Row],[RVG Code]],RVGCodes[Code],RVGCodes[Base Units],"Code not found"))</f>
        <v/>
      </c>
      <c r="C98" s="37" t="s">
        <v>102</v>
      </c>
      <c r="D98" s="44" t="s">
        <v>1108</v>
      </c>
      <c r="E98" s="44"/>
      <c r="F98" s="44" t="s">
        <v>1109</v>
      </c>
      <c r="G98" s="39">
        <v>5.6</v>
      </c>
      <c r="H98" s="39">
        <v>16.2</v>
      </c>
      <c r="I98" s="39">
        <v>1.8</v>
      </c>
      <c r="J98" s="39">
        <v>23.7</v>
      </c>
      <c r="K98" s="40">
        <v>1301.3</v>
      </c>
      <c r="L98" s="45" t="s">
        <v>1015</v>
      </c>
      <c r="M98" s="41" t="str">
        <f>IF(MasterFees[[#This Row],[GST Basis]]="Excl",MasterFees[[#This Row],[Fee as Printed]],IF(MasterFees[[#This Row],[GST Basis]]="Incl",MasterFees[[#This Row],[Fee as Printed]]/(1+GST_Rate),""))</f>
        <v/>
      </c>
      <c r="N98" s="41" t="str">
        <f>IF(MasterFees[[#This Row],[GST Basis]]="Incl",MasterFees[[#This Row],[Fee as Printed]],IF(MasterFees[[#This Row],[GST Basis]]="Excl",MasterFees[[#This Row],[Fee as Printed]]*(1+GST_Rate),""))</f>
        <v/>
      </c>
      <c r="O98" s="42">
        <f>IF(N(MasterFees[[#This Row],[Total Units]])=0,"",MasterFees[[#This Row],[Fee as Printed]]/MasterFees[[#This Row],[Total Units]])</f>
        <v>54.907172995780591</v>
      </c>
      <c r="P98" s="43"/>
      <c r="Q98" s="46" t="s">
        <v>1013</v>
      </c>
      <c r="R98" s="46" t="s">
        <v>1206</v>
      </c>
      <c r="S98" s="37"/>
    </row>
    <row r="99" spans="1:19" x14ac:dyDescent="0.2">
      <c r="A99" s="36"/>
      <c r="B99" s="38" t="str">
        <f>IF(MasterFees[[#This Row],[RVG Code]]="","",_xlfn.XLOOKUP(MasterFees[[#This Row],[RVG Code]],RVGCodes[Code],RVGCodes[Base Units],"Code not found"))</f>
        <v/>
      </c>
      <c r="C99" s="37" t="s">
        <v>103</v>
      </c>
      <c r="D99" s="44" t="s">
        <v>1108</v>
      </c>
      <c r="E99" s="44"/>
      <c r="F99" s="44" t="s">
        <v>1109</v>
      </c>
      <c r="G99" s="39">
        <v>6.1</v>
      </c>
      <c r="H99" s="39">
        <v>14.1</v>
      </c>
      <c r="I99" s="39">
        <v>2.1</v>
      </c>
      <c r="J99" s="39">
        <v>22.3</v>
      </c>
      <c r="K99" s="40">
        <v>1228.7</v>
      </c>
      <c r="L99" s="45" t="s">
        <v>1015</v>
      </c>
      <c r="M99" s="41" t="str">
        <f>IF(MasterFees[[#This Row],[GST Basis]]="Excl",MasterFees[[#This Row],[Fee as Printed]],IF(MasterFees[[#This Row],[GST Basis]]="Incl",MasterFees[[#This Row],[Fee as Printed]]/(1+GST_Rate),""))</f>
        <v/>
      </c>
      <c r="N99" s="41" t="str">
        <f>IF(MasterFees[[#This Row],[GST Basis]]="Incl",MasterFees[[#This Row],[Fee as Printed]],IF(MasterFees[[#This Row],[GST Basis]]="Excl",MasterFees[[#This Row],[Fee as Printed]]*(1+GST_Rate),""))</f>
        <v/>
      </c>
      <c r="O99" s="42">
        <f>IF(N(MasterFees[[#This Row],[Total Units]])=0,"",MasterFees[[#This Row],[Fee as Printed]]/MasterFees[[#This Row],[Total Units]])</f>
        <v>55.098654708520179</v>
      </c>
      <c r="P99" s="43"/>
      <c r="Q99" s="46" t="s">
        <v>1013</v>
      </c>
      <c r="R99" s="46" t="s">
        <v>1207</v>
      </c>
      <c r="S99" s="37"/>
    </row>
    <row r="100" spans="1:19" x14ac:dyDescent="0.2">
      <c r="A100" s="36"/>
      <c r="B100" s="38" t="str">
        <f>IF(MasterFees[[#This Row],[RVG Code]]="","",_xlfn.XLOOKUP(MasterFees[[#This Row],[RVG Code]],RVGCodes[Code],RVGCodes[Base Units],"Code not found"))</f>
        <v/>
      </c>
      <c r="C100" s="37" t="s">
        <v>104</v>
      </c>
      <c r="D100" s="44" t="s">
        <v>1108</v>
      </c>
      <c r="E100" s="44"/>
      <c r="F100" s="44" t="s">
        <v>1109</v>
      </c>
      <c r="G100" s="39">
        <v>6.4</v>
      </c>
      <c r="H100" s="39">
        <v>14</v>
      </c>
      <c r="I100" s="39">
        <v>2</v>
      </c>
      <c r="J100" s="39">
        <v>22.4</v>
      </c>
      <c r="K100" s="40">
        <v>1233.0999999999999</v>
      </c>
      <c r="L100" s="45" t="s">
        <v>1015</v>
      </c>
      <c r="M100" s="41" t="str">
        <f>IF(MasterFees[[#This Row],[GST Basis]]="Excl",MasterFees[[#This Row],[Fee as Printed]],IF(MasterFees[[#This Row],[GST Basis]]="Incl",MasterFees[[#This Row],[Fee as Printed]]/(1+GST_Rate),""))</f>
        <v/>
      </c>
      <c r="N100" s="41" t="str">
        <f>IF(MasterFees[[#This Row],[GST Basis]]="Incl",MasterFees[[#This Row],[Fee as Printed]],IF(MasterFees[[#This Row],[GST Basis]]="Excl",MasterFees[[#This Row],[Fee as Printed]]*(1+GST_Rate),""))</f>
        <v/>
      </c>
      <c r="O100" s="42">
        <f>IF(N(MasterFees[[#This Row],[Total Units]])=0,"",MasterFees[[#This Row],[Fee as Printed]]/MasterFees[[#This Row],[Total Units]])</f>
        <v>55.049107142857139</v>
      </c>
      <c r="P100" s="43"/>
      <c r="Q100" s="46" t="s">
        <v>1013</v>
      </c>
      <c r="R100" s="46" t="s">
        <v>1208</v>
      </c>
      <c r="S100" s="37"/>
    </row>
    <row r="101" spans="1:19" x14ac:dyDescent="0.2">
      <c r="A101" s="36"/>
      <c r="B101" s="38" t="str">
        <f>IF(MasterFees[[#This Row],[RVG Code]]="","",_xlfn.XLOOKUP(MasterFees[[#This Row],[RVG Code]],RVGCodes[Code],RVGCodes[Base Units],"Code not found"))</f>
        <v/>
      </c>
      <c r="C101" s="37" t="s">
        <v>105</v>
      </c>
      <c r="D101" s="44" t="s">
        <v>1108</v>
      </c>
      <c r="E101" s="44"/>
      <c r="F101" s="44" t="s">
        <v>1109</v>
      </c>
      <c r="G101" s="39">
        <v>6</v>
      </c>
      <c r="H101" s="39">
        <v>15</v>
      </c>
      <c r="I101" s="39">
        <v>2.1</v>
      </c>
      <c r="J101" s="39">
        <v>23.2</v>
      </c>
      <c r="K101" s="40">
        <v>1276.55</v>
      </c>
      <c r="L101" s="45" t="s">
        <v>1015</v>
      </c>
      <c r="M101" s="41" t="str">
        <f>IF(MasterFees[[#This Row],[GST Basis]]="Excl",MasterFees[[#This Row],[Fee as Printed]],IF(MasterFees[[#This Row],[GST Basis]]="Incl",MasterFees[[#This Row],[Fee as Printed]]/(1+GST_Rate),""))</f>
        <v/>
      </c>
      <c r="N101" s="41" t="str">
        <f>IF(MasterFees[[#This Row],[GST Basis]]="Incl",MasterFees[[#This Row],[Fee as Printed]],IF(MasterFees[[#This Row],[GST Basis]]="Excl",MasterFees[[#This Row],[Fee as Printed]]*(1+GST_Rate),""))</f>
        <v/>
      </c>
      <c r="O101" s="42">
        <f>IF(N(MasterFees[[#This Row],[Total Units]])=0,"",MasterFees[[#This Row],[Fee as Printed]]/MasterFees[[#This Row],[Total Units]])</f>
        <v>55.023706896551722</v>
      </c>
      <c r="P101" s="43"/>
      <c r="Q101" s="46" t="s">
        <v>1013</v>
      </c>
      <c r="R101" s="46" t="s">
        <v>1209</v>
      </c>
      <c r="S101" s="37"/>
    </row>
    <row r="102" spans="1:19" x14ac:dyDescent="0.2">
      <c r="A102" s="36"/>
      <c r="B102" s="38" t="str">
        <f>IF(MasterFees[[#This Row],[RVG Code]]="","",_xlfn.XLOOKUP(MasterFees[[#This Row],[RVG Code]],RVGCodes[Code],RVGCodes[Base Units],"Code not found"))</f>
        <v/>
      </c>
      <c r="C102" s="37" t="s">
        <v>106</v>
      </c>
      <c r="D102" s="44" t="s">
        <v>1108</v>
      </c>
      <c r="E102" s="44"/>
      <c r="F102" s="44" t="s">
        <v>1109</v>
      </c>
      <c r="G102" s="39">
        <v>5.8</v>
      </c>
      <c r="H102" s="39">
        <v>13.4</v>
      </c>
      <c r="I102" s="39">
        <v>1.6</v>
      </c>
      <c r="J102" s="39">
        <v>20.8</v>
      </c>
      <c r="K102" s="40">
        <v>1144</v>
      </c>
      <c r="L102" s="45" t="s">
        <v>1015</v>
      </c>
      <c r="M102" s="41" t="str">
        <f>IF(MasterFees[[#This Row],[GST Basis]]="Excl",MasterFees[[#This Row],[Fee as Printed]],IF(MasterFees[[#This Row],[GST Basis]]="Incl",MasterFees[[#This Row],[Fee as Printed]]/(1+GST_Rate),""))</f>
        <v/>
      </c>
      <c r="N102" s="41" t="str">
        <f>IF(MasterFees[[#This Row],[GST Basis]]="Incl",MasterFees[[#This Row],[Fee as Printed]],IF(MasterFees[[#This Row],[GST Basis]]="Excl",MasterFees[[#This Row],[Fee as Printed]]*(1+GST_Rate),""))</f>
        <v/>
      </c>
      <c r="O102" s="42">
        <f>IF(N(MasterFees[[#This Row],[Total Units]])=0,"",MasterFees[[#This Row],[Fee as Printed]]/MasterFees[[#This Row],[Total Units]])</f>
        <v>55</v>
      </c>
      <c r="P102" s="43"/>
      <c r="Q102" s="46" t="s">
        <v>1013</v>
      </c>
      <c r="R102" s="46" t="s">
        <v>1210</v>
      </c>
      <c r="S102" s="37"/>
    </row>
    <row r="103" spans="1:19" x14ac:dyDescent="0.2">
      <c r="A103" s="36"/>
      <c r="B103" s="38" t="str">
        <f>IF(MasterFees[[#This Row],[RVG Code]]="","",_xlfn.XLOOKUP(MasterFees[[#This Row],[RVG Code]],RVGCodes[Code],RVGCodes[Base Units],"Code not found"))</f>
        <v/>
      </c>
      <c r="C103" s="37" t="s">
        <v>107</v>
      </c>
      <c r="D103" s="44" t="s">
        <v>1108</v>
      </c>
      <c r="E103" s="44"/>
      <c r="F103" s="44" t="s">
        <v>1109</v>
      </c>
      <c r="G103" s="39">
        <v>6</v>
      </c>
      <c r="H103" s="39">
        <v>31</v>
      </c>
      <c r="I103" s="39">
        <v>1</v>
      </c>
      <c r="J103" s="39">
        <v>38</v>
      </c>
      <c r="K103" s="40">
        <v>2090</v>
      </c>
      <c r="L103" s="45" t="s">
        <v>1015</v>
      </c>
      <c r="M103" s="41" t="str">
        <f>IF(MasterFees[[#This Row],[GST Basis]]="Excl",MasterFees[[#This Row],[Fee as Printed]],IF(MasterFees[[#This Row],[GST Basis]]="Incl",MasterFees[[#This Row],[Fee as Printed]]/(1+GST_Rate),""))</f>
        <v/>
      </c>
      <c r="N103" s="41" t="str">
        <f>IF(MasterFees[[#This Row],[GST Basis]]="Incl",MasterFees[[#This Row],[Fee as Printed]],IF(MasterFees[[#This Row],[GST Basis]]="Excl",MasterFees[[#This Row],[Fee as Printed]]*(1+GST_Rate),""))</f>
        <v/>
      </c>
      <c r="O103" s="42">
        <f>IF(N(MasterFees[[#This Row],[Total Units]])=0,"",MasterFees[[#This Row],[Fee as Printed]]/MasterFees[[#This Row],[Total Units]])</f>
        <v>55</v>
      </c>
      <c r="P103" s="43"/>
      <c r="Q103" s="46" t="s">
        <v>1013</v>
      </c>
      <c r="R103" s="46" t="s">
        <v>1211</v>
      </c>
      <c r="S103" s="37"/>
    </row>
    <row r="104" spans="1:19" x14ac:dyDescent="0.2">
      <c r="A104" s="36"/>
      <c r="B104" s="38" t="str">
        <f>IF(MasterFees[[#This Row],[RVG Code]]="","",_xlfn.XLOOKUP(MasterFees[[#This Row],[RVG Code]],RVGCodes[Code],RVGCodes[Base Units],"Code not found"))</f>
        <v/>
      </c>
      <c r="C104" s="37" t="s">
        <v>108</v>
      </c>
      <c r="D104" s="44" t="s">
        <v>1108</v>
      </c>
      <c r="E104" s="44"/>
      <c r="F104" s="44" t="s">
        <v>1109</v>
      </c>
      <c r="G104" s="39">
        <v>4</v>
      </c>
      <c r="H104" s="39">
        <v>1.3</v>
      </c>
      <c r="I104" s="39">
        <v>0.3</v>
      </c>
      <c r="J104" s="39">
        <v>5.6</v>
      </c>
      <c r="K104" s="40">
        <v>307.45</v>
      </c>
      <c r="L104" s="45" t="s">
        <v>1015</v>
      </c>
      <c r="M104" s="41" t="str">
        <f>IF(MasterFees[[#This Row],[GST Basis]]="Excl",MasterFees[[#This Row],[Fee as Printed]],IF(MasterFees[[#This Row],[GST Basis]]="Incl",MasterFees[[#This Row],[Fee as Printed]]/(1+GST_Rate),""))</f>
        <v/>
      </c>
      <c r="N104" s="41" t="str">
        <f>IF(MasterFees[[#This Row],[GST Basis]]="Incl",MasterFees[[#This Row],[Fee as Printed]],IF(MasterFees[[#This Row],[GST Basis]]="Excl",MasterFees[[#This Row],[Fee as Printed]]*(1+GST_Rate),""))</f>
        <v/>
      </c>
      <c r="O104" s="42">
        <f>IF(N(MasterFees[[#This Row],[Total Units]])=0,"",MasterFees[[#This Row],[Fee as Printed]]/MasterFees[[#This Row],[Total Units]])</f>
        <v>54.901785714285715</v>
      </c>
      <c r="P104" s="43"/>
      <c r="Q104" s="46" t="s">
        <v>1013</v>
      </c>
      <c r="R104" s="46" t="s">
        <v>1212</v>
      </c>
      <c r="S104" s="37"/>
    </row>
    <row r="105" spans="1:19" x14ac:dyDescent="0.2">
      <c r="A105" s="36"/>
      <c r="B105" s="38" t="str">
        <f>IF(MasterFees[[#This Row],[RVG Code]]="","",_xlfn.XLOOKUP(MasterFees[[#This Row],[RVG Code]],RVGCodes[Code],RVGCodes[Base Units],"Code not found"))</f>
        <v/>
      </c>
      <c r="C105" s="37" t="s">
        <v>109</v>
      </c>
      <c r="D105" s="44" t="s">
        <v>1108</v>
      </c>
      <c r="E105" s="44"/>
      <c r="F105" s="44" t="s">
        <v>1109</v>
      </c>
      <c r="G105" s="39">
        <v>4</v>
      </c>
      <c r="H105" s="39">
        <v>1.4</v>
      </c>
      <c r="I105" s="39">
        <v>0.4</v>
      </c>
      <c r="J105" s="39">
        <v>5.8</v>
      </c>
      <c r="K105" s="40">
        <v>319</v>
      </c>
      <c r="L105" s="45" t="s">
        <v>1015</v>
      </c>
      <c r="M105" s="41" t="str">
        <f>IF(MasterFees[[#This Row],[GST Basis]]="Excl",MasterFees[[#This Row],[Fee as Printed]],IF(MasterFees[[#This Row],[GST Basis]]="Incl",MasterFees[[#This Row],[Fee as Printed]]/(1+GST_Rate),""))</f>
        <v/>
      </c>
      <c r="N105" s="41" t="str">
        <f>IF(MasterFees[[#This Row],[GST Basis]]="Incl",MasterFees[[#This Row],[Fee as Printed]],IF(MasterFees[[#This Row],[GST Basis]]="Excl",MasterFees[[#This Row],[Fee as Printed]]*(1+GST_Rate),""))</f>
        <v/>
      </c>
      <c r="O105" s="42">
        <f>IF(N(MasterFees[[#This Row],[Total Units]])=0,"",MasterFees[[#This Row],[Fee as Printed]]/MasterFees[[#This Row],[Total Units]])</f>
        <v>55</v>
      </c>
      <c r="P105" s="43"/>
      <c r="Q105" s="46" t="s">
        <v>1013</v>
      </c>
      <c r="R105" s="46" t="s">
        <v>1213</v>
      </c>
      <c r="S105" s="37"/>
    </row>
    <row r="106" spans="1:19" x14ac:dyDescent="0.2">
      <c r="A106" s="36"/>
      <c r="B106" s="38" t="str">
        <f>IF(MasterFees[[#This Row],[RVG Code]]="","",_xlfn.XLOOKUP(MasterFees[[#This Row],[RVG Code]],RVGCodes[Code],RVGCodes[Base Units],"Code not found"))</f>
        <v/>
      </c>
      <c r="C106" s="37" t="s">
        <v>110</v>
      </c>
      <c r="D106" s="44" t="s">
        <v>1108</v>
      </c>
      <c r="E106" s="44"/>
      <c r="F106" s="44" t="s">
        <v>1109</v>
      </c>
      <c r="G106" s="39">
        <v>4.8</v>
      </c>
      <c r="H106" s="39">
        <v>7.6</v>
      </c>
      <c r="I106" s="39">
        <v>0.3</v>
      </c>
      <c r="J106" s="39">
        <v>12.7</v>
      </c>
      <c r="K106" s="40">
        <v>700.7</v>
      </c>
      <c r="L106" s="45" t="s">
        <v>1015</v>
      </c>
      <c r="M106" s="41" t="str">
        <f>IF(MasterFees[[#This Row],[GST Basis]]="Excl",MasterFees[[#This Row],[Fee as Printed]],IF(MasterFees[[#This Row],[GST Basis]]="Incl",MasterFees[[#This Row],[Fee as Printed]]/(1+GST_Rate),""))</f>
        <v/>
      </c>
      <c r="N106" s="41" t="str">
        <f>IF(MasterFees[[#This Row],[GST Basis]]="Incl",MasterFees[[#This Row],[Fee as Printed]],IF(MasterFees[[#This Row],[GST Basis]]="Excl",MasterFees[[#This Row],[Fee as Printed]]*(1+GST_Rate),""))</f>
        <v/>
      </c>
      <c r="O106" s="42">
        <f>IF(N(MasterFees[[#This Row],[Total Units]])=0,"",MasterFees[[#This Row],[Fee as Printed]]/MasterFees[[#This Row],[Total Units]])</f>
        <v>55.173228346456696</v>
      </c>
      <c r="P106" s="43"/>
      <c r="Q106" s="46" t="s">
        <v>1013</v>
      </c>
      <c r="R106" s="46" t="s">
        <v>1214</v>
      </c>
      <c r="S106" s="37"/>
    </row>
    <row r="107" spans="1:19" x14ac:dyDescent="0.2">
      <c r="A107" s="36"/>
      <c r="B107" s="38" t="str">
        <f>IF(MasterFees[[#This Row],[RVG Code]]="","",_xlfn.XLOOKUP(MasterFees[[#This Row],[RVG Code]],RVGCodes[Code],RVGCodes[Base Units],"Code not found"))</f>
        <v/>
      </c>
      <c r="C107" s="37" t="s">
        <v>111</v>
      </c>
      <c r="D107" s="44" t="s">
        <v>1108</v>
      </c>
      <c r="E107" s="44"/>
      <c r="F107" s="44" t="s">
        <v>1109</v>
      </c>
      <c r="G107" s="39">
        <v>2.5</v>
      </c>
      <c r="H107" s="39">
        <v>2.4</v>
      </c>
      <c r="I107" s="39">
        <v>0.1</v>
      </c>
      <c r="J107" s="39">
        <v>5</v>
      </c>
      <c r="K107" s="40">
        <v>274.45</v>
      </c>
      <c r="L107" s="45" t="s">
        <v>1015</v>
      </c>
      <c r="M107" s="41" t="str">
        <f>IF(MasterFees[[#This Row],[GST Basis]]="Excl",MasterFees[[#This Row],[Fee as Printed]],IF(MasterFees[[#This Row],[GST Basis]]="Incl",MasterFees[[#This Row],[Fee as Printed]]/(1+GST_Rate),""))</f>
        <v/>
      </c>
      <c r="N107" s="41" t="str">
        <f>IF(MasterFees[[#This Row],[GST Basis]]="Incl",MasterFees[[#This Row],[Fee as Printed]],IF(MasterFees[[#This Row],[GST Basis]]="Excl",MasterFees[[#This Row],[Fee as Printed]]*(1+GST_Rate),""))</f>
        <v/>
      </c>
      <c r="O107" s="42">
        <f>IF(N(MasterFees[[#This Row],[Total Units]])=0,"",MasterFees[[#This Row],[Fee as Printed]]/MasterFees[[#This Row],[Total Units]])</f>
        <v>54.89</v>
      </c>
      <c r="P107" s="43"/>
      <c r="Q107" s="46" t="s">
        <v>1013</v>
      </c>
      <c r="R107" s="46" t="s">
        <v>1215</v>
      </c>
      <c r="S107" s="37"/>
    </row>
    <row r="108" spans="1:19" x14ac:dyDescent="0.2">
      <c r="A108" s="36"/>
      <c r="B108" s="38" t="str">
        <f>IF(MasterFees[[#This Row],[RVG Code]]="","",_xlfn.XLOOKUP(MasterFees[[#This Row],[RVG Code]],RVGCodes[Code],RVGCodes[Base Units],"Code not found"))</f>
        <v/>
      </c>
      <c r="C108" s="37" t="s">
        <v>112</v>
      </c>
      <c r="D108" s="44" t="s">
        <v>1108</v>
      </c>
      <c r="E108" s="44"/>
      <c r="F108" s="44" t="s">
        <v>1109</v>
      </c>
      <c r="G108" s="39">
        <v>13.5</v>
      </c>
      <c r="H108" s="39">
        <v>7.3</v>
      </c>
      <c r="I108" s="39">
        <v>1</v>
      </c>
      <c r="J108" s="39">
        <v>21.8</v>
      </c>
      <c r="K108" s="40">
        <v>1196.25</v>
      </c>
      <c r="L108" s="45" t="s">
        <v>1015</v>
      </c>
      <c r="M108" s="41" t="str">
        <f>IF(MasterFees[[#This Row],[GST Basis]]="Excl",MasterFees[[#This Row],[Fee as Printed]],IF(MasterFees[[#This Row],[GST Basis]]="Incl",MasterFees[[#This Row],[Fee as Printed]]/(1+GST_Rate),""))</f>
        <v/>
      </c>
      <c r="N108" s="41" t="str">
        <f>IF(MasterFees[[#This Row],[GST Basis]]="Incl",MasterFees[[#This Row],[Fee as Printed]],IF(MasterFees[[#This Row],[GST Basis]]="Excl",MasterFees[[#This Row],[Fee as Printed]]*(1+GST_Rate),""))</f>
        <v/>
      </c>
      <c r="O108" s="42">
        <f>IF(N(MasterFees[[#This Row],[Total Units]])=0,"",MasterFees[[#This Row],[Fee as Printed]]/MasterFees[[#This Row],[Total Units]])</f>
        <v>54.87385321100917</v>
      </c>
      <c r="P108" s="43"/>
      <c r="Q108" s="46" t="s">
        <v>1013</v>
      </c>
      <c r="R108" s="46" t="s">
        <v>1216</v>
      </c>
      <c r="S108" s="37"/>
    </row>
    <row r="109" spans="1:19" x14ac:dyDescent="0.2">
      <c r="A109" s="36"/>
      <c r="B109" s="38" t="str">
        <f>IF(MasterFees[[#This Row],[RVG Code]]="","",_xlfn.XLOOKUP(MasterFees[[#This Row],[RVG Code]],RVGCodes[Code],RVGCodes[Base Units],"Code not found"))</f>
        <v/>
      </c>
      <c r="C109" s="37" t="s">
        <v>113</v>
      </c>
      <c r="D109" s="44" t="s">
        <v>1108</v>
      </c>
      <c r="E109" s="44"/>
      <c r="F109" s="44" t="s">
        <v>1109</v>
      </c>
      <c r="G109" s="39">
        <v>5</v>
      </c>
      <c r="H109" s="39">
        <v>4</v>
      </c>
      <c r="I109" s="39">
        <v>0</v>
      </c>
      <c r="J109" s="39">
        <v>9</v>
      </c>
      <c r="K109" s="40">
        <v>495</v>
      </c>
      <c r="L109" s="45" t="s">
        <v>1015</v>
      </c>
      <c r="M109" s="41" t="str">
        <f>IF(MasterFees[[#This Row],[GST Basis]]="Excl",MasterFees[[#This Row],[Fee as Printed]],IF(MasterFees[[#This Row],[GST Basis]]="Incl",MasterFees[[#This Row],[Fee as Printed]]/(1+GST_Rate),""))</f>
        <v/>
      </c>
      <c r="N109" s="41" t="str">
        <f>IF(MasterFees[[#This Row],[GST Basis]]="Incl",MasterFees[[#This Row],[Fee as Printed]],IF(MasterFees[[#This Row],[GST Basis]]="Excl",MasterFees[[#This Row],[Fee as Printed]]*(1+GST_Rate),""))</f>
        <v/>
      </c>
      <c r="O109" s="42">
        <f>IF(N(MasterFees[[#This Row],[Total Units]])=0,"",MasterFees[[#This Row],[Fee as Printed]]/MasterFees[[#This Row],[Total Units]])</f>
        <v>55</v>
      </c>
      <c r="P109" s="43"/>
      <c r="Q109" s="46" t="s">
        <v>1013</v>
      </c>
      <c r="R109" s="46" t="s">
        <v>1217</v>
      </c>
      <c r="S109" s="37"/>
    </row>
    <row r="110" spans="1:19" x14ac:dyDescent="0.2">
      <c r="A110" s="36"/>
      <c r="B110" s="38" t="str">
        <f>IF(MasterFees[[#This Row],[RVG Code]]="","",_xlfn.XLOOKUP(MasterFees[[#This Row],[RVG Code]],RVGCodes[Code],RVGCodes[Base Units],"Code not found"))</f>
        <v/>
      </c>
      <c r="C110" s="37" t="s">
        <v>114</v>
      </c>
      <c r="D110" s="44" t="s">
        <v>1108</v>
      </c>
      <c r="E110" s="44"/>
      <c r="F110" s="44" t="s">
        <v>1109</v>
      </c>
      <c r="G110" s="39">
        <v>5.6</v>
      </c>
      <c r="H110" s="39">
        <v>6.2</v>
      </c>
      <c r="I110" s="39">
        <v>0.4</v>
      </c>
      <c r="J110" s="39">
        <v>12.1</v>
      </c>
      <c r="K110" s="40">
        <v>667.7</v>
      </c>
      <c r="L110" s="45" t="s">
        <v>1015</v>
      </c>
      <c r="M110" s="41" t="str">
        <f>IF(MasterFees[[#This Row],[GST Basis]]="Excl",MasterFees[[#This Row],[Fee as Printed]],IF(MasterFees[[#This Row],[GST Basis]]="Incl",MasterFees[[#This Row],[Fee as Printed]]/(1+GST_Rate),""))</f>
        <v/>
      </c>
      <c r="N110" s="41" t="str">
        <f>IF(MasterFees[[#This Row],[GST Basis]]="Incl",MasterFees[[#This Row],[Fee as Printed]],IF(MasterFees[[#This Row],[GST Basis]]="Excl",MasterFees[[#This Row],[Fee as Printed]]*(1+GST_Rate),""))</f>
        <v/>
      </c>
      <c r="O110" s="42">
        <f>IF(N(MasterFees[[#This Row],[Total Units]])=0,"",MasterFees[[#This Row],[Fee as Printed]]/MasterFees[[#This Row],[Total Units]])</f>
        <v>55.181818181818187</v>
      </c>
      <c r="P110" s="43"/>
      <c r="Q110" s="46" t="s">
        <v>1013</v>
      </c>
      <c r="R110" s="46" t="s">
        <v>1218</v>
      </c>
      <c r="S110" s="37"/>
    </row>
    <row r="111" spans="1:19" x14ac:dyDescent="0.2">
      <c r="A111" s="36"/>
      <c r="B111" s="38" t="str">
        <f>IF(MasterFees[[#This Row],[RVG Code]]="","",_xlfn.XLOOKUP(MasterFees[[#This Row],[RVG Code]],RVGCodes[Code],RVGCodes[Base Units],"Code not found"))</f>
        <v/>
      </c>
      <c r="C111" s="37" t="s">
        <v>115</v>
      </c>
      <c r="D111" s="44" t="s">
        <v>1108</v>
      </c>
      <c r="E111" s="44"/>
      <c r="F111" s="44" t="s">
        <v>1109</v>
      </c>
      <c r="G111" s="39">
        <v>5</v>
      </c>
      <c r="H111" s="39">
        <v>3.4</v>
      </c>
      <c r="I111" s="39">
        <v>0.3</v>
      </c>
      <c r="J111" s="39">
        <v>8.6999999999999993</v>
      </c>
      <c r="K111" s="40">
        <v>477.95</v>
      </c>
      <c r="L111" s="45" t="s">
        <v>1015</v>
      </c>
      <c r="M111" s="41" t="str">
        <f>IF(MasterFees[[#This Row],[GST Basis]]="Excl",MasterFees[[#This Row],[Fee as Printed]],IF(MasterFees[[#This Row],[GST Basis]]="Incl",MasterFees[[#This Row],[Fee as Printed]]/(1+GST_Rate),""))</f>
        <v/>
      </c>
      <c r="N111" s="41" t="str">
        <f>IF(MasterFees[[#This Row],[GST Basis]]="Incl",MasterFees[[#This Row],[Fee as Printed]],IF(MasterFees[[#This Row],[GST Basis]]="Excl",MasterFees[[#This Row],[Fee as Printed]]*(1+GST_Rate),""))</f>
        <v/>
      </c>
      <c r="O111" s="42">
        <f>IF(N(MasterFees[[#This Row],[Total Units]])=0,"",MasterFees[[#This Row],[Fee as Printed]]/MasterFees[[#This Row],[Total Units]])</f>
        <v>54.936781609195407</v>
      </c>
      <c r="P111" s="43"/>
      <c r="Q111" s="46" t="s">
        <v>1013</v>
      </c>
      <c r="R111" s="46" t="s">
        <v>1219</v>
      </c>
      <c r="S111" s="37"/>
    </row>
    <row r="112" spans="1:19" x14ac:dyDescent="0.2">
      <c r="A112" s="36"/>
      <c r="B112" s="38" t="str">
        <f>IF(MasterFees[[#This Row],[RVG Code]]="","",_xlfn.XLOOKUP(MasterFees[[#This Row],[RVG Code]],RVGCodes[Code],RVGCodes[Base Units],"Code not found"))</f>
        <v/>
      </c>
      <c r="C112" s="37" t="s">
        <v>116</v>
      </c>
      <c r="D112" s="44" t="s">
        <v>1108</v>
      </c>
      <c r="E112" s="44"/>
      <c r="F112" s="44" t="s">
        <v>1109</v>
      </c>
      <c r="G112" s="39">
        <v>10</v>
      </c>
      <c r="H112" s="39">
        <v>14.8</v>
      </c>
      <c r="I112" s="39">
        <v>0.9</v>
      </c>
      <c r="J112" s="39">
        <v>25.7</v>
      </c>
      <c r="K112" s="40">
        <v>1413.5</v>
      </c>
      <c r="L112" s="45" t="s">
        <v>1015</v>
      </c>
      <c r="M112" s="41" t="str">
        <f>IF(MasterFees[[#This Row],[GST Basis]]="Excl",MasterFees[[#This Row],[Fee as Printed]],IF(MasterFees[[#This Row],[GST Basis]]="Incl",MasterFees[[#This Row],[Fee as Printed]]/(1+GST_Rate),""))</f>
        <v/>
      </c>
      <c r="N112" s="41" t="str">
        <f>IF(MasterFees[[#This Row],[GST Basis]]="Incl",MasterFees[[#This Row],[Fee as Printed]],IF(MasterFees[[#This Row],[GST Basis]]="Excl",MasterFees[[#This Row],[Fee as Printed]]*(1+GST_Rate),""))</f>
        <v/>
      </c>
      <c r="O112" s="42">
        <f>IF(N(MasterFees[[#This Row],[Total Units]])=0,"",MasterFees[[#This Row],[Fee as Printed]]/MasterFees[[#This Row],[Total Units]])</f>
        <v>55</v>
      </c>
      <c r="P112" s="43"/>
      <c r="Q112" s="46" t="s">
        <v>1013</v>
      </c>
      <c r="R112" s="46" t="s">
        <v>1220</v>
      </c>
      <c r="S112" s="37"/>
    </row>
    <row r="113" spans="1:19" x14ac:dyDescent="0.2">
      <c r="A113" s="36"/>
      <c r="B113" s="38" t="str">
        <f>IF(MasterFees[[#This Row],[RVG Code]]="","",_xlfn.XLOOKUP(MasterFees[[#This Row],[RVG Code]],RVGCodes[Code],RVGCodes[Base Units],"Code not found"))</f>
        <v/>
      </c>
      <c r="C113" s="37" t="s">
        <v>117</v>
      </c>
      <c r="D113" s="44" t="s">
        <v>1108</v>
      </c>
      <c r="E113" s="44"/>
      <c r="F113" s="44" t="s">
        <v>1109</v>
      </c>
      <c r="G113" s="39">
        <v>9.8000000000000007</v>
      </c>
      <c r="H113" s="39">
        <v>12.1</v>
      </c>
      <c r="I113" s="39">
        <v>1.8</v>
      </c>
      <c r="J113" s="39">
        <v>23.7</v>
      </c>
      <c r="K113" s="40">
        <v>1301.8499999999999</v>
      </c>
      <c r="L113" s="45" t="s">
        <v>1015</v>
      </c>
      <c r="M113" s="41" t="str">
        <f>IF(MasterFees[[#This Row],[GST Basis]]="Excl",MasterFees[[#This Row],[Fee as Printed]],IF(MasterFees[[#This Row],[GST Basis]]="Incl",MasterFees[[#This Row],[Fee as Printed]]/(1+GST_Rate),""))</f>
        <v/>
      </c>
      <c r="N113" s="41" t="str">
        <f>IF(MasterFees[[#This Row],[GST Basis]]="Incl",MasterFees[[#This Row],[Fee as Printed]],IF(MasterFees[[#This Row],[GST Basis]]="Excl",MasterFees[[#This Row],[Fee as Printed]]*(1+GST_Rate),""))</f>
        <v/>
      </c>
      <c r="O113" s="42">
        <f>IF(N(MasterFees[[#This Row],[Total Units]])=0,"",MasterFees[[#This Row],[Fee as Printed]]/MasterFees[[#This Row],[Total Units]])</f>
        <v>54.930379746835442</v>
      </c>
      <c r="P113" s="43"/>
      <c r="Q113" s="46" t="s">
        <v>1013</v>
      </c>
      <c r="R113" s="46" t="s">
        <v>1221</v>
      </c>
      <c r="S113" s="37"/>
    </row>
    <row r="114" spans="1:19" x14ac:dyDescent="0.2">
      <c r="A114" s="36"/>
      <c r="B114" s="38" t="str">
        <f>IF(MasterFees[[#This Row],[RVG Code]]="","",_xlfn.XLOOKUP(MasterFees[[#This Row],[RVG Code]],RVGCodes[Code],RVGCodes[Base Units],"Code not found"))</f>
        <v/>
      </c>
      <c r="C114" s="37" t="s">
        <v>118</v>
      </c>
      <c r="D114" s="44" t="s">
        <v>1108</v>
      </c>
      <c r="E114" s="44"/>
      <c r="F114" s="44" t="s">
        <v>1109</v>
      </c>
      <c r="G114" s="39">
        <v>4.7</v>
      </c>
      <c r="H114" s="39">
        <v>2.9</v>
      </c>
      <c r="I114" s="39">
        <v>0.3</v>
      </c>
      <c r="J114" s="39">
        <v>7.8</v>
      </c>
      <c r="K114" s="40">
        <v>431.2</v>
      </c>
      <c r="L114" s="45" t="s">
        <v>1015</v>
      </c>
      <c r="M114" s="41" t="str">
        <f>IF(MasterFees[[#This Row],[GST Basis]]="Excl",MasterFees[[#This Row],[Fee as Printed]],IF(MasterFees[[#This Row],[GST Basis]]="Incl",MasterFees[[#This Row],[Fee as Printed]]/(1+GST_Rate),""))</f>
        <v/>
      </c>
      <c r="N114" s="41" t="str">
        <f>IF(MasterFees[[#This Row],[GST Basis]]="Incl",MasterFees[[#This Row],[Fee as Printed]],IF(MasterFees[[#This Row],[GST Basis]]="Excl",MasterFees[[#This Row],[Fee as Printed]]*(1+GST_Rate),""))</f>
        <v/>
      </c>
      <c r="O114" s="42">
        <f>IF(N(MasterFees[[#This Row],[Total Units]])=0,"",MasterFees[[#This Row],[Fee as Printed]]/MasterFees[[#This Row],[Total Units]])</f>
        <v>55.282051282051285</v>
      </c>
      <c r="P114" s="43"/>
      <c r="Q114" s="46" t="s">
        <v>1013</v>
      </c>
      <c r="R114" s="46" t="s">
        <v>1222</v>
      </c>
      <c r="S114" s="37"/>
    </row>
    <row r="115" spans="1:19" x14ac:dyDescent="0.2">
      <c r="A115" s="36"/>
      <c r="B115" s="38" t="str">
        <f>IF(MasterFees[[#This Row],[RVG Code]]="","",_xlfn.XLOOKUP(MasterFees[[#This Row],[RVG Code]],RVGCodes[Code],RVGCodes[Base Units],"Code not found"))</f>
        <v/>
      </c>
      <c r="C115" s="37" t="s">
        <v>119</v>
      </c>
      <c r="D115" s="44" t="s">
        <v>1108</v>
      </c>
      <c r="E115" s="44"/>
      <c r="F115" s="44" t="s">
        <v>1109</v>
      </c>
      <c r="G115" s="39">
        <v>3.7</v>
      </c>
      <c r="H115" s="39">
        <v>2.7</v>
      </c>
      <c r="I115" s="39">
        <v>0.3</v>
      </c>
      <c r="J115" s="39">
        <v>6.7</v>
      </c>
      <c r="K115" s="40">
        <v>367.4</v>
      </c>
      <c r="L115" s="45" t="s">
        <v>1015</v>
      </c>
      <c r="M115" s="41" t="str">
        <f>IF(MasterFees[[#This Row],[GST Basis]]="Excl",MasterFees[[#This Row],[Fee as Printed]],IF(MasterFees[[#This Row],[GST Basis]]="Incl",MasterFees[[#This Row],[Fee as Printed]]/(1+GST_Rate),""))</f>
        <v/>
      </c>
      <c r="N115" s="41" t="str">
        <f>IF(MasterFees[[#This Row],[GST Basis]]="Incl",MasterFees[[#This Row],[Fee as Printed]],IF(MasterFees[[#This Row],[GST Basis]]="Excl",MasterFees[[#This Row],[Fee as Printed]]*(1+GST_Rate),""))</f>
        <v/>
      </c>
      <c r="O115" s="42">
        <f>IF(N(MasterFees[[#This Row],[Total Units]])=0,"",MasterFees[[#This Row],[Fee as Printed]]/MasterFees[[#This Row],[Total Units]])</f>
        <v>54.835820895522382</v>
      </c>
      <c r="P115" s="43"/>
      <c r="Q115" s="46" t="s">
        <v>1013</v>
      </c>
      <c r="R115" s="46" t="s">
        <v>1223</v>
      </c>
      <c r="S115" s="37"/>
    </row>
    <row r="116" spans="1:19" x14ac:dyDescent="0.2">
      <c r="A116" s="36"/>
      <c r="B116" s="38" t="str">
        <f>IF(MasterFees[[#This Row],[RVG Code]]="","",_xlfn.XLOOKUP(MasterFees[[#This Row],[RVG Code]],RVGCodes[Code],RVGCodes[Base Units],"Code not found"))</f>
        <v/>
      </c>
      <c r="C116" s="37" t="s">
        <v>120</v>
      </c>
      <c r="D116" s="44" t="s">
        <v>1108</v>
      </c>
      <c r="E116" s="44"/>
      <c r="F116" s="44" t="s">
        <v>1109</v>
      </c>
      <c r="G116" s="39">
        <v>1.8</v>
      </c>
      <c r="H116" s="39">
        <v>1.4</v>
      </c>
      <c r="I116" s="39">
        <v>0.5</v>
      </c>
      <c r="J116" s="39">
        <v>3.7</v>
      </c>
      <c r="K116" s="40">
        <v>200.75</v>
      </c>
      <c r="L116" s="45" t="s">
        <v>1015</v>
      </c>
      <c r="M116" s="41" t="str">
        <f>IF(MasterFees[[#This Row],[GST Basis]]="Excl",MasterFees[[#This Row],[Fee as Printed]],IF(MasterFees[[#This Row],[GST Basis]]="Incl",MasterFees[[#This Row],[Fee as Printed]]/(1+GST_Rate),""))</f>
        <v/>
      </c>
      <c r="N116" s="41" t="str">
        <f>IF(MasterFees[[#This Row],[GST Basis]]="Incl",MasterFees[[#This Row],[Fee as Printed]],IF(MasterFees[[#This Row],[GST Basis]]="Excl",MasterFees[[#This Row],[Fee as Printed]]*(1+GST_Rate),""))</f>
        <v/>
      </c>
      <c r="O116" s="42">
        <f>IF(N(MasterFees[[#This Row],[Total Units]])=0,"",MasterFees[[#This Row],[Fee as Printed]]/MasterFees[[#This Row],[Total Units]])</f>
        <v>54.256756756756751</v>
      </c>
      <c r="P116" s="43"/>
      <c r="Q116" s="46" t="s">
        <v>1013</v>
      </c>
      <c r="R116" s="46" t="s">
        <v>1224</v>
      </c>
      <c r="S116" s="37"/>
    </row>
    <row r="117" spans="1:19" x14ac:dyDescent="0.2">
      <c r="A117" s="36"/>
      <c r="B117" s="38" t="str">
        <f>IF(MasterFees[[#This Row],[RVG Code]]="","",_xlfn.XLOOKUP(MasterFees[[#This Row],[RVG Code]],RVGCodes[Code],RVGCodes[Base Units],"Code not found"))</f>
        <v/>
      </c>
      <c r="C117" s="37" t="s">
        <v>121</v>
      </c>
      <c r="D117" s="44" t="s">
        <v>1108</v>
      </c>
      <c r="E117" s="44"/>
      <c r="F117" s="44" t="s">
        <v>1109</v>
      </c>
      <c r="G117" s="39">
        <v>3.9</v>
      </c>
      <c r="H117" s="39">
        <v>3.3</v>
      </c>
      <c r="I117" s="39">
        <v>0.4</v>
      </c>
      <c r="J117" s="39">
        <v>7.5</v>
      </c>
      <c r="K117" s="40">
        <v>413.6</v>
      </c>
      <c r="L117" s="45" t="s">
        <v>1015</v>
      </c>
      <c r="M117" s="41" t="str">
        <f>IF(MasterFees[[#This Row],[GST Basis]]="Excl",MasterFees[[#This Row],[Fee as Printed]],IF(MasterFees[[#This Row],[GST Basis]]="Incl",MasterFees[[#This Row],[Fee as Printed]]/(1+GST_Rate),""))</f>
        <v/>
      </c>
      <c r="N117" s="41" t="str">
        <f>IF(MasterFees[[#This Row],[GST Basis]]="Incl",MasterFees[[#This Row],[Fee as Printed]],IF(MasterFees[[#This Row],[GST Basis]]="Excl",MasterFees[[#This Row],[Fee as Printed]]*(1+GST_Rate),""))</f>
        <v/>
      </c>
      <c r="O117" s="42">
        <f>IF(N(MasterFees[[#This Row],[Total Units]])=0,"",MasterFees[[#This Row],[Fee as Printed]]/MasterFees[[#This Row],[Total Units]])</f>
        <v>55.146666666666668</v>
      </c>
      <c r="P117" s="43"/>
      <c r="Q117" s="46" t="s">
        <v>1013</v>
      </c>
      <c r="R117" s="46" t="s">
        <v>1225</v>
      </c>
      <c r="S117" s="37"/>
    </row>
    <row r="118" spans="1:19" x14ac:dyDescent="0.2">
      <c r="A118" s="36"/>
      <c r="B118" s="38" t="str">
        <f>IF(MasterFees[[#This Row],[RVG Code]]="","",_xlfn.XLOOKUP(MasterFees[[#This Row],[RVG Code]],RVGCodes[Code],RVGCodes[Base Units],"Code not found"))</f>
        <v/>
      </c>
      <c r="C118" s="37" t="s">
        <v>122</v>
      </c>
      <c r="D118" s="44" t="s">
        <v>1108</v>
      </c>
      <c r="E118" s="44"/>
      <c r="F118" s="44" t="s">
        <v>1109</v>
      </c>
      <c r="G118" s="39">
        <v>3.1</v>
      </c>
      <c r="H118" s="39">
        <v>2.6</v>
      </c>
      <c r="I118" s="39">
        <v>0.3</v>
      </c>
      <c r="J118" s="39">
        <v>6</v>
      </c>
      <c r="K118" s="40">
        <v>328.9</v>
      </c>
      <c r="L118" s="45" t="s">
        <v>1015</v>
      </c>
      <c r="M118" s="41" t="str">
        <f>IF(MasterFees[[#This Row],[GST Basis]]="Excl",MasterFees[[#This Row],[Fee as Printed]],IF(MasterFees[[#This Row],[GST Basis]]="Incl",MasterFees[[#This Row],[Fee as Printed]]/(1+GST_Rate),""))</f>
        <v/>
      </c>
      <c r="N118" s="41" t="str">
        <f>IF(MasterFees[[#This Row],[GST Basis]]="Incl",MasterFees[[#This Row],[Fee as Printed]],IF(MasterFees[[#This Row],[GST Basis]]="Excl",MasterFees[[#This Row],[Fee as Printed]]*(1+GST_Rate),""))</f>
        <v/>
      </c>
      <c r="O118" s="42">
        <f>IF(N(MasterFees[[#This Row],[Total Units]])=0,"",MasterFees[[#This Row],[Fee as Printed]]/MasterFees[[#This Row],[Total Units]])</f>
        <v>54.816666666666663</v>
      </c>
      <c r="P118" s="43"/>
      <c r="Q118" s="46" t="s">
        <v>1013</v>
      </c>
      <c r="R118" s="46" t="s">
        <v>1226</v>
      </c>
      <c r="S118" s="37"/>
    </row>
    <row r="119" spans="1:19" x14ac:dyDescent="0.2">
      <c r="A119" s="36"/>
      <c r="B119" s="38" t="str">
        <f>IF(MasterFees[[#This Row],[RVG Code]]="","",_xlfn.XLOOKUP(MasterFees[[#This Row],[RVG Code]],RVGCodes[Code],RVGCodes[Base Units],"Code not found"))</f>
        <v/>
      </c>
      <c r="C119" s="37" t="s">
        <v>119</v>
      </c>
      <c r="D119" s="44" t="s">
        <v>1108</v>
      </c>
      <c r="E119" s="44"/>
      <c r="F119" s="44" t="s">
        <v>1109</v>
      </c>
      <c r="G119" s="39">
        <v>3.2</v>
      </c>
      <c r="H119" s="39">
        <v>2.6</v>
      </c>
      <c r="I119" s="39">
        <v>0.3</v>
      </c>
      <c r="J119" s="39">
        <v>6.2</v>
      </c>
      <c r="K119" s="40">
        <v>338.25</v>
      </c>
      <c r="L119" s="45" t="s">
        <v>1015</v>
      </c>
      <c r="M119" s="41" t="str">
        <f>IF(MasterFees[[#This Row],[GST Basis]]="Excl",MasterFees[[#This Row],[Fee as Printed]],IF(MasterFees[[#This Row],[GST Basis]]="Incl",MasterFees[[#This Row],[Fee as Printed]]/(1+GST_Rate),""))</f>
        <v/>
      </c>
      <c r="N119" s="41" t="str">
        <f>IF(MasterFees[[#This Row],[GST Basis]]="Incl",MasterFees[[#This Row],[Fee as Printed]],IF(MasterFees[[#This Row],[GST Basis]]="Excl",MasterFees[[#This Row],[Fee as Printed]]*(1+GST_Rate),""))</f>
        <v/>
      </c>
      <c r="O119" s="42">
        <f>IF(N(MasterFees[[#This Row],[Total Units]])=0,"",MasterFees[[#This Row],[Fee as Printed]]/MasterFees[[#This Row],[Total Units]])</f>
        <v>54.556451612903224</v>
      </c>
      <c r="P119" s="43"/>
      <c r="Q119" s="46" t="s">
        <v>1013</v>
      </c>
      <c r="R119" s="46" t="s">
        <v>1227</v>
      </c>
      <c r="S119" s="37"/>
    </row>
    <row r="120" spans="1:19" x14ac:dyDescent="0.2">
      <c r="A120" s="36"/>
      <c r="B120" s="38" t="str">
        <f>IF(MasterFees[[#This Row],[RVG Code]]="","",_xlfn.XLOOKUP(MasterFees[[#This Row],[RVG Code]],RVGCodes[Code],RVGCodes[Base Units],"Code not found"))</f>
        <v/>
      </c>
      <c r="C120" s="37" t="s">
        <v>123</v>
      </c>
      <c r="D120" s="44" t="s">
        <v>1108</v>
      </c>
      <c r="E120" s="44"/>
      <c r="F120" s="44" t="s">
        <v>1109</v>
      </c>
      <c r="G120" s="39">
        <v>4</v>
      </c>
      <c r="H120" s="39">
        <v>1.4</v>
      </c>
      <c r="I120" s="39">
        <v>0.3</v>
      </c>
      <c r="J120" s="39">
        <v>5.6</v>
      </c>
      <c r="K120" s="40">
        <v>310.2</v>
      </c>
      <c r="L120" s="45" t="s">
        <v>1015</v>
      </c>
      <c r="M120" s="41" t="str">
        <f>IF(MasterFees[[#This Row],[GST Basis]]="Excl",MasterFees[[#This Row],[Fee as Printed]],IF(MasterFees[[#This Row],[GST Basis]]="Incl",MasterFees[[#This Row],[Fee as Printed]]/(1+GST_Rate),""))</f>
        <v/>
      </c>
      <c r="N120" s="41" t="str">
        <f>IF(MasterFees[[#This Row],[GST Basis]]="Incl",MasterFees[[#This Row],[Fee as Printed]],IF(MasterFees[[#This Row],[GST Basis]]="Excl",MasterFees[[#This Row],[Fee as Printed]]*(1+GST_Rate),""))</f>
        <v/>
      </c>
      <c r="O120" s="42">
        <f>IF(N(MasterFees[[#This Row],[Total Units]])=0,"",MasterFees[[#This Row],[Fee as Printed]]/MasterFees[[#This Row],[Total Units]])</f>
        <v>55.392857142857146</v>
      </c>
      <c r="P120" s="43"/>
      <c r="Q120" s="46" t="s">
        <v>1013</v>
      </c>
      <c r="R120" s="46" t="s">
        <v>1228</v>
      </c>
      <c r="S120" s="37"/>
    </row>
    <row r="121" spans="1:19" x14ac:dyDescent="0.2">
      <c r="A121" s="36"/>
      <c r="B121" s="38" t="str">
        <f>IF(MasterFees[[#This Row],[RVG Code]]="","",_xlfn.XLOOKUP(MasterFees[[#This Row],[RVG Code]],RVGCodes[Code],RVGCodes[Base Units],"Code not found"))</f>
        <v/>
      </c>
      <c r="C121" s="37" t="s">
        <v>124</v>
      </c>
      <c r="D121" s="44" t="s">
        <v>1108</v>
      </c>
      <c r="E121" s="44"/>
      <c r="F121" s="44" t="s">
        <v>1109</v>
      </c>
      <c r="G121" s="39">
        <v>4</v>
      </c>
      <c r="H121" s="39">
        <v>1.4</v>
      </c>
      <c r="I121" s="39">
        <v>0.4</v>
      </c>
      <c r="J121" s="39">
        <v>5.8</v>
      </c>
      <c r="K121" s="40">
        <v>317.89999999999998</v>
      </c>
      <c r="L121" s="45" t="s">
        <v>1015</v>
      </c>
      <c r="M121" s="41" t="str">
        <f>IF(MasterFees[[#This Row],[GST Basis]]="Excl",MasterFees[[#This Row],[Fee as Printed]],IF(MasterFees[[#This Row],[GST Basis]]="Incl",MasterFees[[#This Row],[Fee as Printed]]/(1+GST_Rate),""))</f>
        <v/>
      </c>
      <c r="N121" s="41" t="str">
        <f>IF(MasterFees[[#This Row],[GST Basis]]="Incl",MasterFees[[#This Row],[Fee as Printed]],IF(MasterFees[[#This Row],[GST Basis]]="Excl",MasterFees[[#This Row],[Fee as Printed]]*(1+GST_Rate),""))</f>
        <v/>
      </c>
      <c r="O121" s="42">
        <f>IF(N(MasterFees[[#This Row],[Total Units]])=0,"",MasterFees[[#This Row],[Fee as Printed]]/MasterFees[[#This Row],[Total Units]])</f>
        <v>54.810344827586206</v>
      </c>
      <c r="P121" s="43"/>
      <c r="Q121" s="46" t="s">
        <v>1013</v>
      </c>
      <c r="R121" s="46" t="s">
        <v>1229</v>
      </c>
      <c r="S121" s="37"/>
    </row>
    <row r="122" spans="1:19" x14ac:dyDescent="0.2">
      <c r="A122" s="36"/>
      <c r="B122" s="38" t="str">
        <f>IF(MasterFees[[#This Row],[RVG Code]]="","",_xlfn.XLOOKUP(MasterFees[[#This Row],[RVG Code]],RVGCodes[Code],RVGCodes[Base Units],"Code not found"))</f>
        <v/>
      </c>
      <c r="C122" s="37" t="s">
        <v>125</v>
      </c>
      <c r="D122" s="44" t="s">
        <v>1108</v>
      </c>
      <c r="E122" s="44"/>
      <c r="F122" s="44" t="s">
        <v>1109</v>
      </c>
      <c r="G122" s="39">
        <v>4.9000000000000004</v>
      </c>
      <c r="H122" s="39">
        <v>2.2999999999999998</v>
      </c>
      <c r="I122" s="39">
        <v>0.3</v>
      </c>
      <c r="J122" s="39">
        <v>7.5</v>
      </c>
      <c r="K122" s="40">
        <v>413.6</v>
      </c>
      <c r="L122" s="45" t="s">
        <v>1015</v>
      </c>
      <c r="M122" s="41" t="str">
        <f>IF(MasterFees[[#This Row],[GST Basis]]="Excl",MasterFees[[#This Row],[Fee as Printed]],IF(MasterFees[[#This Row],[GST Basis]]="Incl",MasterFees[[#This Row],[Fee as Printed]]/(1+GST_Rate),""))</f>
        <v/>
      </c>
      <c r="N122" s="41" t="str">
        <f>IF(MasterFees[[#This Row],[GST Basis]]="Incl",MasterFees[[#This Row],[Fee as Printed]],IF(MasterFees[[#This Row],[GST Basis]]="Excl",MasterFees[[#This Row],[Fee as Printed]]*(1+GST_Rate),""))</f>
        <v/>
      </c>
      <c r="O122" s="42">
        <f>IF(N(MasterFees[[#This Row],[Total Units]])=0,"",MasterFees[[#This Row],[Fee as Printed]]/MasterFees[[#This Row],[Total Units]])</f>
        <v>55.146666666666668</v>
      </c>
      <c r="P122" s="43"/>
      <c r="Q122" s="46" t="s">
        <v>1013</v>
      </c>
      <c r="R122" s="46" t="s">
        <v>1230</v>
      </c>
      <c r="S122" s="37"/>
    </row>
    <row r="123" spans="1:19" x14ac:dyDescent="0.2">
      <c r="A123" s="36"/>
      <c r="B123" s="38" t="str">
        <f>IF(MasterFees[[#This Row],[RVG Code]]="","",_xlfn.XLOOKUP(MasterFees[[#This Row],[RVG Code]],RVGCodes[Code],RVGCodes[Base Units],"Code not found"))</f>
        <v/>
      </c>
      <c r="C123" s="37" t="s">
        <v>126</v>
      </c>
      <c r="D123" s="44" t="s">
        <v>1108</v>
      </c>
      <c r="E123" s="44"/>
      <c r="F123" s="44" t="s">
        <v>1109</v>
      </c>
      <c r="G123" s="39">
        <v>4</v>
      </c>
      <c r="H123" s="39">
        <v>1.5</v>
      </c>
      <c r="I123" s="39">
        <v>0.3</v>
      </c>
      <c r="J123" s="39">
        <v>5.8</v>
      </c>
      <c r="K123" s="40">
        <v>316.25</v>
      </c>
      <c r="L123" s="45" t="s">
        <v>1015</v>
      </c>
      <c r="M123" s="41" t="str">
        <f>IF(MasterFees[[#This Row],[GST Basis]]="Excl",MasterFees[[#This Row],[Fee as Printed]],IF(MasterFees[[#This Row],[GST Basis]]="Incl",MasterFees[[#This Row],[Fee as Printed]]/(1+GST_Rate),""))</f>
        <v/>
      </c>
      <c r="N123" s="41" t="str">
        <f>IF(MasterFees[[#This Row],[GST Basis]]="Incl",MasterFees[[#This Row],[Fee as Printed]],IF(MasterFees[[#This Row],[GST Basis]]="Excl",MasterFees[[#This Row],[Fee as Printed]]*(1+GST_Rate),""))</f>
        <v/>
      </c>
      <c r="O123" s="42">
        <f>IF(N(MasterFees[[#This Row],[Total Units]])=0,"",MasterFees[[#This Row],[Fee as Printed]]/MasterFees[[#This Row],[Total Units]])</f>
        <v>54.525862068965516</v>
      </c>
      <c r="P123" s="43"/>
      <c r="Q123" s="46" t="s">
        <v>1013</v>
      </c>
      <c r="R123" s="46" t="s">
        <v>1231</v>
      </c>
      <c r="S123" s="37"/>
    </row>
    <row r="124" spans="1:19" x14ac:dyDescent="0.2">
      <c r="A124" s="36"/>
      <c r="B124" s="38" t="str">
        <f>IF(MasterFees[[#This Row],[RVG Code]]="","",_xlfn.XLOOKUP(MasterFees[[#This Row],[RVG Code]],RVGCodes[Code],RVGCodes[Base Units],"Code not found"))</f>
        <v/>
      </c>
      <c r="C124" s="37" t="s">
        <v>127</v>
      </c>
      <c r="D124" s="44" t="s">
        <v>1108</v>
      </c>
      <c r="E124" s="44"/>
      <c r="F124" s="44" t="s">
        <v>1109</v>
      </c>
      <c r="G124" s="39">
        <v>5</v>
      </c>
      <c r="H124" s="39">
        <v>2.5</v>
      </c>
      <c r="I124" s="39">
        <v>0.3</v>
      </c>
      <c r="J124" s="39">
        <v>7.8</v>
      </c>
      <c r="K124" s="40">
        <v>426.25</v>
      </c>
      <c r="L124" s="45" t="s">
        <v>1015</v>
      </c>
      <c r="M124" s="41" t="str">
        <f>IF(MasterFees[[#This Row],[GST Basis]]="Excl",MasterFees[[#This Row],[Fee as Printed]],IF(MasterFees[[#This Row],[GST Basis]]="Incl",MasterFees[[#This Row],[Fee as Printed]]/(1+GST_Rate),""))</f>
        <v/>
      </c>
      <c r="N124" s="41" t="str">
        <f>IF(MasterFees[[#This Row],[GST Basis]]="Incl",MasterFees[[#This Row],[Fee as Printed]],IF(MasterFees[[#This Row],[GST Basis]]="Excl",MasterFees[[#This Row],[Fee as Printed]]*(1+GST_Rate),""))</f>
        <v/>
      </c>
      <c r="O124" s="42">
        <f>IF(N(MasterFees[[#This Row],[Total Units]])=0,"",MasterFees[[#This Row],[Fee as Printed]]/MasterFees[[#This Row],[Total Units]])</f>
        <v>54.647435897435898</v>
      </c>
      <c r="P124" s="43"/>
      <c r="Q124" s="46" t="s">
        <v>1013</v>
      </c>
      <c r="R124" s="46" t="s">
        <v>1232</v>
      </c>
      <c r="S124" s="37"/>
    </row>
    <row r="125" spans="1:19" x14ac:dyDescent="0.2">
      <c r="A125" s="36"/>
      <c r="B125" s="38" t="str">
        <f>IF(MasterFees[[#This Row],[RVG Code]]="","",_xlfn.XLOOKUP(MasterFees[[#This Row],[RVG Code]],RVGCodes[Code],RVGCodes[Base Units],"Code not found"))</f>
        <v/>
      </c>
      <c r="C125" s="37" t="s">
        <v>128</v>
      </c>
      <c r="D125" s="44" t="s">
        <v>1108</v>
      </c>
      <c r="E125" s="44"/>
      <c r="F125" s="44" t="s">
        <v>1109</v>
      </c>
      <c r="G125" s="39">
        <v>12</v>
      </c>
      <c r="H125" s="39">
        <v>12.9</v>
      </c>
      <c r="I125" s="39">
        <v>1.1000000000000001</v>
      </c>
      <c r="J125" s="39">
        <v>26</v>
      </c>
      <c r="K125" s="40">
        <v>1429.45</v>
      </c>
      <c r="L125" s="45" t="s">
        <v>1015</v>
      </c>
      <c r="M125" s="41" t="str">
        <f>IF(MasterFees[[#This Row],[GST Basis]]="Excl",MasterFees[[#This Row],[Fee as Printed]],IF(MasterFees[[#This Row],[GST Basis]]="Incl",MasterFees[[#This Row],[Fee as Printed]]/(1+GST_Rate),""))</f>
        <v/>
      </c>
      <c r="N125" s="41" t="str">
        <f>IF(MasterFees[[#This Row],[GST Basis]]="Incl",MasterFees[[#This Row],[Fee as Printed]],IF(MasterFees[[#This Row],[GST Basis]]="Excl",MasterFees[[#This Row],[Fee as Printed]]*(1+GST_Rate),""))</f>
        <v/>
      </c>
      <c r="O125" s="42">
        <f>IF(N(MasterFees[[#This Row],[Total Units]])=0,"",MasterFees[[#This Row],[Fee as Printed]]/MasterFees[[#This Row],[Total Units]])</f>
        <v>54.978846153846156</v>
      </c>
      <c r="P125" s="43"/>
      <c r="Q125" s="46" t="s">
        <v>1013</v>
      </c>
      <c r="R125" s="46" t="s">
        <v>1233</v>
      </c>
      <c r="S125" s="37"/>
    </row>
    <row r="126" spans="1:19" x14ac:dyDescent="0.2">
      <c r="A126" s="36"/>
      <c r="B126" s="38" t="str">
        <f>IF(MasterFees[[#This Row],[RVG Code]]="","",_xlfn.XLOOKUP(MasterFees[[#This Row],[RVG Code]],RVGCodes[Code],RVGCodes[Base Units],"Code not found"))</f>
        <v/>
      </c>
      <c r="C126" s="37" t="s">
        <v>129</v>
      </c>
      <c r="D126" s="44" t="s">
        <v>1108</v>
      </c>
      <c r="E126" s="44"/>
      <c r="F126" s="44" t="s">
        <v>1109</v>
      </c>
      <c r="G126" s="39">
        <v>5</v>
      </c>
      <c r="H126" s="39">
        <v>2</v>
      </c>
      <c r="I126" s="39">
        <v>1</v>
      </c>
      <c r="J126" s="39">
        <v>8</v>
      </c>
      <c r="K126" s="40">
        <v>440</v>
      </c>
      <c r="L126" s="45" t="s">
        <v>1015</v>
      </c>
      <c r="M126" s="41" t="str">
        <f>IF(MasterFees[[#This Row],[GST Basis]]="Excl",MasterFees[[#This Row],[Fee as Printed]],IF(MasterFees[[#This Row],[GST Basis]]="Incl",MasterFees[[#This Row],[Fee as Printed]]/(1+GST_Rate),""))</f>
        <v/>
      </c>
      <c r="N126" s="41" t="str">
        <f>IF(MasterFees[[#This Row],[GST Basis]]="Incl",MasterFees[[#This Row],[Fee as Printed]],IF(MasterFees[[#This Row],[GST Basis]]="Excl",MasterFees[[#This Row],[Fee as Printed]]*(1+GST_Rate),""))</f>
        <v/>
      </c>
      <c r="O126" s="42">
        <f>IF(N(MasterFees[[#This Row],[Total Units]])=0,"",MasterFees[[#This Row],[Fee as Printed]]/MasterFees[[#This Row],[Total Units]])</f>
        <v>55</v>
      </c>
      <c r="P126" s="43"/>
      <c r="Q126" s="46" t="s">
        <v>1013</v>
      </c>
      <c r="R126" s="46" t="s">
        <v>1234</v>
      </c>
      <c r="S126" s="37"/>
    </row>
    <row r="127" spans="1:19" x14ac:dyDescent="0.2">
      <c r="A127" s="36"/>
      <c r="B127" s="38" t="str">
        <f>IF(MasterFees[[#This Row],[RVG Code]]="","",_xlfn.XLOOKUP(MasterFees[[#This Row],[RVG Code]],RVGCodes[Code],RVGCodes[Base Units],"Code not found"))</f>
        <v/>
      </c>
      <c r="C127" s="37" t="s">
        <v>130</v>
      </c>
      <c r="D127" s="44" t="s">
        <v>1108</v>
      </c>
      <c r="E127" s="44"/>
      <c r="F127" s="44" t="s">
        <v>1109</v>
      </c>
      <c r="G127" s="39">
        <v>3</v>
      </c>
      <c r="H127" s="39">
        <v>2</v>
      </c>
      <c r="I127" s="39">
        <v>1</v>
      </c>
      <c r="J127" s="39">
        <v>6</v>
      </c>
      <c r="K127" s="40">
        <v>330</v>
      </c>
      <c r="L127" s="45" t="s">
        <v>1015</v>
      </c>
      <c r="M127" s="41" t="str">
        <f>IF(MasterFees[[#This Row],[GST Basis]]="Excl",MasterFees[[#This Row],[Fee as Printed]],IF(MasterFees[[#This Row],[GST Basis]]="Incl",MasterFees[[#This Row],[Fee as Printed]]/(1+GST_Rate),""))</f>
        <v/>
      </c>
      <c r="N127" s="41" t="str">
        <f>IF(MasterFees[[#This Row],[GST Basis]]="Incl",MasterFees[[#This Row],[Fee as Printed]],IF(MasterFees[[#This Row],[GST Basis]]="Excl",MasterFees[[#This Row],[Fee as Printed]]*(1+GST_Rate),""))</f>
        <v/>
      </c>
      <c r="O127" s="42">
        <f>IF(N(MasterFees[[#This Row],[Total Units]])=0,"",MasterFees[[#This Row],[Fee as Printed]]/MasterFees[[#This Row],[Total Units]])</f>
        <v>55</v>
      </c>
      <c r="P127" s="43"/>
      <c r="Q127" s="46" t="s">
        <v>1013</v>
      </c>
      <c r="R127" s="46" t="s">
        <v>1235</v>
      </c>
      <c r="S127" s="37"/>
    </row>
    <row r="128" spans="1:19" x14ac:dyDescent="0.2">
      <c r="A128" s="36"/>
      <c r="B128" s="38" t="str">
        <f>IF(MasterFees[[#This Row],[RVG Code]]="","",_xlfn.XLOOKUP(MasterFees[[#This Row],[RVG Code]],RVGCodes[Code],RVGCodes[Base Units],"Code not found"))</f>
        <v/>
      </c>
      <c r="C128" s="37" t="s">
        <v>131</v>
      </c>
      <c r="D128" s="44" t="s">
        <v>1108</v>
      </c>
      <c r="E128" s="44"/>
      <c r="F128" s="44" t="s">
        <v>1109</v>
      </c>
      <c r="G128" s="39">
        <v>5.5</v>
      </c>
      <c r="H128" s="39">
        <v>5</v>
      </c>
      <c r="I128" s="39">
        <v>0</v>
      </c>
      <c r="J128" s="39">
        <v>10.5</v>
      </c>
      <c r="K128" s="40">
        <v>577.5</v>
      </c>
      <c r="L128" s="45" t="s">
        <v>1015</v>
      </c>
      <c r="M128" s="41" t="str">
        <f>IF(MasterFees[[#This Row],[GST Basis]]="Excl",MasterFees[[#This Row],[Fee as Printed]],IF(MasterFees[[#This Row],[GST Basis]]="Incl",MasterFees[[#This Row],[Fee as Printed]]/(1+GST_Rate),""))</f>
        <v/>
      </c>
      <c r="N128" s="41" t="str">
        <f>IF(MasterFees[[#This Row],[GST Basis]]="Incl",MasterFees[[#This Row],[Fee as Printed]],IF(MasterFees[[#This Row],[GST Basis]]="Excl",MasterFees[[#This Row],[Fee as Printed]]*(1+GST_Rate),""))</f>
        <v/>
      </c>
      <c r="O128" s="42">
        <f>IF(N(MasterFees[[#This Row],[Total Units]])=0,"",MasterFees[[#This Row],[Fee as Printed]]/MasterFees[[#This Row],[Total Units]])</f>
        <v>55</v>
      </c>
      <c r="P128" s="43"/>
      <c r="Q128" s="46" t="s">
        <v>1013</v>
      </c>
      <c r="R128" s="46" t="s">
        <v>1236</v>
      </c>
      <c r="S128" s="37"/>
    </row>
    <row r="129" spans="1:19" x14ac:dyDescent="0.2">
      <c r="A129" s="36"/>
      <c r="B129" s="38" t="str">
        <f>IF(MasterFees[[#This Row],[RVG Code]]="","",_xlfn.XLOOKUP(MasterFees[[#This Row],[RVG Code]],RVGCodes[Code],RVGCodes[Base Units],"Code not found"))</f>
        <v/>
      </c>
      <c r="C129" s="37" t="s">
        <v>132</v>
      </c>
      <c r="D129" s="44" t="s">
        <v>1108</v>
      </c>
      <c r="E129" s="44"/>
      <c r="F129" s="44" t="s">
        <v>1109</v>
      </c>
      <c r="G129" s="39">
        <v>4.4000000000000004</v>
      </c>
      <c r="H129" s="39">
        <v>2.7</v>
      </c>
      <c r="I129" s="39">
        <v>1</v>
      </c>
      <c r="J129" s="39">
        <v>8</v>
      </c>
      <c r="K129" s="40">
        <v>441.65</v>
      </c>
      <c r="L129" s="45" t="s">
        <v>1015</v>
      </c>
      <c r="M129" s="41" t="str">
        <f>IF(MasterFees[[#This Row],[GST Basis]]="Excl",MasterFees[[#This Row],[Fee as Printed]],IF(MasterFees[[#This Row],[GST Basis]]="Incl",MasterFees[[#This Row],[Fee as Printed]]/(1+GST_Rate),""))</f>
        <v/>
      </c>
      <c r="N129" s="41" t="str">
        <f>IF(MasterFees[[#This Row],[GST Basis]]="Incl",MasterFees[[#This Row],[Fee as Printed]],IF(MasterFees[[#This Row],[GST Basis]]="Excl",MasterFees[[#This Row],[Fee as Printed]]*(1+GST_Rate),""))</f>
        <v/>
      </c>
      <c r="O129" s="42">
        <f>IF(N(MasterFees[[#This Row],[Total Units]])=0,"",MasterFees[[#This Row],[Fee as Printed]]/MasterFees[[#This Row],[Total Units]])</f>
        <v>55.206249999999997</v>
      </c>
      <c r="P129" s="43"/>
      <c r="Q129" s="46" t="s">
        <v>1013</v>
      </c>
      <c r="R129" s="46" t="s">
        <v>1237</v>
      </c>
      <c r="S129" s="37"/>
    </row>
    <row r="130" spans="1:19" x14ac:dyDescent="0.2">
      <c r="A130" s="36"/>
      <c r="B130" s="38" t="str">
        <f>IF(MasterFees[[#This Row],[RVG Code]]="","",_xlfn.XLOOKUP(MasterFees[[#This Row],[RVG Code]],RVGCodes[Code],RVGCodes[Base Units],"Code not found"))</f>
        <v/>
      </c>
      <c r="C130" s="37" t="s">
        <v>133</v>
      </c>
      <c r="D130" s="44" t="s">
        <v>1108</v>
      </c>
      <c r="E130" s="44"/>
      <c r="F130" s="44" t="s">
        <v>1109</v>
      </c>
      <c r="G130" s="39">
        <v>0</v>
      </c>
      <c r="H130" s="39">
        <v>0</v>
      </c>
      <c r="I130" s="39">
        <v>0</v>
      </c>
      <c r="J130" s="39">
        <v>0</v>
      </c>
      <c r="K130" s="40">
        <v>0</v>
      </c>
      <c r="L130" s="45" t="s">
        <v>1015</v>
      </c>
      <c r="M130" s="41" t="str">
        <f>IF(MasterFees[[#This Row],[GST Basis]]="Excl",MasterFees[[#This Row],[Fee as Printed]],IF(MasterFees[[#This Row],[GST Basis]]="Incl",MasterFees[[#This Row],[Fee as Printed]]/(1+GST_Rate),""))</f>
        <v/>
      </c>
      <c r="N130" s="41" t="str">
        <f>IF(MasterFees[[#This Row],[GST Basis]]="Incl",MasterFees[[#This Row],[Fee as Printed]],IF(MasterFees[[#This Row],[GST Basis]]="Excl",MasterFees[[#This Row],[Fee as Printed]]*(1+GST_Rate),""))</f>
        <v/>
      </c>
      <c r="O130" s="42" t="str">
        <f>IF(N(MasterFees[[#This Row],[Total Units]])=0,"",MasterFees[[#This Row],[Fee as Printed]]/MasterFees[[#This Row],[Total Units]])</f>
        <v/>
      </c>
      <c r="P130" s="43"/>
      <c r="Q130" s="46" t="s">
        <v>1013</v>
      </c>
      <c r="R130" s="46" t="s">
        <v>1238</v>
      </c>
      <c r="S130" s="37"/>
    </row>
    <row r="131" spans="1:19" x14ac:dyDescent="0.2">
      <c r="A131" s="36"/>
      <c r="B131" s="38" t="str">
        <f>IF(MasterFees[[#This Row],[RVG Code]]="","",_xlfn.XLOOKUP(MasterFees[[#This Row],[RVG Code]],RVGCodes[Code],RVGCodes[Base Units],"Code not found"))</f>
        <v/>
      </c>
      <c r="C131" s="37" t="s">
        <v>134</v>
      </c>
      <c r="D131" s="44" t="s">
        <v>1108</v>
      </c>
      <c r="E131" s="44"/>
      <c r="F131" s="44" t="s">
        <v>1109</v>
      </c>
      <c r="G131" s="39">
        <v>3</v>
      </c>
      <c r="H131" s="39">
        <v>1</v>
      </c>
      <c r="I131" s="39">
        <v>1</v>
      </c>
      <c r="J131" s="39">
        <v>5</v>
      </c>
      <c r="K131" s="40">
        <v>275</v>
      </c>
      <c r="L131" s="45" t="s">
        <v>1015</v>
      </c>
      <c r="M131" s="41" t="str">
        <f>IF(MasterFees[[#This Row],[GST Basis]]="Excl",MasterFees[[#This Row],[Fee as Printed]],IF(MasterFees[[#This Row],[GST Basis]]="Incl",MasterFees[[#This Row],[Fee as Printed]]/(1+GST_Rate),""))</f>
        <v/>
      </c>
      <c r="N131" s="41" t="str">
        <f>IF(MasterFees[[#This Row],[GST Basis]]="Incl",MasterFees[[#This Row],[Fee as Printed]],IF(MasterFees[[#This Row],[GST Basis]]="Excl",MasterFees[[#This Row],[Fee as Printed]]*(1+GST_Rate),""))</f>
        <v/>
      </c>
      <c r="O131" s="42">
        <f>IF(N(MasterFees[[#This Row],[Total Units]])=0,"",MasterFees[[#This Row],[Fee as Printed]]/MasterFees[[#This Row],[Total Units]])</f>
        <v>55</v>
      </c>
      <c r="P131" s="43"/>
      <c r="Q131" s="46" t="s">
        <v>1013</v>
      </c>
      <c r="R131" s="46" t="s">
        <v>1239</v>
      </c>
      <c r="S131" s="37"/>
    </row>
    <row r="132" spans="1:19" x14ac:dyDescent="0.2">
      <c r="A132" s="36"/>
      <c r="B132" s="38" t="str">
        <f>IF(MasterFees[[#This Row],[RVG Code]]="","",_xlfn.XLOOKUP(MasterFees[[#This Row],[RVG Code]],RVGCodes[Code],RVGCodes[Base Units],"Code not found"))</f>
        <v/>
      </c>
      <c r="C132" s="37" t="s">
        <v>135</v>
      </c>
      <c r="D132" s="44" t="s">
        <v>1108</v>
      </c>
      <c r="E132" s="44"/>
      <c r="F132" s="44" t="s">
        <v>1109</v>
      </c>
      <c r="G132" s="39">
        <v>0</v>
      </c>
      <c r="H132" s="39">
        <v>1.3</v>
      </c>
      <c r="I132" s="39">
        <v>0</v>
      </c>
      <c r="J132" s="39">
        <v>1.3</v>
      </c>
      <c r="K132" s="40">
        <v>73.150000000000006</v>
      </c>
      <c r="L132" s="45" t="s">
        <v>1015</v>
      </c>
      <c r="M132" s="41" t="str">
        <f>IF(MasterFees[[#This Row],[GST Basis]]="Excl",MasterFees[[#This Row],[Fee as Printed]],IF(MasterFees[[#This Row],[GST Basis]]="Incl",MasterFees[[#This Row],[Fee as Printed]]/(1+GST_Rate),""))</f>
        <v/>
      </c>
      <c r="N132" s="41" t="str">
        <f>IF(MasterFees[[#This Row],[GST Basis]]="Incl",MasterFees[[#This Row],[Fee as Printed]],IF(MasterFees[[#This Row],[GST Basis]]="Excl",MasterFees[[#This Row],[Fee as Printed]]*(1+GST_Rate),""))</f>
        <v/>
      </c>
      <c r="O132" s="42">
        <f>IF(N(MasterFees[[#This Row],[Total Units]])=0,"",MasterFees[[#This Row],[Fee as Printed]]/MasterFees[[#This Row],[Total Units]])</f>
        <v>56.269230769230774</v>
      </c>
      <c r="P132" s="43"/>
      <c r="Q132" s="46" t="s">
        <v>1013</v>
      </c>
      <c r="R132" s="46" t="s">
        <v>1240</v>
      </c>
      <c r="S132" s="37"/>
    </row>
    <row r="133" spans="1:19" x14ac:dyDescent="0.2">
      <c r="A133" s="36"/>
      <c r="B133" s="38" t="str">
        <f>IF(MasterFees[[#This Row],[RVG Code]]="","",_xlfn.XLOOKUP(MasterFees[[#This Row],[RVG Code]],RVGCodes[Code],RVGCodes[Base Units],"Code not found"))</f>
        <v/>
      </c>
      <c r="C133" s="37" t="s">
        <v>136</v>
      </c>
      <c r="D133" s="44" t="s">
        <v>1108</v>
      </c>
      <c r="E133" s="44"/>
      <c r="F133" s="44" t="s">
        <v>1109</v>
      </c>
      <c r="G133" s="39">
        <v>5</v>
      </c>
      <c r="H133" s="39">
        <v>4</v>
      </c>
      <c r="I133" s="39">
        <v>0</v>
      </c>
      <c r="J133" s="39">
        <v>9</v>
      </c>
      <c r="K133" s="40">
        <v>495</v>
      </c>
      <c r="L133" s="45" t="s">
        <v>1015</v>
      </c>
      <c r="M133" s="41" t="str">
        <f>IF(MasterFees[[#This Row],[GST Basis]]="Excl",MasterFees[[#This Row],[Fee as Printed]],IF(MasterFees[[#This Row],[GST Basis]]="Incl",MasterFees[[#This Row],[Fee as Printed]]/(1+GST_Rate),""))</f>
        <v/>
      </c>
      <c r="N133" s="41" t="str">
        <f>IF(MasterFees[[#This Row],[GST Basis]]="Incl",MasterFees[[#This Row],[Fee as Printed]],IF(MasterFees[[#This Row],[GST Basis]]="Excl",MasterFees[[#This Row],[Fee as Printed]]*(1+GST_Rate),""))</f>
        <v/>
      </c>
      <c r="O133" s="42">
        <f>IF(N(MasterFees[[#This Row],[Total Units]])=0,"",MasterFees[[#This Row],[Fee as Printed]]/MasterFees[[#This Row],[Total Units]])</f>
        <v>55</v>
      </c>
      <c r="P133" s="43"/>
      <c r="Q133" s="46" t="s">
        <v>1013</v>
      </c>
      <c r="R133" s="46" t="s">
        <v>1241</v>
      </c>
      <c r="S133" s="37"/>
    </row>
    <row r="134" spans="1:19" x14ac:dyDescent="0.2">
      <c r="A134" s="36"/>
      <c r="B134" s="38" t="str">
        <f>IF(MasterFees[[#This Row],[RVG Code]]="","",_xlfn.XLOOKUP(MasterFees[[#This Row],[RVG Code]],RVGCodes[Code],RVGCodes[Base Units],"Code not found"))</f>
        <v/>
      </c>
      <c r="C134" s="37" t="s">
        <v>137</v>
      </c>
      <c r="D134" s="44" t="s">
        <v>1108</v>
      </c>
      <c r="E134" s="44"/>
      <c r="F134" s="44" t="s">
        <v>1109</v>
      </c>
      <c r="G134" s="39">
        <v>6</v>
      </c>
      <c r="H134" s="39">
        <v>15.3</v>
      </c>
      <c r="I134" s="39">
        <v>1.7</v>
      </c>
      <c r="J134" s="39">
        <v>23</v>
      </c>
      <c r="K134" s="40">
        <v>1264.45</v>
      </c>
      <c r="L134" s="45" t="s">
        <v>1015</v>
      </c>
      <c r="M134" s="41" t="str">
        <f>IF(MasterFees[[#This Row],[GST Basis]]="Excl",MasterFees[[#This Row],[Fee as Printed]],IF(MasterFees[[#This Row],[GST Basis]]="Incl",MasterFees[[#This Row],[Fee as Printed]]/(1+GST_Rate),""))</f>
        <v/>
      </c>
      <c r="N134" s="41" t="str">
        <f>IF(MasterFees[[#This Row],[GST Basis]]="Incl",MasterFees[[#This Row],[Fee as Printed]],IF(MasterFees[[#This Row],[GST Basis]]="Excl",MasterFees[[#This Row],[Fee as Printed]]*(1+GST_Rate),""))</f>
        <v/>
      </c>
      <c r="O134" s="42">
        <f>IF(N(MasterFees[[#This Row],[Total Units]])=0,"",MasterFees[[#This Row],[Fee as Printed]]/MasterFees[[#This Row],[Total Units]])</f>
        <v>54.97608695652174</v>
      </c>
      <c r="P134" s="43"/>
      <c r="Q134" s="46" t="s">
        <v>1013</v>
      </c>
      <c r="R134" s="46" t="s">
        <v>1242</v>
      </c>
      <c r="S134" s="37"/>
    </row>
    <row r="135" spans="1:19" x14ac:dyDescent="0.2">
      <c r="A135" s="36"/>
      <c r="B135" s="38" t="str">
        <f>IF(MasterFees[[#This Row],[RVG Code]]="","",_xlfn.XLOOKUP(MasterFees[[#This Row],[RVG Code]],RVGCodes[Code],RVGCodes[Base Units],"Code not found"))</f>
        <v/>
      </c>
      <c r="C135" s="37" t="s">
        <v>138</v>
      </c>
      <c r="D135" s="44" t="s">
        <v>1108</v>
      </c>
      <c r="E135" s="44"/>
      <c r="F135" s="44" t="s">
        <v>1109</v>
      </c>
      <c r="G135" s="39">
        <v>4.3</v>
      </c>
      <c r="H135" s="39">
        <v>5</v>
      </c>
      <c r="I135" s="39">
        <v>0.5</v>
      </c>
      <c r="J135" s="39">
        <v>9.8000000000000007</v>
      </c>
      <c r="K135" s="40">
        <v>539</v>
      </c>
      <c r="L135" s="45" t="s">
        <v>1015</v>
      </c>
      <c r="M135" s="41" t="str">
        <f>IF(MasterFees[[#This Row],[GST Basis]]="Excl",MasterFees[[#This Row],[Fee as Printed]],IF(MasterFees[[#This Row],[GST Basis]]="Incl",MasterFees[[#This Row],[Fee as Printed]]/(1+GST_Rate),""))</f>
        <v/>
      </c>
      <c r="N135" s="41" t="str">
        <f>IF(MasterFees[[#This Row],[GST Basis]]="Incl",MasterFees[[#This Row],[Fee as Printed]],IF(MasterFees[[#This Row],[GST Basis]]="Excl",MasterFees[[#This Row],[Fee as Printed]]*(1+GST_Rate),""))</f>
        <v/>
      </c>
      <c r="O135" s="42">
        <f>IF(N(MasterFees[[#This Row],[Total Units]])=0,"",MasterFees[[#This Row],[Fee as Printed]]/MasterFees[[#This Row],[Total Units]])</f>
        <v>54.999999999999993</v>
      </c>
      <c r="P135" s="43"/>
      <c r="Q135" s="46" t="s">
        <v>1013</v>
      </c>
      <c r="R135" s="46" t="s">
        <v>1243</v>
      </c>
      <c r="S135" s="37"/>
    </row>
    <row r="136" spans="1:19" x14ac:dyDescent="0.2">
      <c r="A136" s="36"/>
      <c r="B136" s="38" t="str">
        <f>IF(MasterFees[[#This Row],[RVG Code]]="","",_xlfn.XLOOKUP(MasterFees[[#This Row],[RVG Code]],RVGCodes[Code],RVGCodes[Base Units],"Code not found"))</f>
        <v/>
      </c>
      <c r="C136" s="37" t="s">
        <v>139</v>
      </c>
      <c r="D136" s="44" t="s">
        <v>1108</v>
      </c>
      <c r="E136" s="44"/>
      <c r="F136" s="44" t="s">
        <v>1109</v>
      </c>
      <c r="G136" s="39">
        <v>2.2000000000000002</v>
      </c>
      <c r="H136" s="39">
        <v>2.6</v>
      </c>
      <c r="I136" s="39">
        <v>0.1</v>
      </c>
      <c r="J136" s="39">
        <v>4.9000000000000004</v>
      </c>
      <c r="K136" s="40">
        <v>269.5</v>
      </c>
      <c r="L136" s="45" t="s">
        <v>1015</v>
      </c>
      <c r="M136" s="41" t="str">
        <f>IF(MasterFees[[#This Row],[GST Basis]]="Excl",MasterFees[[#This Row],[Fee as Printed]],IF(MasterFees[[#This Row],[GST Basis]]="Incl",MasterFees[[#This Row],[Fee as Printed]]/(1+GST_Rate),""))</f>
        <v/>
      </c>
      <c r="N136" s="41" t="str">
        <f>IF(MasterFees[[#This Row],[GST Basis]]="Incl",MasterFees[[#This Row],[Fee as Printed]],IF(MasterFees[[#This Row],[GST Basis]]="Excl",MasterFees[[#This Row],[Fee as Printed]]*(1+GST_Rate),""))</f>
        <v/>
      </c>
      <c r="O136" s="42">
        <f>IF(N(MasterFees[[#This Row],[Total Units]])=0,"",MasterFees[[#This Row],[Fee as Printed]]/MasterFees[[#This Row],[Total Units]])</f>
        <v>54.999999999999993</v>
      </c>
      <c r="P136" s="43"/>
      <c r="Q136" s="46" t="s">
        <v>1013</v>
      </c>
      <c r="R136" s="46" t="s">
        <v>1244</v>
      </c>
      <c r="S136" s="37"/>
    </row>
    <row r="137" spans="1:19" x14ac:dyDescent="0.2">
      <c r="A137" s="36"/>
      <c r="B137" s="38" t="str">
        <f>IF(MasterFees[[#This Row],[RVG Code]]="","",_xlfn.XLOOKUP(MasterFees[[#This Row],[RVG Code]],RVGCodes[Code],RVGCodes[Base Units],"Code not found"))</f>
        <v/>
      </c>
      <c r="C137" s="37" t="s">
        <v>139</v>
      </c>
      <c r="D137" s="44" t="s">
        <v>1108</v>
      </c>
      <c r="E137" s="44"/>
      <c r="F137" s="44" t="s">
        <v>1109</v>
      </c>
      <c r="G137" s="39">
        <v>2.2000000000000002</v>
      </c>
      <c r="H137" s="39">
        <v>2.6</v>
      </c>
      <c r="I137" s="39">
        <v>0.1</v>
      </c>
      <c r="J137" s="39">
        <v>4.9000000000000004</v>
      </c>
      <c r="K137" s="40">
        <v>269.5</v>
      </c>
      <c r="L137" s="45" t="s">
        <v>1015</v>
      </c>
      <c r="M137" s="41" t="str">
        <f>IF(MasterFees[[#This Row],[GST Basis]]="Excl",MasterFees[[#This Row],[Fee as Printed]],IF(MasterFees[[#This Row],[GST Basis]]="Incl",MasterFees[[#This Row],[Fee as Printed]]/(1+GST_Rate),""))</f>
        <v/>
      </c>
      <c r="N137" s="41" t="str">
        <f>IF(MasterFees[[#This Row],[GST Basis]]="Incl",MasterFees[[#This Row],[Fee as Printed]],IF(MasterFees[[#This Row],[GST Basis]]="Excl",MasterFees[[#This Row],[Fee as Printed]]*(1+GST_Rate),""))</f>
        <v/>
      </c>
      <c r="O137" s="42">
        <f>IF(N(MasterFees[[#This Row],[Total Units]])=0,"",MasterFees[[#This Row],[Fee as Printed]]/MasterFees[[#This Row],[Total Units]])</f>
        <v>54.999999999999993</v>
      </c>
      <c r="P137" s="43"/>
      <c r="Q137" s="46" t="s">
        <v>1013</v>
      </c>
      <c r="R137" s="46" t="s">
        <v>1245</v>
      </c>
      <c r="S137" s="37"/>
    </row>
    <row r="138" spans="1:19" x14ac:dyDescent="0.2">
      <c r="A138" s="36"/>
      <c r="B138" s="38" t="str">
        <f>IF(MasterFees[[#This Row],[RVG Code]]="","",_xlfn.XLOOKUP(MasterFees[[#This Row],[RVG Code]],RVGCodes[Code],RVGCodes[Base Units],"Code not found"))</f>
        <v/>
      </c>
      <c r="C138" s="37" t="s">
        <v>140</v>
      </c>
      <c r="D138" s="44" t="s">
        <v>1108</v>
      </c>
      <c r="E138" s="44"/>
      <c r="F138" s="44" t="s">
        <v>1109</v>
      </c>
      <c r="G138" s="39">
        <v>6</v>
      </c>
      <c r="H138" s="39">
        <v>8</v>
      </c>
      <c r="I138" s="39">
        <v>2</v>
      </c>
      <c r="J138" s="39">
        <v>16</v>
      </c>
      <c r="K138" s="40">
        <v>880</v>
      </c>
      <c r="L138" s="45" t="s">
        <v>1015</v>
      </c>
      <c r="M138" s="41" t="str">
        <f>IF(MasterFees[[#This Row],[GST Basis]]="Excl",MasterFees[[#This Row],[Fee as Printed]],IF(MasterFees[[#This Row],[GST Basis]]="Incl",MasterFees[[#This Row],[Fee as Printed]]/(1+GST_Rate),""))</f>
        <v/>
      </c>
      <c r="N138" s="41" t="str">
        <f>IF(MasterFees[[#This Row],[GST Basis]]="Incl",MasterFees[[#This Row],[Fee as Printed]],IF(MasterFees[[#This Row],[GST Basis]]="Excl",MasterFees[[#This Row],[Fee as Printed]]*(1+GST_Rate),""))</f>
        <v/>
      </c>
      <c r="O138" s="42">
        <f>IF(N(MasterFees[[#This Row],[Total Units]])=0,"",MasterFees[[#This Row],[Fee as Printed]]/MasterFees[[#This Row],[Total Units]])</f>
        <v>55</v>
      </c>
      <c r="P138" s="43"/>
      <c r="Q138" s="46" t="s">
        <v>1013</v>
      </c>
      <c r="R138" s="46" t="s">
        <v>1246</v>
      </c>
      <c r="S138" s="37"/>
    </row>
    <row r="139" spans="1:19" x14ac:dyDescent="0.2">
      <c r="A139" s="36"/>
      <c r="B139" s="38" t="str">
        <f>IF(MasterFees[[#This Row],[RVG Code]]="","",_xlfn.XLOOKUP(MasterFees[[#This Row],[RVG Code]],RVGCodes[Code],RVGCodes[Base Units],"Code not found"))</f>
        <v/>
      </c>
      <c r="C139" s="37" t="s">
        <v>141</v>
      </c>
      <c r="D139" s="44" t="s">
        <v>1108</v>
      </c>
      <c r="E139" s="44"/>
      <c r="F139" s="44" t="s">
        <v>1109</v>
      </c>
      <c r="G139" s="39">
        <v>7</v>
      </c>
      <c r="H139" s="39">
        <v>14</v>
      </c>
      <c r="I139" s="39">
        <v>2</v>
      </c>
      <c r="J139" s="39">
        <v>23</v>
      </c>
      <c r="K139" s="40">
        <v>1265</v>
      </c>
      <c r="L139" s="45" t="s">
        <v>1015</v>
      </c>
      <c r="M139" s="41" t="str">
        <f>IF(MasterFees[[#This Row],[GST Basis]]="Excl",MasterFees[[#This Row],[Fee as Printed]],IF(MasterFees[[#This Row],[GST Basis]]="Incl",MasterFees[[#This Row],[Fee as Printed]]/(1+GST_Rate),""))</f>
        <v/>
      </c>
      <c r="N139" s="41" t="str">
        <f>IF(MasterFees[[#This Row],[GST Basis]]="Incl",MasterFees[[#This Row],[Fee as Printed]],IF(MasterFees[[#This Row],[GST Basis]]="Excl",MasterFees[[#This Row],[Fee as Printed]]*(1+GST_Rate),""))</f>
        <v/>
      </c>
      <c r="O139" s="42">
        <f>IF(N(MasterFees[[#This Row],[Total Units]])=0,"",MasterFees[[#This Row],[Fee as Printed]]/MasterFees[[#This Row],[Total Units]])</f>
        <v>55</v>
      </c>
      <c r="P139" s="43"/>
      <c r="Q139" s="46" t="s">
        <v>1013</v>
      </c>
      <c r="R139" s="46" t="s">
        <v>1247</v>
      </c>
      <c r="S139" s="37"/>
    </row>
    <row r="140" spans="1:19" x14ac:dyDescent="0.2">
      <c r="A140" s="36"/>
      <c r="B140" s="38" t="str">
        <f>IF(MasterFees[[#This Row],[RVG Code]]="","",_xlfn.XLOOKUP(MasterFees[[#This Row],[RVG Code]],RVGCodes[Code],RVGCodes[Base Units],"Code not found"))</f>
        <v/>
      </c>
      <c r="C140" s="37" t="s">
        <v>142</v>
      </c>
      <c r="D140" s="44" t="s">
        <v>1108</v>
      </c>
      <c r="E140" s="44"/>
      <c r="F140" s="44" t="s">
        <v>1109</v>
      </c>
      <c r="G140" s="39">
        <v>5.6</v>
      </c>
      <c r="H140" s="39">
        <v>12.4</v>
      </c>
      <c r="I140" s="39">
        <v>0.9</v>
      </c>
      <c r="J140" s="39">
        <v>18.899999999999999</v>
      </c>
      <c r="K140" s="40">
        <v>1038.4000000000001</v>
      </c>
      <c r="L140" s="45" t="s">
        <v>1015</v>
      </c>
      <c r="M140" s="41" t="str">
        <f>IF(MasterFees[[#This Row],[GST Basis]]="Excl",MasterFees[[#This Row],[Fee as Printed]],IF(MasterFees[[#This Row],[GST Basis]]="Incl",MasterFees[[#This Row],[Fee as Printed]]/(1+GST_Rate),""))</f>
        <v/>
      </c>
      <c r="N140" s="41" t="str">
        <f>IF(MasterFees[[#This Row],[GST Basis]]="Incl",MasterFees[[#This Row],[Fee as Printed]],IF(MasterFees[[#This Row],[GST Basis]]="Excl",MasterFees[[#This Row],[Fee as Printed]]*(1+GST_Rate),""))</f>
        <v/>
      </c>
      <c r="O140" s="42">
        <f>IF(N(MasterFees[[#This Row],[Total Units]])=0,"",MasterFees[[#This Row],[Fee as Printed]]/MasterFees[[#This Row],[Total Units]])</f>
        <v>54.94179894179895</v>
      </c>
      <c r="P140" s="43"/>
      <c r="Q140" s="46" t="s">
        <v>1013</v>
      </c>
      <c r="R140" s="46" t="s">
        <v>1248</v>
      </c>
      <c r="S140" s="37"/>
    </row>
    <row r="141" spans="1:19" x14ac:dyDescent="0.2">
      <c r="A141" s="36"/>
      <c r="B141" s="38" t="str">
        <f>IF(MasterFees[[#This Row],[RVG Code]]="","",_xlfn.XLOOKUP(MasterFees[[#This Row],[RVG Code]],RVGCodes[Code],RVGCodes[Base Units],"Code not found"))</f>
        <v/>
      </c>
      <c r="C141" s="37" t="s">
        <v>143</v>
      </c>
      <c r="D141" s="44" t="s">
        <v>1108</v>
      </c>
      <c r="E141" s="44"/>
      <c r="F141" s="44" t="s">
        <v>1109</v>
      </c>
      <c r="G141" s="39">
        <v>0</v>
      </c>
      <c r="H141" s="39">
        <v>0</v>
      </c>
      <c r="I141" s="39">
        <v>0</v>
      </c>
      <c r="J141" s="39">
        <v>0</v>
      </c>
      <c r="K141" s="40">
        <v>0</v>
      </c>
      <c r="L141" s="45" t="s">
        <v>1015</v>
      </c>
      <c r="M141" s="41" t="str">
        <f>IF(MasterFees[[#This Row],[GST Basis]]="Excl",MasterFees[[#This Row],[Fee as Printed]],IF(MasterFees[[#This Row],[GST Basis]]="Incl",MasterFees[[#This Row],[Fee as Printed]]/(1+GST_Rate),""))</f>
        <v/>
      </c>
      <c r="N141" s="41" t="str">
        <f>IF(MasterFees[[#This Row],[GST Basis]]="Incl",MasterFees[[#This Row],[Fee as Printed]],IF(MasterFees[[#This Row],[GST Basis]]="Excl",MasterFees[[#This Row],[Fee as Printed]]*(1+GST_Rate),""))</f>
        <v/>
      </c>
      <c r="O141" s="42" t="str">
        <f>IF(N(MasterFees[[#This Row],[Total Units]])=0,"",MasterFees[[#This Row],[Fee as Printed]]/MasterFees[[#This Row],[Total Units]])</f>
        <v/>
      </c>
      <c r="P141" s="43"/>
      <c r="Q141" s="46" t="s">
        <v>1013</v>
      </c>
      <c r="R141" s="46" t="s">
        <v>1249</v>
      </c>
      <c r="S141" s="37"/>
    </row>
    <row r="142" spans="1:19" x14ac:dyDescent="0.2">
      <c r="A142" s="36"/>
      <c r="B142" s="38" t="str">
        <f>IF(MasterFees[[#This Row],[RVG Code]]="","",_xlfn.XLOOKUP(MasterFees[[#This Row],[RVG Code]],RVGCodes[Code],RVGCodes[Base Units],"Code not found"))</f>
        <v/>
      </c>
      <c r="C142" s="37" t="s">
        <v>144</v>
      </c>
      <c r="D142" s="44" t="s">
        <v>1108</v>
      </c>
      <c r="E142" s="44"/>
      <c r="F142" s="44" t="s">
        <v>1109</v>
      </c>
      <c r="G142" s="39">
        <v>1.3</v>
      </c>
      <c r="H142" s="39">
        <v>7.3</v>
      </c>
      <c r="I142" s="39">
        <v>0.3</v>
      </c>
      <c r="J142" s="39">
        <v>9</v>
      </c>
      <c r="K142" s="40">
        <v>494.45</v>
      </c>
      <c r="L142" s="45" t="s">
        <v>1015</v>
      </c>
      <c r="M142" s="41" t="str">
        <f>IF(MasterFees[[#This Row],[GST Basis]]="Excl",MasterFees[[#This Row],[Fee as Printed]],IF(MasterFees[[#This Row],[GST Basis]]="Incl",MasterFees[[#This Row],[Fee as Printed]]/(1+GST_Rate),""))</f>
        <v/>
      </c>
      <c r="N142" s="41" t="str">
        <f>IF(MasterFees[[#This Row],[GST Basis]]="Incl",MasterFees[[#This Row],[Fee as Printed]],IF(MasterFees[[#This Row],[GST Basis]]="Excl",MasterFees[[#This Row],[Fee as Printed]]*(1+GST_Rate),""))</f>
        <v/>
      </c>
      <c r="O142" s="42">
        <f>IF(N(MasterFees[[#This Row],[Total Units]])=0,"",MasterFees[[#This Row],[Fee as Printed]]/MasterFees[[#This Row],[Total Units]])</f>
        <v>54.93888888888889</v>
      </c>
      <c r="P142" s="43"/>
      <c r="Q142" s="46" t="s">
        <v>1013</v>
      </c>
      <c r="R142" s="46" t="s">
        <v>1250</v>
      </c>
      <c r="S142" s="37"/>
    </row>
    <row r="143" spans="1:19" x14ac:dyDescent="0.2">
      <c r="A143" s="36"/>
      <c r="B143" s="38" t="str">
        <f>IF(MasterFees[[#This Row],[RVG Code]]="","",_xlfn.XLOOKUP(MasterFees[[#This Row],[RVG Code]],RVGCodes[Code],RVGCodes[Base Units],"Code not found"))</f>
        <v/>
      </c>
      <c r="C143" s="37" t="s">
        <v>145</v>
      </c>
      <c r="D143" s="44" t="s">
        <v>1108</v>
      </c>
      <c r="E143" s="44"/>
      <c r="F143" s="44" t="s">
        <v>1109</v>
      </c>
      <c r="G143" s="39">
        <v>11.7</v>
      </c>
      <c r="H143" s="39">
        <v>8.1999999999999993</v>
      </c>
      <c r="I143" s="39">
        <v>0.9</v>
      </c>
      <c r="J143" s="39">
        <v>20.8</v>
      </c>
      <c r="K143" s="40">
        <v>1146.2</v>
      </c>
      <c r="L143" s="45" t="s">
        <v>1015</v>
      </c>
      <c r="M143" s="41" t="str">
        <f>IF(MasterFees[[#This Row],[GST Basis]]="Excl",MasterFees[[#This Row],[Fee as Printed]],IF(MasterFees[[#This Row],[GST Basis]]="Incl",MasterFees[[#This Row],[Fee as Printed]]/(1+GST_Rate),""))</f>
        <v/>
      </c>
      <c r="N143" s="41" t="str">
        <f>IF(MasterFees[[#This Row],[GST Basis]]="Incl",MasterFees[[#This Row],[Fee as Printed]],IF(MasterFees[[#This Row],[GST Basis]]="Excl",MasterFees[[#This Row],[Fee as Printed]]*(1+GST_Rate),""))</f>
        <v/>
      </c>
      <c r="O143" s="42">
        <f>IF(N(MasterFees[[#This Row],[Total Units]])=0,"",MasterFees[[#This Row],[Fee as Printed]]/MasterFees[[#This Row],[Total Units]])</f>
        <v>55.105769230769234</v>
      </c>
      <c r="P143" s="43"/>
      <c r="Q143" s="46" t="s">
        <v>1013</v>
      </c>
      <c r="R143" s="46" t="s">
        <v>1251</v>
      </c>
      <c r="S143" s="37"/>
    </row>
    <row r="144" spans="1:19" x14ac:dyDescent="0.2">
      <c r="A144" s="36"/>
      <c r="B144" s="38" t="str">
        <f>IF(MasterFees[[#This Row],[RVG Code]]="","",_xlfn.XLOOKUP(MasterFees[[#This Row],[RVG Code]],RVGCodes[Code],RVGCodes[Base Units],"Code not found"))</f>
        <v/>
      </c>
      <c r="C144" s="37" t="s">
        <v>146</v>
      </c>
      <c r="D144" s="44" t="s">
        <v>1108</v>
      </c>
      <c r="E144" s="44"/>
      <c r="F144" s="44" t="s">
        <v>1109</v>
      </c>
      <c r="G144" s="39">
        <v>12.3</v>
      </c>
      <c r="H144" s="39">
        <v>5.5</v>
      </c>
      <c r="I144" s="39">
        <v>1.3</v>
      </c>
      <c r="J144" s="39">
        <v>19.100000000000001</v>
      </c>
      <c r="K144" s="40">
        <v>1048.3</v>
      </c>
      <c r="L144" s="45" t="s">
        <v>1015</v>
      </c>
      <c r="M144" s="41" t="str">
        <f>IF(MasterFees[[#This Row],[GST Basis]]="Excl",MasterFees[[#This Row],[Fee as Printed]],IF(MasterFees[[#This Row],[GST Basis]]="Incl",MasterFees[[#This Row],[Fee as Printed]]/(1+GST_Rate),""))</f>
        <v/>
      </c>
      <c r="N144" s="41" t="str">
        <f>IF(MasterFees[[#This Row],[GST Basis]]="Incl",MasterFees[[#This Row],[Fee as Printed]],IF(MasterFees[[#This Row],[GST Basis]]="Excl",MasterFees[[#This Row],[Fee as Printed]]*(1+GST_Rate),""))</f>
        <v/>
      </c>
      <c r="O144" s="42">
        <f>IF(N(MasterFees[[#This Row],[Total Units]])=0,"",MasterFees[[#This Row],[Fee as Printed]]/MasterFees[[#This Row],[Total Units]])</f>
        <v>54.884816753926692</v>
      </c>
      <c r="P144" s="43"/>
      <c r="Q144" s="46" t="s">
        <v>1013</v>
      </c>
      <c r="R144" s="46" t="s">
        <v>1252</v>
      </c>
      <c r="S144" s="37"/>
    </row>
    <row r="145" spans="1:19" x14ac:dyDescent="0.2">
      <c r="A145" s="36"/>
      <c r="B145" s="38" t="str">
        <f>IF(MasterFees[[#This Row],[RVG Code]]="","",_xlfn.XLOOKUP(MasterFees[[#This Row],[RVG Code]],RVGCodes[Code],RVGCodes[Base Units],"Code not found"))</f>
        <v/>
      </c>
      <c r="C145" s="37" t="s">
        <v>147</v>
      </c>
      <c r="D145" s="44" t="s">
        <v>1108</v>
      </c>
      <c r="E145" s="44"/>
      <c r="F145" s="44" t="s">
        <v>1109</v>
      </c>
      <c r="G145" s="39">
        <v>4</v>
      </c>
      <c r="H145" s="39">
        <v>4.2</v>
      </c>
      <c r="I145" s="39">
        <v>0.6</v>
      </c>
      <c r="J145" s="39">
        <v>8.8000000000000007</v>
      </c>
      <c r="K145" s="40">
        <v>484</v>
      </c>
      <c r="L145" s="45" t="s">
        <v>1015</v>
      </c>
      <c r="M145" s="41" t="str">
        <f>IF(MasterFees[[#This Row],[GST Basis]]="Excl",MasterFees[[#This Row],[Fee as Printed]],IF(MasterFees[[#This Row],[GST Basis]]="Incl",MasterFees[[#This Row],[Fee as Printed]]/(1+GST_Rate),""))</f>
        <v/>
      </c>
      <c r="N145" s="41" t="str">
        <f>IF(MasterFees[[#This Row],[GST Basis]]="Incl",MasterFees[[#This Row],[Fee as Printed]],IF(MasterFees[[#This Row],[GST Basis]]="Excl",MasterFees[[#This Row],[Fee as Printed]]*(1+GST_Rate),""))</f>
        <v/>
      </c>
      <c r="O145" s="42">
        <f>IF(N(MasterFees[[#This Row],[Total Units]])=0,"",MasterFees[[#This Row],[Fee as Printed]]/MasterFees[[#This Row],[Total Units]])</f>
        <v>54.999999999999993</v>
      </c>
      <c r="P145" s="43"/>
      <c r="Q145" s="46" t="s">
        <v>1013</v>
      </c>
      <c r="R145" s="46" t="s">
        <v>1253</v>
      </c>
      <c r="S145" s="37"/>
    </row>
    <row r="146" spans="1:19" x14ac:dyDescent="0.2">
      <c r="A146" s="36"/>
      <c r="B146" s="38" t="str">
        <f>IF(MasterFees[[#This Row],[RVG Code]]="","",_xlfn.XLOOKUP(MasterFees[[#This Row],[RVG Code]],RVGCodes[Code],RVGCodes[Base Units],"Code not found"))</f>
        <v/>
      </c>
      <c r="C146" s="37" t="s">
        <v>148</v>
      </c>
      <c r="D146" s="44" t="s">
        <v>1108</v>
      </c>
      <c r="E146" s="44"/>
      <c r="F146" s="44" t="s">
        <v>1109</v>
      </c>
      <c r="G146" s="39">
        <v>8</v>
      </c>
      <c r="H146" s="39">
        <v>9.5</v>
      </c>
      <c r="I146" s="39">
        <v>0</v>
      </c>
      <c r="J146" s="39">
        <v>17.5</v>
      </c>
      <c r="K146" s="40">
        <v>962.5</v>
      </c>
      <c r="L146" s="45" t="s">
        <v>1015</v>
      </c>
      <c r="M146" s="41" t="str">
        <f>IF(MasterFees[[#This Row],[GST Basis]]="Excl",MasterFees[[#This Row],[Fee as Printed]],IF(MasterFees[[#This Row],[GST Basis]]="Incl",MasterFees[[#This Row],[Fee as Printed]]/(1+GST_Rate),""))</f>
        <v/>
      </c>
      <c r="N146" s="41" t="str">
        <f>IF(MasterFees[[#This Row],[GST Basis]]="Incl",MasterFees[[#This Row],[Fee as Printed]],IF(MasterFees[[#This Row],[GST Basis]]="Excl",MasterFees[[#This Row],[Fee as Printed]]*(1+GST_Rate),""))</f>
        <v/>
      </c>
      <c r="O146" s="42">
        <f>IF(N(MasterFees[[#This Row],[Total Units]])=0,"",MasterFees[[#This Row],[Fee as Printed]]/MasterFees[[#This Row],[Total Units]])</f>
        <v>55</v>
      </c>
      <c r="P146" s="43"/>
      <c r="Q146" s="46" t="s">
        <v>1013</v>
      </c>
      <c r="R146" s="46" t="s">
        <v>1254</v>
      </c>
      <c r="S146" s="37"/>
    </row>
    <row r="147" spans="1:19" x14ac:dyDescent="0.2">
      <c r="A147" s="36"/>
      <c r="B147" s="38" t="str">
        <f>IF(MasterFees[[#This Row],[RVG Code]]="","",_xlfn.XLOOKUP(MasterFees[[#This Row],[RVG Code]],RVGCodes[Code],RVGCodes[Base Units],"Code not found"))</f>
        <v/>
      </c>
      <c r="C147" s="37" t="s">
        <v>149</v>
      </c>
      <c r="D147" s="44" t="s">
        <v>1108</v>
      </c>
      <c r="E147" s="44"/>
      <c r="F147" s="44" t="s">
        <v>1109</v>
      </c>
      <c r="G147" s="39">
        <v>8.1999999999999993</v>
      </c>
      <c r="H147" s="39">
        <v>14</v>
      </c>
      <c r="I147" s="39">
        <v>1</v>
      </c>
      <c r="J147" s="39">
        <v>23.2</v>
      </c>
      <c r="K147" s="40">
        <v>1275.45</v>
      </c>
      <c r="L147" s="45" t="s">
        <v>1015</v>
      </c>
      <c r="M147" s="41" t="str">
        <f>IF(MasterFees[[#This Row],[GST Basis]]="Excl",MasterFees[[#This Row],[Fee as Printed]],IF(MasterFees[[#This Row],[GST Basis]]="Incl",MasterFees[[#This Row],[Fee as Printed]]/(1+GST_Rate),""))</f>
        <v/>
      </c>
      <c r="N147" s="41" t="str">
        <f>IF(MasterFees[[#This Row],[GST Basis]]="Incl",MasterFees[[#This Row],[Fee as Printed]],IF(MasterFees[[#This Row],[GST Basis]]="Excl",MasterFees[[#This Row],[Fee as Printed]]*(1+GST_Rate),""))</f>
        <v/>
      </c>
      <c r="O147" s="42">
        <f>IF(N(MasterFees[[#This Row],[Total Units]])=0,"",MasterFees[[#This Row],[Fee as Printed]]/MasterFees[[#This Row],[Total Units]])</f>
        <v>54.976293103448278</v>
      </c>
      <c r="P147" s="43"/>
      <c r="Q147" s="46" t="s">
        <v>1013</v>
      </c>
      <c r="R147" s="46" t="s">
        <v>1255</v>
      </c>
      <c r="S147" s="37"/>
    </row>
    <row r="148" spans="1:19" x14ac:dyDescent="0.2">
      <c r="A148" s="36"/>
      <c r="B148" s="38" t="str">
        <f>IF(MasterFees[[#This Row],[RVG Code]]="","",_xlfn.XLOOKUP(MasterFees[[#This Row],[RVG Code]],RVGCodes[Code],RVGCodes[Base Units],"Code not found"))</f>
        <v/>
      </c>
      <c r="C148" s="37" t="s">
        <v>150</v>
      </c>
      <c r="D148" s="44" t="s">
        <v>1108</v>
      </c>
      <c r="E148" s="44"/>
      <c r="F148" s="44" t="s">
        <v>1109</v>
      </c>
      <c r="G148" s="39">
        <v>17</v>
      </c>
      <c r="H148" s="39">
        <v>20.9</v>
      </c>
      <c r="I148" s="39">
        <v>3.1</v>
      </c>
      <c r="J148" s="39">
        <v>41</v>
      </c>
      <c r="K148" s="40">
        <v>2257.1999999999998</v>
      </c>
      <c r="L148" s="45" t="s">
        <v>1015</v>
      </c>
      <c r="M148" s="41" t="str">
        <f>IF(MasterFees[[#This Row],[GST Basis]]="Excl",MasterFees[[#This Row],[Fee as Printed]],IF(MasterFees[[#This Row],[GST Basis]]="Incl",MasterFees[[#This Row],[Fee as Printed]]/(1+GST_Rate),""))</f>
        <v/>
      </c>
      <c r="N148" s="41" t="str">
        <f>IF(MasterFees[[#This Row],[GST Basis]]="Incl",MasterFees[[#This Row],[Fee as Printed]],IF(MasterFees[[#This Row],[GST Basis]]="Excl",MasterFees[[#This Row],[Fee as Printed]]*(1+GST_Rate),""))</f>
        <v/>
      </c>
      <c r="O148" s="42">
        <f>IF(N(MasterFees[[#This Row],[Total Units]])=0,"",MasterFees[[#This Row],[Fee as Printed]]/MasterFees[[#This Row],[Total Units]])</f>
        <v>55.05365853658536</v>
      </c>
      <c r="P148" s="43"/>
      <c r="Q148" s="46" t="s">
        <v>1013</v>
      </c>
      <c r="R148" s="46" t="s">
        <v>1256</v>
      </c>
      <c r="S148" s="37"/>
    </row>
    <row r="149" spans="1:19" x14ac:dyDescent="0.2">
      <c r="A149" s="36"/>
      <c r="B149" s="38" t="str">
        <f>IF(MasterFees[[#This Row],[RVG Code]]="","",_xlfn.XLOOKUP(MasterFees[[#This Row],[RVG Code]],RVGCodes[Code],RVGCodes[Base Units],"Code not found"))</f>
        <v/>
      </c>
      <c r="C149" s="37" t="s">
        <v>151</v>
      </c>
      <c r="D149" s="44" t="s">
        <v>1108</v>
      </c>
      <c r="E149" s="44"/>
      <c r="F149" s="44" t="s">
        <v>1109</v>
      </c>
      <c r="G149" s="39">
        <v>3.6</v>
      </c>
      <c r="H149" s="39">
        <v>1</v>
      </c>
      <c r="I149" s="39">
        <v>2.1</v>
      </c>
      <c r="J149" s="39">
        <v>6.7</v>
      </c>
      <c r="K149" s="40">
        <v>366.3</v>
      </c>
      <c r="L149" s="45" t="s">
        <v>1015</v>
      </c>
      <c r="M149" s="41" t="str">
        <f>IF(MasterFees[[#This Row],[GST Basis]]="Excl",MasterFees[[#This Row],[Fee as Printed]],IF(MasterFees[[#This Row],[GST Basis]]="Incl",MasterFees[[#This Row],[Fee as Printed]]/(1+GST_Rate),""))</f>
        <v/>
      </c>
      <c r="N149" s="41" t="str">
        <f>IF(MasterFees[[#This Row],[GST Basis]]="Incl",MasterFees[[#This Row],[Fee as Printed]],IF(MasterFees[[#This Row],[GST Basis]]="Excl",MasterFees[[#This Row],[Fee as Printed]]*(1+GST_Rate),""))</f>
        <v/>
      </c>
      <c r="O149" s="42">
        <f>IF(N(MasterFees[[#This Row],[Total Units]])=0,"",MasterFees[[#This Row],[Fee as Printed]]/MasterFees[[#This Row],[Total Units]])</f>
        <v>54.671641791044777</v>
      </c>
      <c r="P149" s="43"/>
      <c r="Q149" s="46" t="s">
        <v>1013</v>
      </c>
      <c r="R149" s="46" t="s">
        <v>1257</v>
      </c>
      <c r="S149" s="37"/>
    </row>
    <row r="150" spans="1:19" x14ac:dyDescent="0.2">
      <c r="A150" s="36"/>
      <c r="B150" s="38" t="str">
        <f>IF(MasterFees[[#This Row],[RVG Code]]="","",_xlfn.XLOOKUP(MasterFees[[#This Row],[RVG Code]],RVGCodes[Code],RVGCodes[Base Units],"Code not found"))</f>
        <v/>
      </c>
      <c r="C150" s="37" t="s">
        <v>152</v>
      </c>
      <c r="D150" s="44" t="s">
        <v>1108</v>
      </c>
      <c r="E150" s="44"/>
      <c r="F150" s="44" t="s">
        <v>1109</v>
      </c>
      <c r="G150" s="39">
        <v>7</v>
      </c>
      <c r="H150" s="39">
        <v>12.7</v>
      </c>
      <c r="I150" s="39">
        <v>1.7</v>
      </c>
      <c r="J150" s="39">
        <v>21.3</v>
      </c>
      <c r="K150" s="40">
        <v>1172.5999999999999</v>
      </c>
      <c r="L150" s="45" t="s">
        <v>1015</v>
      </c>
      <c r="M150" s="41" t="str">
        <f>IF(MasterFees[[#This Row],[GST Basis]]="Excl",MasterFees[[#This Row],[Fee as Printed]],IF(MasterFees[[#This Row],[GST Basis]]="Incl",MasterFees[[#This Row],[Fee as Printed]]/(1+GST_Rate),""))</f>
        <v/>
      </c>
      <c r="N150" s="41" t="str">
        <f>IF(MasterFees[[#This Row],[GST Basis]]="Incl",MasterFees[[#This Row],[Fee as Printed]],IF(MasterFees[[#This Row],[GST Basis]]="Excl",MasterFees[[#This Row],[Fee as Printed]]*(1+GST_Rate),""))</f>
        <v/>
      </c>
      <c r="O150" s="42">
        <f>IF(N(MasterFees[[#This Row],[Total Units]])=0,"",MasterFees[[#This Row],[Fee as Printed]]/MasterFees[[#This Row],[Total Units]])</f>
        <v>55.051643192488257</v>
      </c>
      <c r="P150" s="43"/>
      <c r="Q150" s="46" t="s">
        <v>1013</v>
      </c>
      <c r="R150" s="46" t="s">
        <v>1258</v>
      </c>
      <c r="S150" s="37"/>
    </row>
    <row r="151" spans="1:19" x14ac:dyDescent="0.2">
      <c r="A151" s="36"/>
      <c r="B151" s="38" t="str">
        <f>IF(MasterFees[[#This Row],[RVG Code]]="","",_xlfn.XLOOKUP(MasterFees[[#This Row],[RVG Code]],RVGCodes[Code],RVGCodes[Base Units],"Code not found"))</f>
        <v/>
      </c>
      <c r="C151" s="37" t="s">
        <v>153</v>
      </c>
      <c r="D151" s="44" t="s">
        <v>1108</v>
      </c>
      <c r="E151" s="44"/>
      <c r="F151" s="44" t="s">
        <v>1109</v>
      </c>
      <c r="G151" s="39">
        <v>3.5</v>
      </c>
      <c r="H151" s="39">
        <v>2.9</v>
      </c>
      <c r="I151" s="39">
        <v>0.4</v>
      </c>
      <c r="J151" s="39">
        <v>6.8</v>
      </c>
      <c r="K151" s="40">
        <v>372.9</v>
      </c>
      <c r="L151" s="45" t="s">
        <v>1015</v>
      </c>
      <c r="M151" s="41" t="str">
        <f>IF(MasterFees[[#This Row],[GST Basis]]="Excl",MasterFees[[#This Row],[Fee as Printed]],IF(MasterFees[[#This Row],[GST Basis]]="Incl",MasterFees[[#This Row],[Fee as Printed]]/(1+GST_Rate),""))</f>
        <v/>
      </c>
      <c r="N151" s="41" t="str">
        <f>IF(MasterFees[[#This Row],[GST Basis]]="Incl",MasterFees[[#This Row],[Fee as Printed]],IF(MasterFees[[#This Row],[GST Basis]]="Excl",MasterFees[[#This Row],[Fee as Printed]]*(1+GST_Rate),""))</f>
        <v/>
      </c>
      <c r="O151" s="42">
        <f>IF(N(MasterFees[[#This Row],[Total Units]])=0,"",MasterFees[[#This Row],[Fee as Printed]]/MasterFees[[#This Row],[Total Units]])</f>
        <v>54.838235294117645</v>
      </c>
      <c r="P151" s="43"/>
      <c r="Q151" s="46" t="s">
        <v>1013</v>
      </c>
      <c r="R151" s="46" t="s">
        <v>1259</v>
      </c>
      <c r="S151" s="37"/>
    </row>
    <row r="152" spans="1:19" x14ac:dyDescent="0.2">
      <c r="A152" s="36"/>
      <c r="B152" s="38" t="str">
        <f>IF(MasterFees[[#This Row],[RVG Code]]="","",_xlfn.XLOOKUP(MasterFees[[#This Row],[RVG Code]],RVGCodes[Code],RVGCodes[Base Units],"Code not found"))</f>
        <v/>
      </c>
      <c r="C152" s="37" t="s">
        <v>154</v>
      </c>
      <c r="D152" s="44" t="s">
        <v>1108</v>
      </c>
      <c r="E152" s="44"/>
      <c r="F152" s="44" t="s">
        <v>1109</v>
      </c>
      <c r="G152" s="39">
        <v>0.9</v>
      </c>
      <c r="H152" s="39">
        <v>0.6</v>
      </c>
      <c r="I152" s="39">
        <v>0.3</v>
      </c>
      <c r="J152" s="39">
        <v>1.7</v>
      </c>
      <c r="K152" s="40">
        <v>95.15</v>
      </c>
      <c r="L152" s="45" t="s">
        <v>1015</v>
      </c>
      <c r="M152" s="41" t="str">
        <f>IF(MasterFees[[#This Row],[GST Basis]]="Excl",MasterFees[[#This Row],[Fee as Printed]],IF(MasterFees[[#This Row],[GST Basis]]="Incl",MasterFees[[#This Row],[Fee as Printed]]/(1+GST_Rate),""))</f>
        <v/>
      </c>
      <c r="N152" s="41" t="str">
        <f>IF(MasterFees[[#This Row],[GST Basis]]="Incl",MasterFees[[#This Row],[Fee as Printed]],IF(MasterFees[[#This Row],[GST Basis]]="Excl",MasterFees[[#This Row],[Fee as Printed]]*(1+GST_Rate),""))</f>
        <v/>
      </c>
      <c r="O152" s="42">
        <f>IF(N(MasterFees[[#This Row],[Total Units]])=0,"",MasterFees[[#This Row],[Fee as Printed]]/MasterFees[[#This Row],[Total Units]])</f>
        <v>55.970588235294123</v>
      </c>
      <c r="P152" s="43"/>
      <c r="Q152" s="46" t="s">
        <v>1013</v>
      </c>
      <c r="R152" s="46" t="s">
        <v>1260</v>
      </c>
      <c r="S152" s="37"/>
    </row>
    <row r="153" spans="1:19" x14ac:dyDescent="0.2">
      <c r="A153" s="36"/>
      <c r="B153" s="38" t="str">
        <f>IF(MasterFees[[#This Row],[RVG Code]]="","",_xlfn.XLOOKUP(MasterFees[[#This Row],[RVG Code]],RVGCodes[Code],RVGCodes[Base Units],"Code not found"))</f>
        <v/>
      </c>
      <c r="C153" s="37" t="s">
        <v>155</v>
      </c>
      <c r="D153" s="44" t="s">
        <v>1108</v>
      </c>
      <c r="E153" s="44"/>
      <c r="F153" s="44" t="s">
        <v>1109</v>
      </c>
      <c r="G153" s="39">
        <v>1.2</v>
      </c>
      <c r="H153" s="39">
        <v>0.6</v>
      </c>
      <c r="I153" s="39">
        <v>0.4</v>
      </c>
      <c r="J153" s="39">
        <v>2.1</v>
      </c>
      <c r="K153" s="40">
        <v>116.6</v>
      </c>
      <c r="L153" s="45" t="s">
        <v>1015</v>
      </c>
      <c r="M153" s="41" t="str">
        <f>IF(MasterFees[[#This Row],[GST Basis]]="Excl",MasterFees[[#This Row],[Fee as Printed]],IF(MasterFees[[#This Row],[GST Basis]]="Incl",MasterFees[[#This Row],[Fee as Printed]]/(1+GST_Rate),""))</f>
        <v/>
      </c>
      <c r="N153" s="41" t="str">
        <f>IF(MasterFees[[#This Row],[GST Basis]]="Incl",MasterFees[[#This Row],[Fee as Printed]],IF(MasterFees[[#This Row],[GST Basis]]="Excl",MasterFees[[#This Row],[Fee as Printed]]*(1+GST_Rate),""))</f>
        <v/>
      </c>
      <c r="O153" s="42">
        <f>IF(N(MasterFees[[#This Row],[Total Units]])=0,"",MasterFees[[#This Row],[Fee as Printed]]/MasterFees[[#This Row],[Total Units]])</f>
        <v>55.523809523809518</v>
      </c>
      <c r="P153" s="43"/>
      <c r="Q153" s="46" t="s">
        <v>1013</v>
      </c>
      <c r="R153" s="46" t="s">
        <v>1261</v>
      </c>
      <c r="S153" s="37"/>
    </row>
    <row r="154" spans="1:19" x14ac:dyDescent="0.2">
      <c r="A154" s="36"/>
      <c r="B154" s="38" t="str">
        <f>IF(MasterFees[[#This Row],[RVG Code]]="","",_xlfn.XLOOKUP(MasterFees[[#This Row],[RVG Code]],RVGCodes[Code],RVGCodes[Base Units],"Code not found"))</f>
        <v/>
      </c>
      <c r="C154" s="37" t="s">
        <v>156</v>
      </c>
      <c r="D154" s="44" t="s">
        <v>1108</v>
      </c>
      <c r="E154" s="44"/>
      <c r="F154" s="44" t="s">
        <v>1109</v>
      </c>
      <c r="G154" s="39">
        <v>0</v>
      </c>
      <c r="H154" s="39">
        <v>0</v>
      </c>
      <c r="I154" s="39">
        <v>0</v>
      </c>
      <c r="J154" s="39">
        <v>0</v>
      </c>
      <c r="K154" s="40">
        <v>0</v>
      </c>
      <c r="L154" s="45" t="s">
        <v>1015</v>
      </c>
      <c r="M154" s="41" t="str">
        <f>IF(MasterFees[[#This Row],[GST Basis]]="Excl",MasterFees[[#This Row],[Fee as Printed]],IF(MasterFees[[#This Row],[GST Basis]]="Incl",MasterFees[[#This Row],[Fee as Printed]]/(1+GST_Rate),""))</f>
        <v/>
      </c>
      <c r="N154" s="41" t="str">
        <f>IF(MasterFees[[#This Row],[GST Basis]]="Incl",MasterFees[[#This Row],[Fee as Printed]],IF(MasterFees[[#This Row],[GST Basis]]="Excl",MasterFees[[#This Row],[Fee as Printed]]*(1+GST_Rate),""))</f>
        <v/>
      </c>
      <c r="O154" s="42" t="str">
        <f>IF(N(MasterFees[[#This Row],[Total Units]])=0,"",MasterFees[[#This Row],[Fee as Printed]]/MasterFees[[#This Row],[Total Units]])</f>
        <v/>
      </c>
      <c r="P154" s="43"/>
      <c r="Q154" s="46" t="s">
        <v>1013</v>
      </c>
      <c r="R154" s="46" t="s">
        <v>1262</v>
      </c>
      <c r="S154" s="37"/>
    </row>
    <row r="155" spans="1:19" x14ac:dyDescent="0.2">
      <c r="A155" s="36"/>
      <c r="B155" s="38" t="str">
        <f>IF(MasterFees[[#This Row],[RVG Code]]="","",_xlfn.XLOOKUP(MasterFees[[#This Row],[RVG Code]],RVGCodes[Code],RVGCodes[Base Units],"Code not found"))</f>
        <v/>
      </c>
      <c r="C155" s="37" t="s">
        <v>157</v>
      </c>
      <c r="D155" s="44" t="s">
        <v>1108</v>
      </c>
      <c r="E155" s="44"/>
      <c r="F155" s="44" t="s">
        <v>1109</v>
      </c>
      <c r="G155" s="39">
        <v>1.8</v>
      </c>
      <c r="H155" s="39">
        <v>0.6</v>
      </c>
      <c r="I155" s="39">
        <v>0.4</v>
      </c>
      <c r="J155" s="39">
        <v>2.8</v>
      </c>
      <c r="K155" s="40">
        <v>153.44999999999999</v>
      </c>
      <c r="L155" s="45" t="s">
        <v>1015</v>
      </c>
      <c r="M155" s="41" t="str">
        <f>IF(MasterFees[[#This Row],[GST Basis]]="Excl",MasterFees[[#This Row],[Fee as Printed]],IF(MasterFees[[#This Row],[GST Basis]]="Incl",MasterFees[[#This Row],[Fee as Printed]]/(1+GST_Rate),""))</f>
        <v/>
      </c>
      <c r="N155" s="41" t="str">
        <f>IF(MasterFees[[#This Row],[GST Basis]]="Incl",MasterFees[[#This Row],[Fee as Printed]],IF(MasterFees[[#This Row],[GST Basis]]="Excl",MasterFees[[#This Row],[Fee as Printed]]*(1+GST_Rate),""))</f>
        <v/>
      </c>
      <c r="O155" s="42">
        <f>IF(N(MasterFees[[#This Row],[Total Units]])=0,"",MasterFees[[#This Row],[Fee as Printed]]/MasterFees[[#This Row],[Total Units]])</f>
        <v>54.803571428571431</v>
      </c>
      <c r="P155" s="43"/>
      <c r="Q155" s="46" t="s">
        <v>1013</v>
      </c>
      <c r="R155" s="46" t="s">
        <v>1263</v>
      </c>
      <c r="S155" s="37"/>
    </row>
    <row r="156" spans="1:19" x14ac:dyDescent="0.2">
      <c r="A156" s="36"/>
      <c r="B156" s="38" t="str">
        <f>IF(MasterFees[[#This Row],[RVG Code]]="","",_xlfn.XLOOKUP(MasterFees[[#This Row],[RVG Code]],RVGCodes[Code],RVGCodes[Base Units],"Code not found"))</f>
        <v/>
      </c>
      <c r="C156" s="37" t="s">
        <v>158</v>
      </c>
      <c r="D156" s="44" t="s">
        <v>1108</v>
      </c>
      <c r="E156" s="44"/>
      <c r="F156" s="44" t="s">
        <v>1109</v>
      </c>
      <c r="G156" s="39">
        <v>0.3</v>
      </c>
      <c r="H156" s="39">
        <v>0.2</v>
      </c>
      <c r="I156" s="39">
        <v>0.1</v>
      </c>
      <c r="J156" s="39">
        <v>0.5</v>
      </c>
      <c r="K156" s="40">
        <v>28.6</v>
      </c>
      <c r="L156" s="45" t="s">
        <v>1015</v>
      </c>
      <c r="M156" s="41" t="str">
        <f>IF(MasterFees[[#This Row],[GST Basis]]="Excl",MasterFees[[#This Row],[Fee as Printed]],IF(MasterFees[[#This Row],[GST Basis]]="Incl",MasterFees[[#This Row],[Fee as Printed]]/(1+GST_Rate),""))</f>
        <v/>
      </c>
      <c r="N156" s="41" t="str">
        <f>IF(MasterFees[[#This Row],[GST Basis]]="Incl",MasterFees[[#This Row],[Fee as Printed]],IF(MasterFees[[#This Row],[GST Basis]]="Excl",MasterFees[[#This Row],[Fee as Printed]]*(1+GST_Rate),""))</f>
        <v/>
      </c>
      <c r="O156" s="42">
        <f>IF(N(MasterFees[[#This Row],[Total Units]])=0,"",MasterFees[[#This Row],[Fee as Printed]]/MasterFees[[#This Row],[Total Units]])</f>
        <v>57.2</v>
      </c>
      <c r="P156" s="43"/>
      <c r="Q156" s="46" t="s">
        <v>1013</v>
      </c>
      <c r="R156" s="46" t="s">
        <v>1264</v>
      </c>
      <c r="S156" s="37"/>
    </row>
    <row r="157" spans="1:19" x14ac:dyDescent="0.2">
      <c r="A157" s="36"/>
      <c r="B157" s="38" t="str">
        <f>IF(MasterFees[[#This Row],[RVG Code]]="","",_xlfn.XLOOKUP(MasterFees[[#This Row],[RVG Code]],RVGCodes[Code],RVGCodes[Base Units],"Code not found"))</f>
        <v/>
      </c>
      <c r="C157" s="37" t="s">
        <v>159</v>
      </c>
      <c r="D157" s="44" t="s">
        <v>1108</v>
      </c>
      <c r="E157" s="44"/>
      <c r="F157" s="44" t="s">
        <v>1109</v>
      </c>
      <c r="G157" s="39">
        <v>0</v>
      </c>
      <c r="H157" s="39">
        <v>0</v>
      </c>
      <c r="I157" s="39">
        <v>0</v>
      </c>
      <c r="J157" s="39">
        <v>0</v>
      </c>
      <c r="K157" s="40">
        <v>0</v>
      </c>
      <c r="L157" s="45" t="s">
        <v>1015</v>
      </c>
      <c r="M157" s="41" t="str">
        <f>IF(MasterFees[[#This Row],[GST Basis]]="Excl",MasterFees[[#This Row],[Fee as Printed]],IF(MasterFees[[#This Row],[GST Basis]]="Incl",MasterFees[[#This Row],[Fee as Printed]]/(1+GST_Rate),""))</f>
        <v/>
      </c>
      <c r="N157" s="41" t="str">
        <f>IF(MasterFees[[#This Row],[GST Basis]]="Incl",MasterFees[[#This Row],[Fee as Printed]],IF(MasterFees[[#This Row],[GST Basis]]="Excl",MasterFees[[#This Row],[Fee as Printed]]*(1+GST_Rate),""))</f>
        <v/>
      </c>
      <c r="O157" s="42" t="str">
        <f>IF(N(MasterFees[[#This Row],[Total Units]])=0,"",MasterFees[[#This Row],[Fee as Printed]]/MasterFees[[#This Row],[Total Units]])</f>
        <v/>
      </c>
      <c r="P157" s="43"/>
      <c r="Q157" s="46" t="s">
        <v>1013</v>
      </c>
      <c r="R157" s="46" t="s">
        <v>1265</v>
      </c>
      <c r="S157" s="37"/>
    </row>
    <row r="158" spans="1:19" x14ac:dyDescent="0.2">
      <c r="A158" s="36"/>
      <c r="B158" s="38" t="str">
        <f>IF(MasterFees[[#This Row],[RVG Code]]="","",_xlfn.XLOOKUP(MasterFees[[#This Row],[RVG Code]],RVGCodes[Code],RVGCodes[Base Units],"Code not found"))</f>
        <v/>
      </c>
      <c r="C158" s="37" t="s">
        <v>155</v>
      </c>
      <c r="D158" s="44" t="s">
        <v>1108</v>
      </c>
      <c r="E158" s="44"/>
      <c r="F158" s="44" t="s">
        <v>1109</v>
      </c>
      <c r="G158" s="39">
        <v>0.8</v>
      </c>
      <c r="H158" s="39">
        <v>0.5</v>
      </c>
      <c r="I158" s="39">
        <v>0.3</v>
      </c>
      <c r="J158" s="39">
        <v>1.6</v>
      </c>
      <c r="K158" s="40">
        <v>87.45</v>
      </c>
      <c r="L158" s="45" t="s">
        <v>1015</v>
      </c>
      <c r="M158" s="41" t="str">
        <f>IF(MasterFees[[#This Row],[GST Basis]]="Excl",MasterFees[[#This Row],[Fee as Printed]],IF(MasterFees[[#This Row],[GST Basis]]="Incl",MasterFees[[#This Row],[Fee as Printed]]/(1+GST_Rate),""))</f>
        <v/>
      </c>
      <c r="N158" s="41" t="str">
        <f>IF(MasterFees[[#This Row],[GST Basis]]="Incl",MasterFees[[#This Row],[Fee as Printed]],IF(MasterFees[[#This Row],[GST Basis]]="Excl",MasterFees[[#This Row],[Fee as Printed]]*(1+GST_Rate),""))</f>
        <v/>
      </c>
      <c r="O158" s="42">
        <f>IF(N(MasterFees[[#This Row],[Total Units]])=0,"",MasterFees[[#This Row],[Fee as Printed]]/MasterFees[[#This Row],[Total Units]])</f>
        <v>54.65625</v>
      </c>
      <c r="P158" s="43"/>
      <c r="Q158" s="46" t="s">
        <v>1013</v>
      </c>
      <c r="R158" s="46" t="s">
        <v>1266</v>
      </c>
      <c r="S158" s="37"/>
    </row>
    <row r="159" spans="1:19" x14ac:dyDescent="0.2">
      <c r="A159" s="36"/>
      <c r="B159" s="38" t="str">
        <f>IF(MasterFees[[#This Row],[RVG Code]]="","",_xlfn.XLOOKUP(MasterFees[[#This Row],[RVG Code]],RVGCodes[Code],RVGCodes[Base Units],"Code not found"))</f>
        <v/>
      </c>
      <c r="C159" s="37" t="s">
        <v>160</v>
      </c>
      <c r="D159" s="44" t="s">
        <v>1108</v>
      </c>
      <c r="E159" s="44"/>
      <c r="F159" s="44" t="s">
        <v>1109</v>
      </c>
      <c r="G159" s="39">
        <v>0.8</v>
      </c>
      <c r="H159" s="39">
        <v>0.4</v>
      </c>
      <c r="I159" s="39">
        <v>0.2</v>
      </c>
      <c r="J159" s="39">
        <v>1.4</v>
      </c>
      <c r="K159" s="40">
        <v>76.45</v>
      </c>
      <c r="L159" s="45" t="s">
        <v>1015</v>
      </c>
      <c r="M159" s="41" t="str">
        <f>IF(MasterFees[[#This Row],[GST Basis]]="Excl",MasterFees[[#This Row],[Fee as Printed]],IF(MasterFees[[#This Row],[GST Basis]]="Incl",MasterFees[[#This Row],[Fee as Printed]]/(1+GST_Rate),""))</f>
        <v/>
      </c>
      <c r="N159" s="41" t="str">
        <f>IF(MasterFees[[#This Row],[GST Basis]]="Incl",MasterFees[[#This Row],[Fee as Printed]],IF(MasterFees[[#This Row],[GST Basis]]="Excl",MasterFees[[#This Row],[Fee as Printed]]*(1+GST_Rate),""))</f>
        <v/>
      </c>
      <c r="O159" s="42">
        <f>IF(N(MasterFees[[#This Row],[Total Units]])=0,"",MasterFees[[#This Row],[Fee as Printed]]/MasterFees[[#This Row],[Total Units]])</f>
        <v>54.607142857142861</v>
      </c>
      <c r="P159" s="43"/>
      <c r="Q159" s="46" t="s">
        <v>1013</v>
      </c>
      <c r="R159" s="46" t="s">
        <v>1267</v>
      </c>
      <c r="S159" s="37"/>
    </row>
    <row r="160" spans="1:19" x14ac:dyDescent="0.2">
      <c r="A160" s="36"/>
      <c r="B160" s="38" t="str">
        <f>IF(MasterFees[[#This Row],[RVG Code]]="","",_xlfn.XLOOKUP(MasterFees[[#This Row],[RVG Code]],RVGCodes[Code],RVGCodes[Base Units],"Code not found"))</f>
        <v/>
      </c>
      <c r="C160" s="37" t="s">
        <v>161</v>
      </c>
      <c r="D160" s="44" t="s">
        <v>1108</v>
      </c>
      <c r="E160" s="44"/>
      <c r="F160" s="44" t="s">
        <v>1109</v>
      </c>
      <c r="G160" s="39">
        <v>4.3</v>
      </c>
      <c r="H160" s="39">
        <v>2.2000000000000002</v>
      </c>
      <c r="I160" s="39">
        <v>0.5</v>
      </c>
      <c r="J160" s="39">
        <v>7</v>
      </c>
      <c r="K160" s="40">
        <v>384.45</v>
      </c>
      <c r="L160" s="45" t="s">
        <v>1015</v>
      </c>
      <c r="M160" s="41" t="str">
        <f>IF(MasterFees[[#This Row],[GST Basis]]="Excl",MasterFees[[#This Row],[Fee as Printed]],IF(MasterFees[[#This Row],[GST Basis]]="Incl",MasterFees[[#This Row],[Fee as Printed]]/(1+GST_Rate),""))</f>
        <v/>
      </c>
      <c r="N160" s="41" t="str">
        <f>IF(MasterFees[[#This Row],[GST Basis]]="Incl",MasterFees[[#This Row],[Fee as Printed]],IF(MasterFees[[#This Row],[GST Basis]]="Excl",MasterFees[[#This Row],[Fee as Printed]]*(1+GST_Rate),""))</f>
        <v/>
      </c>
      <c r="O160" s="42">
        <f>IF(N(MasterFees[[#This Row],[Total Units]])=0,"",MasterFees[[#This Row],[Fee as Printed]]/MasterFees[[#This Row],[Total Units]])</f>
        <v>54.921428571428571</v>
      </c>
      <c r="P160" s="43"/>
      <c r="Q160" s="46" t="s">
        <v>1013</v>
      </c>
      <c r="R160" s="46" t="s">
        <v>1268</v>
      </c>
      <c r="S160" s="37"/>
    </row>
    <row r="161" spans="1:19" x14ac:dyDescent="0.2">
      <c r="A161" s="36"/>
      <c r="B161" s="38" t="str">
        <f>IF(MasterFees[[#This Row],[RVG Code]]="","",_xlfn.XLOOKUP(MasterFees[[#This Row],[RVG Code]],RVGCodes[Code],RVGCodes[Base Units],"Code not found"))</f>
        <v/>
      </c>
      <c r="C161" s="37" t="s">
        <v>162</v>
      </c>
      <c r="D161" s="44" t="s">
        <v>1108</v>
      </c>
      <c r="E161" s="44"/>
      <c r="F161" s="44" t="s">
        <v>1109</v>
      </c>
      <c r="G161" s="39">
        <v>5</v>
      </c>
      <c r="H161" s="39">
        <v>15</v>
      </c>
      <c r="I161" s="39">
        <v>0</v>
      </c>
      <c r="J161" s="39">
        <v>20</v>
      </c>
      <c r="K161" s="40">
        <v>1100</v>
      </c>
      <c r="L161" s="45" t="s">
        <v>1015</v>
      </c>
      <c r="M161" s="41" t="str">
        <f>IF(MasterFees[[#This Row],[GST Basis]]="Excl",MasterFees[[#This Row],[Fee as Printed]],IF(MasterFees[[#This Row],[GST Basis]]="Incl",MasterFees[[#This Row],[Fee as Printed]]/(1+GST_Rate),""))</f>
        <v/>
      </c>
      <c r="N161" s="41" t="str">
        <f>IF(MasterFees[[#This Row],[GST Basis]]="Incl",MasterFees[[#This Row],[Fee as Printed]],IF(MasterFees[[#This Row],[GST Basis]]="Excl",MasterFees[[#This Row],[Fee as Printed]]*(1+GST_Rate),""))</f>
        <v/>
      </c>
      <c r="O161" s="42">
        <f>IF(N(MasterFees[[#This Row],[Total Units]])=0,"",MasterFees[[#This Row],[Fee as Printed]]/MasterFees[[#This Row],[Total Units]])</f>
        <v>55</v>
      </c>
      <c r="P161" s="43"/>
      <c r="Q161" s="46" t="s">
        <v>1013</v>
      </c>
      <c r="R161" s="46" t="s">
        <v>1269</v>
      </c>
      <c r="S161" s="37"/>
    </row>
    <row r="162" spans="1:19" x14ac:dyDescent="0.2">
      <c r="A162" s="36"/>
      <c r="B162" s="38" t="str">
        <f>IF(MasterFees[[#This Row],[RVG Code]]="","",_xlfn.XLOOKUP(MasterFees[[#This Row],[RVG Code]],RVGCodes[Code],RVGCodes[Base Units],"Code not found"))</f>
        <v/>
      </c>
      <c r="C162" s="37" t="s">
        <v>163</v>
      </c>
      <c r="D162" s="44" t="s">
        <v>1108</v>
      </c>
      <c r="E162" s="44"/>
      <c r="F162" s="44" t="s">
        <v>1109</v>
      </c>
      <c r="G162" s="39">
        <v>1.2</v>
      </c>
      <c r="H162" s="39">
        <v>0.7</v>
      </c>
      <c r="I162" s="39">
        <v>0.5</v>
      </c>
      <c r="J162" s="39">
        <v>2.4</v>
      </c>
      <c r="K162" s="40">
        <v>130.9</v>
      </c>
      <c r="L162" s="45" t="s">
        <v>1015</v>
      </c>
      <c r="M162" s="41" t="str">
        <f>IF(MasterFees[[#This Row],[GST Basis]]="Excl",MasterFees[[#This Row],[Fee as Printed]],IF(MasterFees[[#This Row],[GST Basis]]="Incl",MasterFees[[#This Row],[Fee as Printed]]/(1+GST_Rate),""))</f>
        <v/>
      </c>
      <c r="N162" s="41" t="str">
        <f>IF(MasterFees[[#This Row],[GST Basis]]="Incl",MasterFees[[#This Row],[Fee as Printed]],IF(MasterFees[[#This Row],[GST Basis]]="Excl",MasterFees[[#This Row],[Fee as Printed]]*(1+GST_Rate),""))</f>
        <v/>
      </c>
      <c r="O162" s="42">
        <f>IF(N(MasterFees[[#This Row],[Total Units]])=0,"",MasterFees[[#This Row],[Fee as Printed]]/MasterFees[[#This Row],[Total Units]])</f>
        <v>54.541666666666671</v>
      </c>
      <c r="P162" s="43"/>
      <c r="Q162" s="46" t="s">
        <v>1013</v>
      </c>
      <c r="R162" s="46" t="s">
        <v>1270</v>
      </c>
      <c r="S162" s="37"/>
    </row>
    <row r="163" spans="1:19" x14ac:dyDescent="0.2">
      <c r="A163" s="36"/>
      <c r="B163" s="38" t="str">
        <f>IF(MasterFees[[#This Row],[RVG Code]]="","",_xlfn.XLOOKUP(MasterFees[[#This Row],[RVG Code]],RVGCodes[Code],RVGCodes[Base Units],"Code not found"))</f>
        <v/>
      </c>
      <c r="C163" s="37" t="s">
        <v>164</v>
      </c>
      <c r="D163" s="44" t="s">
        <v>1108</v>
      </c>
      <c r="E163" s="44"/>
      <c r="F163" s="44" t="s">
        <v>1109</v>
      </c>
      <c r="G163" s="39">
        <v>10</v>
      </c>
      <c r="H163" s="39">
        <v>12</v>
      </c>
      <c r="I163" s="39">
        <v>4</v>
      </c>
      <c r="J163" s="39">
        <v>26</v>
      </c>
      <c r="K163" s="40">
        <v>1430</v>
      </c>
      <c r="L163" s="45" t="s">
        <v>1015</v>
      </c>
      <c r="M163" s="41" t="str">
        <f>IF(MasterFees[[#This Row],[GST Basis]]="Excl",MasterFees[[#This Row],[Fee as Printed]],IF(MasterFees[[#This Row],[GST Basis]]="Incl",MasterFees[[#This Row],[Fee as Printed]]/(1+GST_Rate),""))</f>
        <v/>
      </c>
      <c r="N163" s="41" t="str">
        <f>IF(MasterFees[[#This Row],[GST Basis]]="Incl",MasterFees[[#This Row],[Fee as Printed]],IF(MasterFees[[#This Row],[GST Basis]]="Excl",MasterFees[[#This Row],[Fee as Printed]]*(1+GST_Rate),""))</f>
        <v/>
      </c>
      <c r="O163" s="42">
        <f>IF(N(MasterFees[[#This Row],[Total Units]])=0,"",MasterFees[[#This Row],[Fee as Printed]]/MasterFees[[#This Row],[Total Units]])</f>
        <v>55</v>
      </c>
      <c r="P163" s="43"/>
      <c r="Q163" s="46" t="s">
        <v>1013</v>
      </c>
      <c r="R163" s="46" t="s">
        <v>1271</v>
      </c>
      <c r="S163" s="37"/>
    </row>
    <row r="164" spans="1:19" x14ac:dyDescent="0.2">
      <c r="A164" s="36"/>
      <c r="B164" s="38" t="str">
        <f>IF(MasterFees[[#This Row],[RVG Code]]="","",_xlfn.XLOOKUP(MasterFees[[#This Row],[RVG Code]],RVGCodes[Code],RVGCodes[Base Units],"Code not found"))</f>
        <v/>
      </c>
      <c r="C164" s="37" t="s">
        <v>165</v>
      </c>
      <c r="D164" s="44" t="s">
        <v>1108</v>
      </c>
      <c r="E164" s="44"/>
      <c r="F164" s="44" t="s">
        <v>1109</v>
      </c>
      <c r="G164" s="39">
        <v>0</v>
      </c>
      <c r="H164" s="39">
        <v>0</v>
      </c>
      <c r="I164" s="39">
        <v>0</v>
      </c>
      <c r="J164" s="39">
        <v>0</v>
      </c>
      <c r="K164" s="40">
        <v>0</v>
      </c>
      <c r="L164" s="45" t="s">
        <v>1015</v>
      </c>
      <c r="M164" s="41" t="str">
        <f>IF(MasterFees[[#This Row],[GST Basis]]="Excl",MasterFees[[#This Row],[Fee as Printed]],IF(MasterFees[[#This Row],[GST Basis]]="Incl",MasterFees[[#This Row],[Fee as Printed]]/(1+GST_Rate),""))</f>
        <v/>
      </c>
      <c r="N164" s="41" t="str">
        <f>IF(MasterFees[[#This Row],[GST Basis]]="Incl",MasterFees[[#This Row],[Fee as Printed]],IF(MasterFees[[#This Row],[GST Basis]]="Excl",MasterFees[[#This Row],[Fee as Printed]]*(1+GST_Rate),""))</f>
        <v/>
      </c>
      <c r="O164" s="42" t="str">
        <f>IF(N(MasterFees[[#This Row],[Total Units]])=0,"",MasterFees[[#This Row],[Fee as Printed]]/MasterFees[[#This Row],[Total Units]])</f>
        <v/>
      </c>
      <c r="P164" s="43"/>
      <c r="Q164" s="46" t="s">
        <v>1013</v>
      </c>
      <c r="R164" s="46" t="s">
        <v>1272</v>
      </c>
      <c r="S164" s="37"/>
    </row>
    <row r="165" spans="1:19" x14ac:dyDescent="0.2">
      <c r="A165" s="36"/>
      <c r="B165" s="38" t="str">
        <f>IF(MasterFees[[#This Row],[RVG Code]]="","",_xlfn.XLOOKUP(MasterFees[[#This Row],[RVG Code]],RVGCodes[Code],RVGCodes[Base Units],"Code not found"))</f>
        <v/>
      </c>
      <c r="C165" s="37" t="s">
        <v>166</v>
      </c>
      <c r="D165" s="44" t="s">
        <v>1108</v>
      </c>
      <c r="E165" s="44"/>
      <c r="F165" s="44" t="s">
        <v>1109</v>
      </c>
      <c r="G165" s="39">
        <v>0</v>
      </c>
      <c r="H165" s="39">
        <v>2.2999999999999998</v>
      </c>
      <c r="I165" s="39">
        <v>0</v>
      </c>
      <c r="J165" s="39">
        <v>2.2999999999999998</v>
      </c>
      <c r="K165" s="40">
        <v>128.15</v>
      </c>
      <c r="L165" s="45" t="s">
        <v>1015</v>
      </c>
      <c r="M165" s="41" t="str">
        <f>IF(MasterFees[[#This Row],[GST Basis]]="Excl",MasterFees[[#This Row],[Fee as Printed]],IF(MasterFees[[#This Row],[GST Basis]]="Incl",MasterFees[[#This Row],[Fee as Printed]]/(1+GST_Rate),""))</f>
        <v/>
      </c>
      <c r="N165" s="41" t="str">
        <f>IF(MasterFees[[#This Row],[GST Basis]]="Incl",MasterFees[[#This Row],[Fee as Printed]],IF(MasterFees[[#This Row],[GST Basis]]="Excl",MasterFees[[#This Row],[Fee as Printed]]*(1+GST_Rate),""))</f>
        <v/>
      </c>
      <c r="O165" s="42">
        <f>IF(N(MasterFees[[#This Row],[Total Units]])=0,"",MasterFees[[#This Row],[Fee as Printed]]/MasterFees[[#This Row],[Total Units]])</f>
        <v>55.717391304347835</v>
      </c>
      <c r="P165" s="43"/>
      <c r="Q165" s="46" t="s">
        <v>1013</v>
      </c>
      <c r="R165" s="46" t="s">
        <v>1273</v>
      </c>
      <c r="S165" s="37"/>
    </row>
    <row r="166" spans="1:19" x14ac:dyDescent="0.2">
      <c r="A166" s="36"/>
      <c r="B166" s="38" t="str">
        <f>IF(MasterFees[[#This Row],[RVG Code]]="","",_xlfn.XLOOKUP(MasterFees[[#This Row],[RVG Code]],RVGCodes[Code],RVGCodes[Base Units],"Code not found"))</f>
        <v/>
      </c>
      <c r="C166" s="37" t="s">
        <v>167</v>
      </c>
      <c r="D166" s="44" t="s">
        <v>1108</v>
      </c>
      <c r="E166" s="44"/>
      <c r="F166" s="44" t="s">
        <v>1109</v>
      </c>
      <c r="G166" s="39">
        <v>4.0999999999999996</v>
      </c>
      <c r="H166" s="39">
        <v>3</v>
      </c>
      <c r="I166" s="39">
        <v>0.3</v>
      </c>
      <c r="J166" s="39">
        <v>7.3</v>
      </c>
      <c r="K166" s="40">
        <v>401.5</v>
      </c>
      <c r="L166" s="45" t="s">
        <v>1015</v>
      </c>
      <c r="M166" s="41" t="str">
        <f>IF(MasterFees[[#This Row],[GST Basis]]="Excl",MasterFees[[#This Row],[Fee as Printed]],IF(MasterFees[[#This Row],[GST Basis]]="Incl",MasterFees[[#This Row],[Fee as Printed]]/(1+GST_Rate),""))</f>
        <v/>
      </c>
      <c r="N166" s="41" t="str">
        <f>IF(MasterFees[[#This Row],[GST Basis]]="Incl",MasterFees[[#This Row],[Fee as Printed]],IF(MasterFees[[#This Row],[GST Basis]]="Excl",MasterFees[[#This Row],[Fee as Printed]]*(1+GST_Rate),""))</f>
        <v/>
      </c>
      <c r="O166" s="42">
        <f>IF(N(MasterFees[[#This Row],[Total Units]])=0,"",MasterFees[[#This Row],[Fee as Printed]]/MasterFees[[#This Row],[Total Units]])</f>
        <v>55</v>
      </c>
      <c r="P166" s="43"/>
      <c r="Q166" s="46" t="s">
        <v>1013</v>
      </c>
      <c r="R166" s="46" t="s">
        <v>1274</v>
      </c>
      <c r="S166" s="37"/>
    </row>
    <row r="167" spans="1:19" x14ac:dyDescent="0.2">
      <c r="A167" s="36"/>
      <c r="B167" s="38" t="str">
        <f>IF(MasterFees[[#This Row],[RVG Code]]="","",_xlfn.XLOOKUP(MasterFees[[#This Row],[RVG Code]],RVGCodes[Code],RVGCodes[Base Units],"Code not found"))</f>
        <v/>
      </c>
      <c r="C167" s="37" t="s">
        <v>168</v>
      </c>
      <c r="D167" s="44" t="s">
        <v>1108</v>
      </c>
      <c r="E167" s="44"/>
      <c r="F167" s="44" t="s">
        <v>1109</v>
      </c>
      <c r="G167" s="39">
        <v>4</v>
      </c>
      <c r="H167" s="39">
        <v>2</v>
      </c>
      <c r="I167" s="39">
        <v>0</v>
      </c>
      <c r="J167" s="39">
        <v>6</v>
      </c>
      <c r="K167" s="40">
        <v>330</v>
      </c>
      <c r="L167" s="45" t="s">
        <v>1015</v>
      </c>
      <c r="M167" s="41" t="str">
        <f>IF(MasterFees[[#This Row],[GST Basis]]="Excl",MasterFees[[#This Row],[Fee as Printed]],IF(MasterFees[[#This Row],[GST Basis]]="Incl",MasterFees[[#This Row],[Fee as Printed]]/(1+GST_Rate),""))</f>
        <v/>
      </c>
      <c r="N167" s="41" t="str">
        <f>IF(MasterFees[[#This Row],[GST Basis]]="Incl",MasterFees[[#This Row],[Fee as Printed]],IF(MasterFees[[#This Row],[GST Basis]]="Excl",MasterFees[[#This Row],[Fee as Printed]]*(1+GST_Rate),""))</f>
        <v/>
      </c>
      <c r="O167" s="42">
        <f>IF(N(MasterFees[[#This Row],[Total Units]])=0,"",MasterFees[[#This Row],[Fee as Printed]]/MasterFees[[#This Row],[Total Units]])</f>
        <v>55</v>
      </c>
      <c r="P167" s="43"/>
      <c r="Q167" s="46" t="s">
        <v>1013</v>
      </c>
      <c r="R167" s="46" t="s">
        <v>1275</v>
      </c>
      <c r="S167" s="37"/>
    </row>
    <row r="168" spans="1:19" x14ac:dyDescent="0.2">
      <c r="A168" s="36"/>
      <c r="B168" s="38" t="str">
        <f>IF(MasterFees[[#This Row],[RVG Code]]="","",_xlfn.XLOOKUP(MasterFees[[#This Row],[RVG Code]],RVGCodes[Code],RVGCodes[Base Units],"Code not found"))</f>
        <v/>
      </c>
      <c r="C168" s="37" t="s">
        <v>169</v>
      </c>
      <c r="D168" s="44" t="s">
        <v>1108</v>
      </c>
      <c r="E168" s="44"/>
      <c r="F168" s="44" t="s">
        <v>1109</v>
      </c>
      <c r="G168" s="39">
        <v>6</v>
      </c>
      <c r="H168" s="39">
        <v>8</v>
      </c>
      <c r="I168" s="39">
        <v>0</v>
      </c>
      <c r="J168" s="39">
        <v>14</v>
      </c>
      <c r="K168" s="40">
        <v>770</v>
      </c>
      <c r="L168" s="45" t="s">
        <v>1015</v>
      </c>
      <c r="M168" s="41" t="str">
        <f>IF(MasterFees[[#This Row],[GST Basis]]="Excl",MasterFees[[#This Row],[Fee as Printed]],IF(MasterFees[[#This Row],[GST Basis]]="Incl",MasterFees[[#This Row],[Fee as Printed]]/(1+GST_Rate),""))</f>
        <v/>
      </c>
      <c r="N168" s="41" t="str">
        <f>IF(MasterFees[[#This Row],[GST Basis]]="Incl",MasterFees[[#This Row],[Fee as Printed]],IF(MasterFees[[#This Row],[GST Basis]]="Excl",MasterFees[[#This Row],[Fee as Printed]]*(1+GST_Rate),""))</f>
        <v/>
      </c>
      <c r="O168" s="42">
        <f>IF(N(MasterFees[[#This Row],[Total Units]])=0,"",MasterFees[[#This Row],[Fee as Printed]]/MasterFees[[#This Row],[Total Units]])</f>
        <v>55</v>
      </c>
      <c r="P168" s="43"/>
      <c r="Q168" s="46" t="s">
        <v>1013</v>
      </c>
      <c r="R168" s="46" t="s">
        <v>1276</v>
      </c>
      <c r="S168" s="37"/>
    </row>
    <row r="169" spans="1:19" x14ac:dyDescent="0.2">
      <c r="A169" s="36"/>
      <c r="B169" s="38" t="str">
        <f>IF(MasterFees[[#This Row],[RVG Code]]="","",_xlfn.XLOOKUP(MasterFees[[#This Row],[RVG Code]],RVGCodes[Code],RVGCodes[Base Units],"Code not found"))</f>
        <v/>
      </c>
      <c r="C169" s="37" t="s">
        <v>170</v>
      </c>
      <c r="D169" s="44" t="s">
        <v>1108</v>
      </c>
      <c r="E169" s="44"/>
      <c r="F169" s="44" t="s">
        <v>1109</v>
      </c>
      <c r="G169" s="39">
        <v>6.8</v>
      </c>
      <c r="H169" s="39">
        <v>8</v>
      </c>
      <c r="I169" s="39">
        <v>1.8</v>
      </c>
      <c r="J169" s="39">
        <v>16.600000000000001</v>
      </c>
      <c r="K169" s="40">
        <v>913</v>
      </c>
      <c r="L169" s="45" t="s">
        <v>1015</v>
      </c>
      <c r="M169" s="41" t="str">
        <f>IF(MasterFees[[#This Row],[GST Basis]]="Excl",MasterFees[[#This Row],[Fee as Printed]],IF(MasterFees[[#This Row],[GST Basis]]="Incl",MasterFees[[#This Row],[Fee as Printed]]/(1+GST_Rate),""))</f>
        <v/>
      </c>
      <c r="N169" s="41" t="str">
        <f>IF(MasterFees[[#This Row],[GST Basis]]="Incl",MasterFees[[#This Row],[Fee as Printed]],IF(MasterFees[[#This Row],[GST Basis]]="Excl",MasterFees[[#This Row],[Fee as Printed]]*(1+GST_Rate),""))</f>
        <v/>
      </c>
      <c r="O169" s="42">
        <f>IF(N(MasterFees[[#This Row],[Total Units]])=0,"",MasterFees[[#This Row],[Fee as Printed]]/MasterFees[[#This Row],[Total Units]])</f>
        <v>54.999999999999993</v>
      </c>
      <c r="P169" s="43"/>
      <c r="Q169" s="46" t="s">
        <v>1013</v>
      </c>
      <c r="R169" s="46" t="s">
        <v>1277</v>
      </c>
      <c r="S169" s="37"/>
    </row>
    <row r="170" spans="1:19" x14ac:dyDescent="0.2">
      <c r="A170" s="36"/>
      <c r="B170" s="38" t="str">
        <f>IF(MasterFees[[#This Row],[RVG Code]]="","",_xlfn.XLOOKUP(MasterFees[[#This Row],[RVG Code]],RVGCodes[Code],RVGCodes[Base Units],"Code not found"))</f>
        <v/>
      </c>
      <c r="C170" s="37" t="s">
        <v>171</v>
      </c>
      <c r="D170" s="44" t="s">
        <v>1108</v>
      </c>
      <c r="E170" s="44"/>
      <c r="F170" s="44" t="s">
        <v>1109</v>
      </c>
      <c r="G170" s="39">
        <v>6.4</v>
      </c>
      <c r="H170" s="39">
        <v>6.4</v>
      </c>
      <c r="I170" s="39">
        <v>1</v>
      </c>
      <c r="J170" s="39">
        <v>13.8</v>
      </c>
      <c r="K170" s="40">
        <v>759</v>
      </c>
      <c r="L170" s="45" t="s">
        <v>1015</v>
      </c>
      <c r="M170" s="41" t="str">
        <f>IF(MasterFees[[#This Row],[GST Basis]]="Excl",MasterFees[[#This Row],[Fee as Printed]],IF(MasterFees[[#This Row],[GST Basis]]="Incl",MasterFees[[#This Row],[Fee as Printed]]/(1+GST_Rate),""))</f>
        <v/>
      </c>
      <c r="N170" s="41" t="str">
        <f>IF(MasterFees[[#This Row],[GST Basis]]="Incl",MasterFees[[#This Row],[Fee as Printed]],IF(MasterFees[[#This Row],[GST Basis]]="Excl",MasterFees[[#This Row],[Fee as Printed]]*(1+GST_Rate),""))</f>
        <v/>
      </c>
      <c r="O170" s="42">
        <f>IF(N(MasterFees[[#This Row],[Total Units]])=0,"",MasterFees[[#This Row],[Fee as Printed]]/MasterFees[[#This Row],[Total Units]])</f>
        <v>55</v>
      </c>
      <c r="P170" s="43"/>
      <c r="Q170" s="46" t="s">
        <v>1013</v>
      </c>
      <c r="R170" s="46" t="s">
        <v>1278</v>
      </c>
      <c r="S170" s="37"/>
    </row>
    <row r="171" spans="1:19" x14ac:dyDescent="0.2">
      <c r="A171" s="36"/>
      <c r="B171" s="38" t="str">
        <f>IF(MasterFees[[#This Row],[RVG Code]]="","",_xlfn.XLOOKUP(MasterFees[[#This Row],[RVG Code]],RVGCodes[Code],RVGCodes[Base Units],"Code not found"))</f>
        <v/>
      </c>
      <c r="C171" s="37" t="s">
        <v>172</v>
      </c>
      <c r="D171" s="44" t="s">
        <v>1108</v>
      </c>
      <c r="E171" s="44"/>
      <c r="F171" s="44" t="s">
        <v>1109</v>
      </c>
      <c r="G171" s="39">
        <v>8</v>
      </c>
      <c r="H171" s="39">
        <v>5.3</v>
      </c>
      <c r="I171" s="39">
        <v>0.7</v>
      </c>
      <c r="J171" s="39">
        <v>14</v>
      </c>
      <c r="K171" s="40">
        <v>769.45</v>
      </c>
      <c r="L171" s="45" t="s">
        <v>1015</v>
      </c>
      <c r="M171" s="41" t="str">
        <f>IF(MasterFees[[#This Row],[GST Basis]]="Excl",MasterFees[[#This Row],[Fee as Printed]],IF(MasterFees[[#This Row],[GST Basis]]="Incl",MasterFees[[#This Row],[Fee as Printed]]/(1+GST_Rate),""))</f>
        <v/>
      </c>
      <c r="N171" s="41" t="str">
        <f>IF(MasterFees[[#This Row],[GST Basis]]="Incl",MasterFees[[#This Row],[Fee as Printed]],IF(MasterFees[[#This Row],[GST Basis]]="Excl",MasterFees[[#This Row],[Fee as Printed]]*(1+GST_Rate),""))</f>
        <v/>
      </c>
      <c r="O171" s="42">
        <f>IF(N(MasterFees[[#This Row],[Total Units]])=0,"",MasterFees[[#This Row],[Fee as Printed]]/MasterFees[[#This Row],[Total Units]])</f>
        <v>54.960714285714289</v>
      </c>
      <c r="P171" s="43"/>
      <c r="Q171" s="46" t="s">
        <v>1013</v>
      </c>
      <c r="R171" s="46" t="s">
        <v>1279</v>
      </c>
      <c r="S171" s="37"/>
    </row>
    <row r="172" spans="1:19" x14ac:dyDescent="0.2">
      <c r="A172" s="36"/>
      <c r="B172" s="38" t="str">
        <f>IF(MasterFees[[#This Row],[RVG Code]]="","",_xlfn.XLOOKUP(MasterFees[[#This Row],[RVG Code]],RVGCodes[Code],RVGCodes[Base Units],"Code not found"))</f>
        <v/>
      </c>
      <c r="C172" s="37" t="s">
        <v>173</v>
      </c>
      <c r="D172" s="44" t="s">
        <v>1108</v>
      </c>
      <c r="E172" s="44"/>
      <c r="F172" s="44" t="s">
        <v>1109</v>
      </c>
      <c r="G172" s="39">
        <v>6</v>
      </c>
      <c r="H172" s="39">
        <v>6.4</v>
      </c>
      <c r="I172" s="39">
        <v>0.2</v>
      </c>
      <c r="J172" s="39">
        <v>12.6</v>
      </c>
      <c r="K172" s="40">
        <v>693</v>
      </c>
      <c r="L172" s="45" t="s">
        <v>1015</v>
      </c>
      <c r="M172" s="41" t="str">
        <f>IF(MasterFees[[#This Row],[GST Basis]]="Excl",MasterFees[[#This Row],[Fee as Printed]],IF(MasterFees[[#This Row],[GST Basis]]="Incl",MasterFees[[#This Row],[Fee as Printed]]/(1+GST_Rate),""))</f>
        <v/>
      </c>
      <c r="N172" s="41" t="str">
        <f>IF(MasterFees[[#This Row],[GST Basis]]="Incl",MasterFees[[#This Row],[Fee as Printed]],IF(MasterFees[[#This Row],[GST Basis]]="Excl",MasterFees[[#This Row],[Fee as Printed]]*(1+GST_Rate),""))</f>
        <v/>
      </c>
      <c r="O172" s="42">
        <f>IF(N(MasterFees[[#This Row],[Total Units]])=0,"",MasterFees[[#This Row],[Fee as Printed]]/MasterFees[[#This Row],[Total Units]])</f>
        <v>55</v>
      </c>
      <c r="P172" s="43"/>
      <c r="Q172" s="46" t="s">
        <v>1013</v>
      </c>
      <c r="R172" s="46" t="s">
        <v>1280</v>
      </c>
      <c r="S172" s="37"/>
    </row>
    <row r="173" spans="1:19" x14ac:dyDescent="0.2">
      <c r="A173" s="36"/>
      <c r="B173" s="38" t="str">
        <f>IF(MasterFees[[#This Row],[RVG Code]]="","",_xlfn.XLOOKUP(MasterFees[[#This Row],[RVG Code]],RVGCodes[Code],RVGCodes[Base Units],"Code not found"))</f>
        <v/>
      </c>
      <c r="C173" s="37" t="s">
        <v>174</v>
      </c>
      <c r="D173" s="44" t="s">
        <v>1108</v>
      </c>
      <c r="E173" s="44"/>
      <c r="F173" s="44" t="s">
        <v>1109</v>
      </c>
      <c r="G173" s="39">
        <v>5</v>
      </c>
      <c r="H173" s="39">
        <v>3.4</v>
      </c>
      <c r="I173" s="39">
        <v>0.1</v>
      </c>
      <c r="J173" s="39">
        <v>8.4</v>
      </c>
      <c r="K173" s="40">
        <v>461.45</v>
      </c>
      <c r="L173" s="45" t="s">
        <v>1015</v>
      </c>
      <c r="M173" s="41" t="str">
        <f>IF(MasterFees[[#This Row],[GST Basis]]="Excl",MasterFees[[#This Row],[Fee as Printed]],IF(MasterFees[[#This Row],[GST Basis]]="Incl",MasterFees[[#This Row],[Fee as Printed]]/(1+GST_Rate),""))</f>
        <v/>
      </c>
      <c r="N173" s="41" t="str">
        <f>IF(MasterFees[[#This Row],[GST Basis]]="Incl",MasterFees[[#This Row],[Fee as Printed]],IF(MasterFees[[#This Row],[GST Basis]]="Excl",MasterFees[[#This Row],[Fee as Printed]]*(1+GST_Rate),""))</f>
        <v/>
      </c>
      <c r="O173" s="42">
        <f>IF(N(MasterFees[[#This Row],[Total Units]])=0,"",MasterFees[[#This Row],[Fee as Printed]]/MasterFees[[#This Row],[Total Units]])</f>
        <v>54.934523809523803</v>
      </c>
      <c r="P173" s="43"/>
      <c r="Q173" s="46" t="s">
        <v>1013</v>
      </c>
      <c r="R173" s="46" t="s">
        <v>1281</v>
      </c>
      <c r="S173" s="37"/>
    </row>
    <row r="174" spans="1:19" x14ac:dyDescent="0.2">
      <c r="A174" s="36"/>
      <c r="B174" s="38" t="str">
        <f>IF(MasterFees[[#This Row],[RVG Code]]="","",_xlfn.XLOOKUP(MasterFees[[#This Row],[RVG Code]],RVGCodes[Code],RVGCodes[Base Units],"Code not found"))</f>
        <v/>
      </c>
      <c r="C174" s="37" t="s">
        <v>175</v>
      </c>
      <c r="D174" s="44" t="s">
        <v>1108</v>
      </c>
      <c r="E174" s="44"/>
      <c r="F174" s="44" t="s">
        <v>1109</v>
      </c>
      <c r="G174" s="39">
        <v>5</v>
      </c>
      <c r="H174" s="39">
        <v>3.9</v>
      </c>
      <c r="I174" s="39">
        <v>1.1000000000000001</v>
      </c>
      <c r="J174" s="39">
        <v>10</v>
      </c>
      <c r="K174" s="40">
        <v>547.25</v>
      </c>
      <c r="L174" s="45" t="s">
        <v>1015</v>
      </c>
      <c r="M174" s="41" t="str">
        <f>IF(MasterFees[[#This Row],[GST Basis]]="Excl",MasterFees[[#This Row],[Fee as Printed]],IF(MasterFees[[#This Row],[GST Basis]]="Incl",MasterFees[[#This Row],[Fee as Printed]]/(1+GST_Rate),""))</f>
        <v/>
      </c>
      <c r="N174" s="41" t="str">
        <f>IF(MasterFees[[#This Row],[GST Basis]]="Incl",MasterFees[[#This Row],[Fee as Printed]],IF(MasterFees[[#This Row],[GST Basis]]="Excl",MasterFees[[#This Row],[Fee as Printed]]*(1+GST_Rate),""))</f>
        <v/>
      </c>
      <c r="O174" s="42">
        <f>IF(N(MasterFees[[#This Row],[Total Units]])=0,"",MasterFees[[#This Row],[Fee as Printed]]/MasterFees[[#This Row],[Total Units]])</f>
        <v>54.725000000000001</v>
      </c>
      <c r="P174" s="43"/>
      <c r="Q174" s="46" t="s">
        <v>1013</v>
      </c>
      <c r="R174" s="46" t="s">
        <v>1282</v>
      </c>
      <c r="S174" s="37"/>
    </row>
    <row r="175" spans="1:19" x14ac:dyDescent="0.2">
      <c r="A175" s="36"/>
      <c r="B175" s="38" t="str">
        <f>IF(MasterFees[[#This Row],[RVG Code]]="","",_xlfn.XLOOKUP(MasterFees[[#This Row],[RVG Code]],RVGCodes[Code],RVGCodes[Base Units],"Code not found"))</f>
        <v/>
      </c>
      <c r="C175" s="37" t="s">
        <v>176</v>
      </c>
      <c r="D175" s="44" t="s">
        <v>1108</v>
      </c>
      <c r="E175" s="44"/>
      <c r="F175" s="44" t="s">
        <v>1109</v>
      </c>
      <c r="G175" s="39">
        <v>7.6</v>
      </c>
      <c r="H175" s="39">
        <v>5.7</v>
      </c>
      <c r="I175" s="39">
        <v>1</v>
      </c>
      <c r="J175" s="39">
        <v>14.3</v>
      </c>
      <c r="K175" s="40">
        <v>787.6</v>
      </c>
      <c r="L175" s="45" t="s">
        <v>1015</v>
      </c>
      <c r="M175" s="41" t="str">
        <f>IF(MasterFees[[#This Row],[GST Basis]]="Excl",MasterFees[[#This Row],[Fee as Printed]],IF(MasterFees[[#This Row],[GST Basis]]="Incl",MasterFees[[#This Row],[Fee as Printed]]/(1+GST_Rate),""))</f>
        <v/>
      </c>
      <c r="N175" s="41" t="str">
        <f>IF(MasterFees[[#This Row],[GST Basis]]="Incl",MasterFees[[#This Row],[Fee as Printed]],IF(MasterFees[[#This Row],[GST Basis]]="Excl",MasterFees[[#This Row],[Fee as Printed]]*(1+GST_Rate),""))</f>
        <v/>
      </c>
      <c r="O175" s="42">
        <f>IF(N(MasterFees[[#This Row],[Total Units]])=0,"",MasterFees[[#This Row],[Fee as Printed]]/MasterFees[[#This Row],[Total Units]])</f>
        <v>55.076923076923073</v>
      </c>
      <c r="P175" s="43"/>
      <c r="Q175" s="46" t="s">
        <v>1013</v>
      </c>
      <c r="R175" s="46" t="s">
        <v>1283</v>
      </c>
      <c r="S175" s="37"/>
    </row>
    <row r="176" spans="1:19" x14ac:dyDescent="0.2">
      <c r="A176" s="36"/>
      <c r="B176" s="38" t="str">
        <f>IF(MasterFees[[#This Row],[RVG Code]]="","",_xlfn.XLOOKUP(MasterFees[[#This Row],[RVG Code]],RVGCodes[Code],RVGCodes[Base Units],"Code not found"))</f>
        <v/>
      </c>
      <c r="C176" s="37" t="s">
        <v>177</v>
      </c>
      <c r="D176" s="44" t="s">
        <v>1108</v>
      </c>
      <c r="E176" s="44"/>
      <c r="F176" s="44" t="s">
        <v>1109</v>
      </c>
      <c r="G176" s="39">
        <v>6.1</v>
      </c>
      <c r="H176" s="39">
        <v>10.6</v>
      </c>
      <c r="I176" s="39">
        <v>1.5</v>
      </c>
      <c r="J176" s="39">
        <v>18.100000000000001</v>
      </c>
      <c r="K176" s="40">
        <v>994.95</v>
      </c>
      <c r="L176" s="45" t="s">
        <v>1015</v>
      </c>
      <c r="M176" s="41" t="str">
        <f>IF(MasterFees[[#This Row],[GST Basis]]="Excl",MasterFees[[#This Row],[Fee as Printed]],IF(MasterFees[[#This Row],[GST Basis]]="Incl",MasterFees[[#This Row],[Fee as Printed]]/(1+GST_Rate),""))</f>
        <v/>
      </c>
      <c r="N176" s="41" t="str">
        <f>IF(MasterFees[[#This Row],[GST Basis]]="Incl",MasterFees[[#This Row],[Fee as Printed]],IF(MasterFees[[#This Row],[GST Basis]]="Excl",MasterFees[[#This Row],[Fee as Printed]]*(1+GST_Rate),""))</f>
        <v/>
      </c>
      <c r="O176" s="42">
        <f>IF(N(MasterFees[[#This Row],[Total Units]])=0,"",MasterFees[[#This Row],[Fee as Printed]]/MasterFees[[#This Row],[Total Units]])</f>
        <v>54.969613259668506</v>
      </c>
      <c r="P176" s="43"/>
      <c r="Q176" s="46" t="s">
        <v>1013</v>
      </c>
      <c r="R176" s="46" t="s">
        <v>1284</v>
      </c>
      <c r="S176" s="37"/>
    </row>
    <row r="177" spans="1:19" x14ac:dyDescent="0.2">
      <c r="A177" s="36"/>
      <c r="B177" s="38" t="str">
        <f>IF(MasterFees[[#This Row],[RVG Code]]="","",_xlfn.XLOOKUP(MasterFees[[#This Row],[RVG Code]],RVGCodes[Code],RVGCodes[Base Units],"Code not found"))</f>
        <v/>
      </c>
      <c r="C177" s="37" t="s">
        <v>178</v>
      </c>
      <c r="D177" s="44" t="s">
        <v>1108</v>
      </c>
      <c r="E177" s="44"/>
      <c r="F177" s="44" t="s">
        <v>1109</v>
      </c>
      <c r="G177" s="39">
        <v>7.1</v>
      </c>
      <c r="H177" s="39">
        <v>7.1</v>
      </c>
      <c r="I177" s="39">
        <v>1.3</v>
      </c>
      <c r="J177" s="39">
        <v>15.5</v>
      </c>
      <c r="K177" s="40">
        <v>851.95</v>
      </c>
      <c r="L177" s="45" t="s">
        <v>1015</v>
      </c>
      <c r="M177" s="41" t="str">
        <f>IF(MasterFees[[#This Row],[GST Basis]]="Excl",MasterFees[[#This Row],[Fee as Printed]],IF(MasterFees[[#This Row],[GST Basis]]="Incl",MasterFees[[#This Row],[Fee as Printed]]/(1+GST_Rate),""))</f>
        <v/>
      </c>
      <c r="N177" s="41" t="str">
        <f>IF(MasterFees[[#This Row],[GST Basis]]="Incl",MasterFees[[#This Row],[Fee as Printed]],IF(MasterFees[[#This Row],[GST Basis]]="Excl",MasterFees[[#This Row],[Fee as Printed]]*(1+GST_Rate),""))</f>
        <v/>
      </c>
      <c r="O177" s="42">
        <f>IF(N(MasterFees[[#This Row],[Total Units]])=0,"",MasterFees[[#This Row],[Fee as Printed]]/MasterFees[[#This Row],[Total Units]])</f>
        <v>54.964516129032262</v>
      </c>
      <c r="P177" s="43"/>
      <c r="Q177" s="46" t="s">
        <v>1013</v>
      </c>
      <c r="R177" s="46" t="s">
        <v>1285</v>
      </c>
      <c r="S177" s="37"/>
    </row>
    <row r="178" spans="1:19" x14ac:dyDescent="0.2">
      <c r="A178" s="36"/>
      <c r="B178" s="38" t="str">
        <f>IF(MasterFees[[#This Row],[RVG Code]]="","",_xlfn.XLOOKUP(MasterFees[[#This Row],[RVG Code]],RVGCodes[Code],RVGCodes[Base Units],"Code not found"))</f>
        <v/>
      </c>
      <c r="C178" s="37" t="s">
        <v>179</v>
      </c>
      <c r="D178" s="44" t="s">
        <v>1108</v>
      </c>
      <c r="E178" s="44"/>
      <c r="F178" s="44" t="s">
        <v>1109</v>
      </c>
      <c r="G178" s="39">
        <v>4.3</v>
      </c>
      <c r="H178" s="39">
        <v>2.5</v>
      </c>
      <c r="I178" s="39">
        <v>0.5</v>
      </c>
      <c r="J178" s="39">
        <v>7.4</v>
      </c>
      <c r="K178" s="40">
        <v>406.45</v>
      </c>
      <c r="L178" s="45" t="s">
        <v>1015</v>
      </c>
      <c r="M178" s="41" t="str">
        <f>IF(MasterFees[[#This Row],[GST Basis]]="Excl",MasterFees[[#This Row],[Fee as Printed]],IF(MasterFees[[#This Row],[GST Basis]]="Incl",MasterFees[[#This Row],[Fee as Printed]]/(1+GST_Rate),""))</f>
        <v/>
      </c>
      <c r="N178" s="41" t="str">
        <f>IF(MasterFees[[#This Row],[GST Basis]]="Incl",MasterFees[[#This Row],[Fee as Printed]],IF(MasterFees[[#This Row],[GST Basis]]="Excl",MasterFees[[#This Row],[Fee as Printed]]*(1+GST_Rate),""))</f>
        <v/>
      </c>
      <c r="O178" s="42">
        <f>IF(N(MasterFees[[#This Row],[Total Units]])=0,"",MasterFees[[#This Row],[Fee as Printed]]/MasterFees[[#This Row],[Total Units]])</f>
        <v>54.92567567567567</v>
      </c>
      <c r="P178" s="43"/>
      <c r="Q178" s="46" t="s">
        <v>1013</v>
      </c>
      <c r="R178" s="46" t="s">
        <v>1286</v>
      </c>
      <c r="S178" s="37"/>
    </row>
    <row r="179" spans="1:19" x14ac:dyDescent="0.2">
      <c r="A179" s="36"/>
      <c r="B179" s="38" t="str">
        <f>IF(MasterFees[[#This Row],[RVG Code]]="","",_xlfn.XLOOKUP(MasterFees[[#This Row],[RVG Code]],RVGCodes[Code],RVGCodes[Base Units],"Code not found"))</f>
        <v/>
      </c>
      <c r="C179" s="37" t="s">
        <v>180</v>
      </c>
      <c r="D179" s="44" t="s">
        <v>1108</v>
      </c>
      <c r="E179" s="44"/>
      <c r="F179" s="44" t="s">
        <v>1109</v>
      </c>
      <c r="G179" s="39">
        <v>4.8</v>
      </c>
      <c r="H179" s="39">
        <v>3.4</v>
      </c>
      <c r="I179" s="39">
        <v>1</v>
      </c>
      <c r="J179" s="39">
        <v>9.1</v>
      </c>
      <c r="K179" s="40">
        <v>501.6</v>
      </c>
      <c r="L179" s="45" t="s">
        <v>1015</v>
      </c>
      <c r="M179" s="41" t="str">
        <f>IF(MasterFees[[#This Row],[GST Basis]]="Excl",MasterFees[[#This Row],[Fee as Printed]],IF(MasterFees[[#This Row],[GST Basis]]="Incl",MasterFees[[#This Row],[Fee as Printed]]/(1+GST_Rate),""))</f>
        <v/>
      </c>
      <c r="N179" s="41" t="str">
        <f>IF(MasterFees[[#This Row],[GST Basis]]="Incl",MasterFees[[#This Row],[Fee as Printed]],IF(MasterFees[[#This Row],[GST Basis]]="Excl",MasterFees[[#This Row],[Fee as Printed]]*(1+GST_Rate),""))</f>
        <v/>
      </c>
      <c r="O179" s="42">
        <f>IF(N(MasterFees[[#This Row],[Total Units]])=0,"",MasterFees[[#This Row],[Fee as Printed]]/MasterFees[[#This Row],[Total Units]])</f>
        <v>55.120879120879124</v>
      </c>
      <c r="P179" s="43"/>
      <c r="Q179" s="46" t="s">
        <v>1013</v>
      </c>
      <c r="R179" s="46" t="s">
        <v>1287</v>
      </c>
      <c r="S179" s="37"/>
    </row>
    <row r="180" spans="1:19" x14ac:dyDescent="0.2">
      <c r="A180" s="36"/>
      <c r="B180" s="38" t="str">
        <f>IF(MasterFees[[#This Row],[RVG Code]]="","",_xlfn.XLOOKUP(MasterFees[[#This Row],[RVG Code]],RVGCodes[Code],RVGCodes[Base Units],"Code not found"))</f>
        <v/>
      </c>
      <c r="C180" s="37" t="s">
        <v>181</v>
      </c>
      <c r="D180" s="44" t="s">
        <v>1108</v>
      </c>
      <c r="E180" s="44"/>
      <c r="F180" s="44" t="s">
        <v>1109</v>
      </c>
      <c r="G180" s="39">
        <v>4.5</v>
      </c>
      <c r="H180" s="39">
        <v>3</v>
      </c>
      <c r="I180" s="39">
        <v>0</v>
      </c>
      <c r="J180" s="39">
        <v>7.5</v>
      </c>
      <c r="K180" s="40">
        <v>412.5</v>
      </c>
      <c r="L180" s="45" t="s">
        <v>1015</v>
      </c>
      <c r="M180" s="41" t="str">
        <f>IF(MasterFees[[#This Row],[GST Basis]]="Excl",MasterFees[[#This Row],[Fee as Printed]],IF(MasterFees[[#This Row],[GST Basis]]="Incl",MasterFees[[#This Row],[Fee as Printed]]/(1+GST_Rate),""))</f>
        <v/>
      </c>
      <c r="N180" s="41" t="str">
        <f>IF(MasterFees[[#This Row],[GST Basis]]="Incl",MasterFees[[#This Row],[Fee as Printed]],IF(MasterFees[[#This Row],[GST Basis]]="Excl",MasterFees[[#This Row],[Fee as Printed]]*(1+GST_Rate),""))</f>
        <v/>
      </c>
      <c r="O180" s="42">
        <f>IF(N(MasterFees[[#This Row],[Total Units]])=0,"",MasterFees[[#This Row],[Fee as Printed]]/MasterFees[[#This Row],[Total Units]])</f>
        <v>55</v>
      </c>
      <c r="P180" s="43"/>
      <c r="Q180" s="46" t="s">
        <v>1013</v>
      </c>
      <c r="R180" s="46" t="s">
        <v>1288</v>
      </c>
      <c r="S180" s="37"/>
    </row>
    <row r="181" spans="1:19" x14ac:dyDescent="0.2">
      <c r="A181" s="36"/>
      <c r="B181" s="38" t="str">
        <f>IF(MasterFees[[#This Row],[RVG Code]]="","",_xlfn.XLOOKUP(MasterFees[[#This Row],[RVG Code]],RVGCodes[Code],RVGCodes[Base Units],"Code not found"))</f>
        <v/>
      </c>
      <c r="C181" s="37" t="s">
        <v>182</v>
      </c>
      <c r="D181" s="44" t="s">
        <v>1108</v>
      </c>
      <c r="E181" s="44"/>
      <c r="F181" s="44" t="s">
        <v>1109</v>
      </c>
      <c r="G181" s="39">
        <v>4.8</v>
      </c>
      <c r="H181" s="39">
        <v>2.9</v>
      </c>
      <c r="I181" s="39">
        <v>0.3</v>
      </c>
      <c r="J181" s="39">
        <v>8</v>
      </c>
      <c r="K181" s="40">
        <v>441.65</v>
      </c>
      <c r="L181" s="45" t="s">
        <v>1015</v>
      </c>
      <c r="M181" s="41" t="str">
        <f>IF(MasterFees[[#This Row],[GST Basis]]="Excl",MasterFees[[#This Row],[Fee as Printed]],IF(MasterFees[[#This Row],[GST Basis]]="Incl",MasterFees[[#This Row],[Fee as Printed]]/(1+GST_Rate),""))</f>
        <v/>
      </c>
      <c r="N181" s="41" t="str">
        <f>IF(MasterFees[[#This Row],[GST Basis]]="Incl",MasterFees[[#This Row],[Fee as Printed]],IF(MasterFees[[#This Row],[GST Basis]]="Excl",MasterFees[[#This Row],[Fee as Printed]]*(1+GST_Rate),""))</f>
        <v/>
      </c>
      <c r="O181" s="42">
        <f>IF(N(MasterFees[[#This Row],[Total Units]])=0,"",MasterFees[[#This Row],[Fee as Printed]]/MasterFees[[#This Row],[Total Units]])</f>
        <v>55.206249999999997</v>
      </c>
      <c r="P181" s="43"/>
      <c r="Q181" s="46" t="s">
        <v>1013</v>
      </c>
      <c r="R181" s="46" t="s">
        <v>1289</v>
      </c>
      <c r="S181" s="37"/>
    </row>
    <row r="182" spans="1:19" x14ac:dyDescent="0.2">
      <c r="A182" s="36"/>
      <c r="B182" s="38" t="str">
        <f>IF(MasterFees[[#This Row],[RVG Code]]="","",_xlfn.XLOOKUP(MasterFees[[#This Row],[RVG Code]],RVGCodes[Code],RVGCodes[Base Units],"Code not found"))</f>
        <v/>
      </c>
      <c r="C182" s="37" t="s">
        <v>183</v>
      </c>
      <c r="D182" s="44" t="s">
        <v>1108</v>
      </c>
      <c r="E182" s="44"/>
      <c r="F182" s="44" t="s">
        <v>1109</v>
      </c>
      <c r="G182" s="39">
        <v>4.9000000000000004</v>
      </c>
      <c r="H182" s="39">
        <v>3</v>
      </c>
      <c r="I182" s="39">
        <v>0.4</v>
      </c>
      <c r="J182" s="39">
        <v>8.3000000000000007</v>
      </c>
      <c r="K182" s="40">
        <v>457.05</v>
      </c>
      <c r="L182" s="45" t="s">
        <v>1015</v>
      </c>
      <c r="M182" s="41" t="str">
        <f>IF(MasterFees[[#This Row],[GST Basis]]="Excl",MasterFees[[#This Row],[Fee as Printed]],IF(MasterFees[[#This Row],[GST Basis]]="Incl",MasterFees[[#This Row],[Fee as Printed]]/(1+GST_Rate),""))</f>
        <v/>
      </c>
      <c r="N182" s="41" t="str">
        <f>IF(MasterFees[[#This Row],[GST Basis]]="Incl",MasterFees[[#This Row],[Fee as Printed]],IF(MasterFees[[#This Row],[GST Basis]]="Excl",MasterFees[[#This Row],[Fee as Printed]]*(1+GST_Rate),""))</f>
        <v/>
      </c>
      <c r="O182" s="42">
        <f>IF(N(MasterFees[[#This Row],[Total Units]])=0,"",MasterFees[[#This Row],[Fee as Printed]]/MasterFees[[#This Row],[Total Units]])</f>
        <v>55.066265060240958</v>
      </c>
      <c r="P182" s="43"/>
      <c r="Q182" s="46" t="s">
        <v>1013</v>
      </c>
      <c r="R182" s="46" t="s">
        <v>1290</v>
      </c>
      <c r="S182" s="37"/>
    </row>
    <row r="183" spans="1:19" x14ac:dyDescent="0.2">
      <c r="A183" s="36"/>
      <c r="B183" s="38" t="str">
        <f>IF(MasterFees[[#This Row],[RVG Code]]="","",_xlfn.XLOOKUP(MasterFees[[#This Row],[RVG Code]],RVGCodes[Code],RVGCodes[Base Units],"Code not found"))</f>
        <v/>
      </c>
      <c r="C183" s="37" t="s">
        <v>184</v>
      </c>
      <c r="D183" s="44" t="s">
        <v>1108</v>
      </c>
      <c r="E183" s="44"/>
      <c r="F183" s="44" t="s">
        <v>1109</v>
      </c>
      <c r="G183" s="39">
        <v>4.4000000000000004</v>
      </c>
      <c r="H183" s="39">
        <v>3</v>
      </c>
      <c r="I183" s="39">
        <v>0.7</v>
      </c>
      <c r="J183" s="39">
        <v>8.1999999999999993</v>
      </c>
      <c r="K183" s="40">
        <v>448.25</v>
      </c>
      <c r="L183" s="45" t="s">
        <v>1015</v>
      </c>
      <c r="M183" s="41" t="str">
        <f>IF(MasterFees[[#This Row],[GST Basis]]="Excl",MasterFees[[#This Row],[Fee as Printed]],IF(MasterFees[[#This Row],[GST Basis]]="Incl",MasterFees[[#This Row],[Fee as Printed]]/(1+GST_Rate),""))</f>
        <v/>
      </c>
      <c r="N183" s="41" t="str">
        <f>IF(MasterFees[[#This Row],[GST Basis]]="Incl",MasterFees[[#This Row],[Fee as Printed]],IF(MasterFees[[#This Row],[GST Basis]]="Excl",MasterFees[[#This Row],[Fee as Printed]]*(1+GST_Rate),""))</f>
        <v/>
      </c>
      <c r="O183" s="42">
        <f>IF(N(MasterFees[[#This Row],[Total Units]])=0,"",MasterFees[[#This Row],[Fee as Printed]]/MasterFees[[#This Row],[Total Units]])</f>
        <v>54.66463414634147</v>
      </c>
      <c r="P183" s="43"/>
      <c r="Q183" s="46" t="s">
        <v>1013</v>
      </c>
      <c r="R183" s="46" t="s">
        <v>1291</v>
      </c>
      <c r="S183" s="37"/>
    </row>
    <row r="184" spans="1:19" x14ac:dyDescent="0.2">
      <c r="A184" s="36"/>
      <c r="B184" s="38" t="str">
        <f>IF(MasterFees[[#This Row],[RVG Code]]="","",_xlfn.XLOOKUP(MasterFees[[#This Row],[RVG Code]],RVGCodes[Code],RVGCodes[Base Units],"Code not found"))</f>
        <v/>
      </c>
      <c r="C184" s="37" t="s">
        <v>185</v>
      </c>
      <c r="D184" s="44" t="s">
        <v>1108</v>
      </c>
      <c r="E184" s="44"/>
      <c r="F184" s="44" t="s">
        <v>1109</v>
      </c>
      <c r="G184" s="39">
        <v>4.7</v>
      </c>
      <c r="H184" s="39">
        <v>4.3</v>
      </c>
      <c r="I184" s="39">
        <v>0.5</v>
      </c>
      <c r="J184" s="39">
        <v>9.5</v>
      </c>
      <c r="K184" s="40">
        <v>521.4</v>
      </c>
      <c r="L184" s="45" t="s">
        <v>1015</v>
      </c>
      <c r="M184" s="41" t="str">
        <f>IF(MasterFees[[#This Row],[GST Basis]]="Excl",MasterFees[[#This Row],[Fee as Printed]],IF(MasterFees[[#This Row],[GST Basis]]="Incl",MasterFees[[#This Row],[Fee as Printed]]/(1+GST_Rate),""))</f>
        <v/>
      </c>
      <c r="N184" s="41" t="str">
        <f>IF(MasterFees[[#This Row],[GST Basis]]="Incl",MasterFees[[#This Row],[Fee as Printed]],IF(MasterFees[[#This Row],[GST Basis]]="Excl",MasterFees[[#This Row],[Fee as Printed]]*(1+GST_Rate),""))</f>
        <v/>
      </c>
      <c r="O184" s="42">
        <f>IF(N(MasterFees[[#This Row],[Total Units]])=0,"",MasterFees[[#This Row],[Fee as Printed]]/MasterFees[[#This Row],[Total Units]])</f>
        <v>54.88421052631579</v>
      </c>
      <c r="P184" s="43"/>
      <c r="Q184" s="46" t="s">
        <v>1013</v>
      </c>
      <c r="R184" s="46" t="s">
        <v>1292</v>
      </c>
      <c r="S184" s="37"/>
    </row>
    <row r="185" spans="1:19" x14ac:dyDescent="0.2">
      <c r="A185" s="36"/>
      <c r="B185" s="38" t="str">
        <f>IF(MasterFees[[#This Row],[RVG Code]]="","",_xlfn.XLOOKUP(MasterFees[[#This Row],[RVG Code]],RVGCodes[Code],RVGCodes[Base Units],"Code not found"))</f>
        <v/>
      </c>
      <c r="C185" s="37" t="s">
        <v>186</v>
      </c>
      <c r="D185" s="44" t="s">
        <v>1108</v>
      </c>
      <c r="E185" s="44"/>
      <c r="F185" s="44" t="s">
        <v>1109</v>
      </c>
      <c r="G185" s="39">
        <v>0</v>
      </c>
      <c r="H185" s="39">
        <v>0</v>
      </c>
      <c r="I185" s="39">
        <v>0</v>
      </c>
      <c r="J185" s="39">
        <v>0</v>
      </c>
      <c r="K185" s="40">
        <v>0</v>
      </c>
      <c r="L185" s="45" t="s">
        <v>1015</v>
      </c>
      <c r="M185" s="41" t="str">
        <f>IF(MasterFees[[#This Row],[GST Basis]]="Excl",MasterFees[[#This Row],[Fee as Printed]],IF(MasterFees[[#This Row],[GST Basis]]="Incl",MasterFees[[#This Row],[Fee as Printed]]/(1+GST_Rate),""))</f>
        <v/>
      </c>
      <c r="N185" s="41" t="str">
        <f>IF(MasterFees[[#This Row],[GST Basis]]="Incl",MasterFees[[#This Row],[Fee as Printed]],IF(MasterFees[[#This Row],[GST Basis]]="Excl",MasterFees[[#This Row],[Fee as Printed]]*(1+GST_Rate),""))</f>
        <v/>
      </c>
      <c r="O185" s="42" t="str">
        <f>IF(N(MasterFees[[#This Row],[Total Units]])=0,"",MasterFees[[#This Row],[Fee as Printed]]/MasterFees[[#This Row],[Total Units]])</f>
        <v/>
      </c>
      <c r="P185" s="43"/>
      <c r="Q185" s="46" t="s">
        <v>1013</v>
      </c>
      <c r="R185" s="46" t="s">
        <v>1293</v>
      </c>
      <c r="S185" s="37"/>
    </row>
    <row r="186" spans="1:19" x14ac:dyDescent="0.2">
      <c r="A186" s="36"/>
      <c r="B186" s="38" t="str">
        <f>IF(MasterFees[[#This Row],[RVG Code]]="","",_xlfn.XLOOKUP(MasterFees[[#This Row],[RVG Code]],RVGCodes[Code],RVGCodes[Base Units],"Code not found"))</f>
        <v/>
      </c>
      <c r="C186" s="37" t="s">
        <v>187</v>
      </c>
      <c r="D186" s="44" t="s">
        <v>1108</v>
      </c>
      <c r="E186" s="44"/>
      <c r="F186" s="44" t="s">
        <v>1109</v>
      </c>
      <c r="G186" s="39">
        <v>0</v>
      </c>
      <c r="H186" s="39">
        <v>0</v>
      </c>
      <c r="I186" s="39">
        <v>0</v>
      </c>
      <c r="J186" s="39">
        <v>0</v>
      </c>
      <c r="K186" s="40">
        <v>0</v>
      </c>
      <c r="L186" s="45" t="s">
        <v>1015</v>
      </c>
      <c r="M186" s="41" t="str">
        <f>IF(MasterFees[[#This Row],[GST Basis]]="Excl",MasterFees[[#This Row],[Fee as Printed]],IF(MasterFees[[#This Row],[GST Basis]]="Incl",MasterFees[[#This Row],[Fee as Printed]]/(1+GST_Rate),""))</f>
        <v/>
      </c>
      <c r="N186" s="41" t="str">
        <f>IF(MasterFees[[#This Row],[GST Basis]]="Incl",MasterFees[[#This Row],[Fee as Printed]],IF(MasterFees[[#This Row],[GST Basis]]="Excl",MasterFees[[#This Row],[Fee as Printed]]*(1+GST_Rate),""))</f>
        <v/>
      </c>
      <c r="O186" s="42" t="str">
        <f>IF(N(MasterFees[[#This Row],[Total Units]])=0,"",MasterFees[[#This Row],[Fee as Printed]]/MasterFees[[#This Row],[Total Units]])</f>
        <v/>
      </c>
      <c r="P186" s="43"/>
      <c r="Q186" s="46" t="s">
        <v>1013</v>
      </c>
      <c r="R186" s="46" t="s">
        <v>1294</v>
      </c>
      <c r="S186" s="37"/>
    </row>
    <row r="187" spans="1:19" x14ac:dyDescent="0.2">
      <c r="A187" s="36"/>
      <c r="B187" s="38" t="str">
        <f>IF(MasterFees[[#This Row],[RVG Code]]="","",_xlfn.XLOOKUP(MasterFees[[#This Row],[RVG Code]],RVGCodes[Code],RVGCodes[Base Units],"Code not found"))</f>
        <v/>
      </c>
      <c r="C187" s="37" t="s">
        <v>188</v>
      </c>
      <c r="D187" s="44" t="s">
        <v>1108</v>
      </c>
      <c r="E187" s="44"/>
      <c r="F187" s="44" t="s">
        <v>1109</v>
      </c>
      <c r="G187" s="39">
        <v>0</v>
      </c>
      <c r="H187" s="39">
        <v>0</v>
      </c>
      <c r="I187" s="39">
        <v>0</v>
      </c>
      <c r="J187" s="39">
        <v>0</v>
      </c>
      <c r="K187" s="40">
        <v>0</v>
      </c>
      <c r="L187" s="45" t="s">
        <v>1015</v>
      </c>
      <c r="M187" s="41" t="str">
        <f>IF(MasterFees[[#This Row],[GST Basis]]="Excl",MasterFees[[#This Row],[Fee as Printed]],IF(MasterFees[[#This Row],[GST Basis]]="Incl",MasterFees[[#This Row],[Fee as Printed]]/(1+GST_Rate),""))</f>
        <v/>
      </c>
      <c r="N187" s="41" t="str">
        <f>IF(MasterFees[[#This Row],[GST Basis]]="Incl",MasterFees[[#This Row],[Fee as Printed]],IF(MasterFees[[#This Row],[GST Basis]]="Excl",MasterFees[[#This Row],[Fee as Printed]]*(1+GST_Rate),""))</f>
        <v/>
      </c>
      <c r="O187" s="42" t="str">
        <f>IF(N(MasterFees[[#This Row],[Total Units]])=0,"",MasterFees[[#This Row],[Fee as Printed]]/MasterFees[[#This Row],[Total Units]])</f>
        <v/>
      </c>
      <c r="P187" s="43"/>
      <c r="Q187" s="46" t="s">
        <v>1013</v>
      </c>
      <c r="R187" s="46" t="s">
        <v>1295</v>
      </c>
      <c r="S187" s="37"/>
    </row>
    <row r="188" spans="1:19" x14ac:dyDescent="0.2">
      <c r="A188" s="36"/>
      <c r="B188" s="38" t="str">
        <f>IF(MasterFees[[#This Row],[RVG Code]]="","",_xlfn.XLOOKUP(MasterFees[[#This Row],[RVG Code]],RVGCodes[Code],RVGCodes[Base Units],"Code not found"))</f>
        <v/>
      </c>
      <c r="C188" s="37" t="s">
        <v>189</v>
      </c>
      <c r="D188" s="44" t="s">
        <v>1108</v>
      </c>
      <c r="E188" s="44"/>
      <c r="F188" s="44" t="s">
        <v>1109</v>
      </c>
      <c r="G188" s="39">
        <v>4</v>
      </c>
      <c r="H188" s="39">
        <v>3</v>
      </c>
      <c r="I188" s="39">
        <v>0</v>
      </c>
      <c r="J188" s="39">
        <v>7</v>
      </c>
      <c r="K188" s="40">
        <v>385</v>
      </c>
      <c r="L188" s="45" t="s">
        <v>1015</v>
      </c>
      <c r="M188" s="41" t="str">
        <f>IF(MasterFees[[#This Row],[GST Basis]]="Excl",MasterFees[[#This Row],[Fee as Printed]],IF(MasterFees[[#This Row],[GST Basis]]="Incl",MasterFees[[#This Row],[Fee as Printed]]/(1+GST_Rate),""))</f>
        <v/>
      </c>
      <c r="N188" s="41" t="str">
        <f>IF(MasterFees[[#This Row],[GST Basis]]="Incl",MasterFees[[#This Row],[Fee as Printed]],IF(MasterFees[[#This Row],[GST Basis]]="Excl",MasterFees[[#This Row],[Fee as Printed]]*(1+GST_Rate),""))</f>
        <v/>
      </c>
      <c r="O188" s="42">
        <f>IF(N(MasterFees[[#This Row],[Total Units]])=0,"",MasterFees[[#This Row],[Fee as Printed]]/MasterFees[[#This Row],[Total Units]])</f>
        <v>55</v>
      </c>
      <c r="P188" s="43"/>
      <c r="Q188" s="46" t="s">
        <v>1013</v>
      </c>
      <c r="R188" s="46" t="s">
        <v>1296</v>
      </c>
      <c r="S188" s="37"/>
    </row>
    <row r="189" spans="1:19" x14ac:dyDescent="0.2">
      <c r="A189" s="36"/>
      <c r="B189" s="38" t="str">
        <f>IF(MasterFees[[#This Row],[RVG Code]]="","",_xlfn.XLOOKUP(MasterFees[[#This Row],[RVG Code]],RVGCodes[Code],RVGCodes[Base Units],"Code not found"))</f>
        <v/>
      </c>
      <c r="C189" s="37" t="s">
        <v>190</v>
      </c>
      <c r="D189" s="44" t="s">
        <v>1108</v>
      </c>
      <c r="E189" s="44"/>
      <c r="F189" s="44" t="s">
        <v>1109</v>
      </c>
      <c r="G189" s="39">
        <v>5</v>
      </c>
      <c r="H189" s="39">
        <v>3.5</v>
      </c>
      <c r="I189" s="39">
        <v>0</v>
      </c>
      <c r="J189" s="39">
        <v>8.5</v>
      </c>
      <c r="K189" s="40">
        <v>467.5</v>
      </c>
      <c r="L189" s="45" t="s">
        <v>1015</v>
      </c>
      <c r="M189" s="41" t="str">
        <f>IF(MasterFees[[#This Row],[GST Basis]]="Excl",MasterFees[[#This Row],[Fee as Printed]],IF(MasterFees[[#This Row],[GST Basis]]="Incl",MasterFees[[#This Row],[Fee as Printed]]/(1+GST_Rate),""))</f>
        <v/>
      </c>
      <c r="N189" s="41" t="str">
        <f>IF(MasterFees[[#This Row],[GST Basis]]="Incl",MasterFees[[#This Row],[Fee as Printed]],IF(MasterFees[[#This Row],[GST Basis]]="Excl",MasterFees[[#This Row],[Fee as Printed]]*(1+GST_Rate),""))</f>
        <v/>
      </c>
      <c r="O189" s="42">
        <f>IF(N(MasterFees[[#This Row],[Total Units]])=0,"",MasterFees[[#This Row],[Fee as Printed]]/MasterFees[[#This Row],[Total Units]])</f>
        <v>55</v>
      </c>
      <c r="P189" s="43"/>
      <c r="Q189" s="46" t="s">
        <v>1013</v>
      </c>
      <c r="R189" s="46" t="s">
        <v>1297</v>
      </c>
      <c r="S189" s="37"/>
    </row>
    <row r="190" spans="1:19" x14ac:dyDescent="0.2">
      <c r="A190" s="36"/>
      <c r="B190" s="38" t="str">
        <f>IF(MasterFees[[#This Row],[RVG Code]]="","",_xlfn.XLOOKUP(MasterFees[[#This Row],[RVG Code]],RVGCodes[Code],RVGCodes[Base Units],"Code not found"))</f>
        <v/>
      </c>
      <c r="C190" s="37" t="s">
        <v>191</v>
      </c>
      <c r="D190" s="44" t="s">
        <v>1108</v>
      </c>
      <c r="E190" s="44"/>
      <c r="F190" s="44" t="s">
        <v>1109</v>
      </c>
      <c r="G190" s="39">
        <v>4.4000000000000004</v>
      </c>
      <c r="H190" s="39">
        <v>2.5</v>
      </c>
      <c r="I190" s="39">
        <v>0.5</v>
      </c>
      <c r="J190" s="39">
        <v>7.5</v>
      </c>
      <c r="K190" s="40">
        <v>410.3</v>
      </c>
      <c r="L190" s="45" t="s">
        <v>1015</v>
      </c>
      <c r="M190" s="41" t="str">
        <f>IF(MasterFees[[#This Row],[GST Basis]]="Excl",MasterFees[[#This Row],[Fee as Printed]],IF(MasterFees[[#This Row],[GST Basis]]="Incl",MasterFees[[#This Row],[Fee as Printed]]/(1+GST_Rate),""))</f>
        <v/>
      </c>
      <c r="N190" s="41" t="str">
        <f>IF(MasterFees[[#This Row],[GST Basis]]="Incl",MasterFees[[#This Row],[Fee as Printed]],IF(MasterFees[[#This Row],[GST Basis]]="Excl",MasterFees[[#This Row],[Fee as Printed]]*(1+GST_Rate),""))</f>
        <v/>
      </c>
      <c r="O190" s="42">
        <f>IF(N(MasterFees[[#This Row],[Total Units]])=0,"",MasterFees[[#This Row],[Fee as Printed]]/MasterFees[[#This Row],[Total Units]])</f>
        <v>54.706666666666671</v>
      </c>
      <c r="P190" s="43"/>
      <c r="Q190" s="46" t="s">
        <v>1013</v>
      </c>
      <c r="R190" s="46" t="s">
        <v>1298</v>
      </c>
      <c r="S190" s="37"/>
    </row>
    <row r="191" spans="1:19" x14ac:dyDescent="0.2">
      <c r="A191" s="36"/>
      <c r="B191" s="38" t="str">
        <f>IF(MasterFees[[#This Row],[RVG Code]]="","",_xlfn.XLOOKUP(MasterFees[[#This Row],[RVG Code]],RVGCodes[Code],RVGCodes[Base Units],"Code not found"))</f>
        <v/>
      </c>
      <c r="C191" s="37" t="s">
        <v>192</v>
      </c>
      <c r="D191" s="44" t="s">
        <v>1108</v>
      </c>
      <c r="E191" s="44"/>
      <c r="F191" s="44" t="s">
        <v>1109</v>
      </c>
      <c r="G191" s="39">
        <v>4.9000000000000004</v>
      </c>
      <c r="H191" s="39">
        <v>2.9</v>
      </c>
      <c r="I191" s="39">
        <v>0.4</v>
      </c>
      <c r="J191" s="39">
        <v>8.1</v>
      </c>
      <c r="K191" s="40">
        <v>447.7</v>
      </c>
      <c r="L191" s="45" t="s">
        <v>1015</v>
      </c>
      <c r="M191" s="41" t="str">
        <f>IF(MasterFees[[#This Row],[GST Basis]]="Excl",MasterFees[[#This Row],[Fee as Printed]],IF(MasterFees[[#This Row],[GST Basis]]="Incl",MasterFees[[#This Row],[Fee as Printed]]/(1+GST_Rate),""))</f>
        <v/>
      </c>
      <c r="N191" s="41" t="str">
        <f>IF(MasterFees[[#This Row],[GST Basis]]="Incl",MasterFees[[#This Row],[Fee as Printed]],IF(MasterFees[[#This Row],[GST Basis]]="Excl",MasterFees[[#This Row],[Fee as Printed]]*(1+GST_Rate),""))</f>
        <v/>
      </c>
      <c r="O191" s="42">
        <f>IF(N(MasterFees[[#This Row],[Total Units]])=0,"",MasterFees[[#This Row],[Fee as Printed]]/MasterFees[[#This Row],[Total Units]])</f>
        <v>55.271604938271608</v>
      </c>
      <c r="P191" s="43"/>
      <c r="Q191" s="46" t="s">
        <v>1013</v>
      </c>
      <c r="R191" s="46" t="s">
        <v>1299</v>
      </c>
      <c r="S191" s="37"/>
    </row>
    <row r="192" spans="1:19" x14ac:dyDescent="0.2">
      <c r="A192" s="36"/>
      <c r="B192" s="38" t="str">
        <f>IF(MasterFees[[#This Row],[RVG Code]]="","",_xlfn.XLOOKUP(MasterFees[[#This Row],[RVG Code]],RVGCodes[Code],RVGCodes[Base Units],"Code not found"))</f>
        <v/>
      </c>
      <c r="C192" s="37" t="s">
        <v>193</v>
      </c>
      <c r="D192" s="44" t="s">
        <v>1108</v>
      </c>
      <c r="E192" s="44"/>
      <c r="F192" s="44" t="s">
        <v>1109</v>
      </c>
      <c r="G192" s="39">
        <v>5</v>
      </c>
      <c r="H192" s="39">
        <v>2</v>
      </c>
      <c r="I192" s="39">
        <v>0</v>
      </c>
      <c r="J192" s="39">
        <v>7</v>
      </c>
      <c r="K192" s="40">
        <v>385</v>
      </c>
      <c r="L192" s="45" t="s">
        <v>1015</v>
      </c>
      <c r="M192" s="41" t="str">
        <f>IF(MasterFees[[#This Row],[GST Basis]]="Excl",MasterFees[[#This Row],[Fee as Printed]],IF(MasterFees[[#This Row],[GST Basis]]="Incl",MasterFees[[#This Row],[Fee as Printed]]/(1+GST_Rate),""))</f>
        <v/>
      </c>
      <c r="N192" s="41" t="str">
        <f>IF(MasterFees[[#This Row],[GST Basis]]="Incl",MasterFees[[#This Row],[Fee as Printed]],IF(MasterFees[[#This Row],[GST Basis]]="Excl",MasterFees[[#This Row],[Fee as Printed]]*(1+GST_Rate),""))</f>
        <v/>
      </c>
      <c r="O192" s="42">
        <f>IF(N(MasterFees[[#This Row],[Total Units]])=0,"",MasterFees[[#This Row],[Fee as Printed]]/MasterFees[[#This Row],[Total Units]])</f>
        <v>55</v>
      </c>
      <c r="P192" s="43"/>
      <c r="Q192" s="46" t="s">
        <v>1013</v>
      </c>
      <c r="R192" s="46" t="s">
        <v>1300</v>
      </c>
      <c r="S192" s="37"/>
    </row>
    <row r="193" spans="1:19" x14ac:dyDescent="0.2">
      <c r="A193" s="36"/>
      <c r="B193" s="38" t="str">
        <f>IF(MasterFees[[#This Row],[RVG Code]]="","",_xlfn.XLOOKUP(MasterFees[[#This Row],[RVG Code]],RVGCodes[Code],RVGCodes[Base Units],"Code not found"))</f>
        <v/>
      </c>
      <c r="C193" s="37" t="s">
        <v>194</v>
      </c>
      <c r="D193" s="44" t="s">
        <v>1108</v>
      </c>
      <c r="E193" s="44"/>
      <c r="F193" s="44" t="s">
        <v>1109</v>
      </c>
      <c r="G193" s="39">
        <v>5</v>
      </c>
      <c r="H193" s="39">
        <v>2</v>
      </c>
      <c r="I193" s="39">
        <v>0</v>
      </c>
      <c r="J193" s="39">
        <v>7</v>
      </c>
      <c r="K193" s="40">
        <v>385</v>
      </c>
      <c r="L193" s="45" t="s">
        <v>1015</v>
      </c>
      <c r="M193" s="41" t="str">
        <f>IF(MasterFees[[#This Row],[GST Basis]]="Excl",MasterFees[[#This Row],[Fee as Printed]],IF(MasterFees[[#This Row],[GST Basis]]="Incl",MasterFees[[#This Row],[Fee as Printed]]/(1+GST_Rate),""))</f>
        <v/>
      </c>
      <c r="N193" s="41" t="str">
        <f>IF(MasterFees[[#This Row],[GST Basis]]="Incl",MasterFees[[#This Row],[Fee as Printed]],IF(MasterFees[[#This Row],[GST Basis]]="Excl",MasterFees[[#This Row],[Fee as Printed]]*(1+GST_Rate),""))</f>
        <v/>
      </c>
      <c r="O193" s="42">
        <f>IF(N(MasterFees[[#This Row],[Total Units]])=0,"",MasterFees[[#This Row],[Fee as Printed]]/MasterFees[[#This Row],[Total Units]])</f>
        <v>55</v>
      </c>
      <c r="P193" s="43"/>
      <c r="Q193" s="46" t="s">
        <v>1013</v>
      </c>
      <c r="R193" s="46" t="s">
        <v>1301</v>
      </c>
      <c r="S193" s="37"/>
    </row>
    <row r="194" spans="1:19" x14ac:dyDescent="0.2">
      <c r="A194" s="36"/>
      <c r="B194" s="38" t="str">
        <f>IF(MasterFees[[#This Row],[RVG Code]]="","",_xlfn.XLOOKUP(MasterFees[[#This Row],[RVG Code]],RVGCodes[Code],RVGCodes[Base Units],"Code not found"))</f>
        <v/>
      </c>
      <c r="C194" s="37" t="s">
        <v>195</v>
      </c>
      <c r="D194" s="44" t="s">
        <v>1108</v>
      </c>
      <c r="E194" s="44"/>
      <c r="F194" s="44" t="s">
        <v>1109</v>
      </c>
      <c r="G194" s="39">
        <v>4.8</v>
      </c>
      <c r="H194" s="39">
        <v>4.0999999999999996</v>
      </c>
      <c r="I194" s="39">
        <v>1</v>
      </c>
      <c r="J194" s="39">
        <v>9.9</v>
      </c>
      <c r="K194" s="40">
        <v>544.5</v>
      </c>
      <c r="L194" s="45" t="s">
        <v>1015</v>
      </c>
      <c r="M194" s="41" t="str">
        <f>IF(MasterFees[[#This Row],[GST Basis]]="Excl",MasterFees[[#This Row],[Fee as Printed]],IF(MasterFees[[#This Row],[GST Basis]]="Incl",MasterFees[[#This Row],[Fee as Printed]]/(1+GST_Rate),""))</f>
        <v/>
      </c>
      <c r="N194" s="41" t="str">
        <f>IF(MasterFees[[#This Row],[GST Basis]]="Incl",MasterFees[[#This Row],[Fee as Printed]],IF(MasterFees[[#This Row],[GST Basis]]="Excl",MasterFees[[#This Row],[Fee as Printed]]*(1+GST_Rate),""))</f>
        <v/>
      </c>
      <c r="O194" s="42">
        <f>IF(N(MasterFees[[#This Row],[Total Units]])=0,"",MasterFees[[#This Row],[Fee as Printed]]/MasterFees[[#This Row],[Total Units]])</f>
        <v>55</v>
      </c>
      <c r="P194" s="43"/>
      <c r="Q194" s="46" t="s">
        <v>1013</v>
      </c>
      <c r="R194" s="46" t="s">
        <v>1302</v>
      </c>
      <c r="S194" s="37"/>
    </row>
    <row r="195" spans="1:19" x14ac:dyDescent="0.2">
      <c r="A195" s="36"/>
      <c r="B195" s="38" t="str">
        <f>IF(MasterFees[[#This Row],[RVG Code]]="","",_xlfn.XLOOKUP(MasterFees[[#This Row],[RVG Code]],RVGCodes[Code],RVGCodes[Base Units],"Code not found"))</f>
        <v/>
      </c>
      <c r="C195" s="37" t="s">
        <v>196</v>
      </c>
      <c r="D195" s="44" t="s">
        <v>1108</v>
      </c>
      <c r="E195" s="44"/>
      <c r="F195" s="44" t="s">
        <v>1109</v>
      </c>
      <c r="G195" s="39">
        <v>4.5</v>
      </c>
      <c r="H195" s="39">
        <v>2.5</v>
      </c>
      <c r="I195" s="39">
        <v>0.7</v>
      </c>
      <c r="J195" s="39">
        <v>7.6</v>
      </c>
      <c r="K195" s="40">
        <v>419.1</v>
      </c>
      <c r="L195" s="45" t="s">
        <v>1015</v>
      </c>
      <c r="M195" s="41" t="str">
        <f>IF(MasterFees[[#This Row],[GST Basis]]="Excl",MasterFees[[#This Row],[Fee as Printed]],IF(MasterFees[[#This Row],[GST Basis]]="Incl",MasterFees[[#This Row],[Fee as Printed]]/(1+GST_Rate),""))</f>
        <v/>
      </c>
      <c r="N195" s="41" t="str">
        <f>IF(MasterFees[[#This Row],[GST Basis]]="Incl",MasterFees[[#This Row],[Fee as Printed]],IF(MasterFees[[#This Row],[GST Basis]]="Excl",MasterFees[[#This Row],[Fee as Printed]]*(1+GST_Rate),""))</f>
        <v/>
      </c>
      <c r="O195" s="42">
        <f>IF(N(MasterFees[[#This Row],[Total Units]])=0,"",MasterFees[[#This Row],[Fee as Printed]]/MasterFees[[#This Row],[Total Units]])</f>
        <v>55.144736842105267</v>
      </c>
      <c r="P195" s="43"/>
      <c r="Q195" s="46" t="s">
        <v>1013</v>
      </c>
      <c r="R195" s="46" t="s">
        <v>1303</v>
      </c>
      <c r="S195" s="37"/>
    </row>
    <row r="196" spans="1:19" x14ac:dyDescent="0.2">
      <c r="A196" s="36"/>
      <c r="B196" s="38" t="str">
        <f>IF(MasterFees[[#This Row],[RVG Code]]="","",_xlfn.XLOOKUP(MasterFees[[#This Row],[RVG Code]],RVGCodes[Code],RVGCodes[Base Units],"Code not found"))</f>
        <v/>
      </c>
      <c r="C196" s="37" t="s">
        <v>197</v>
      </c>
      <c r="D196" s="44" t="s">
        <v>1108</v>
      </c>
      <c r="E196" s="44"/>
      <c r="F196" s="44" t="s">
        <v>1109</v>
      </c>
      <c r="G196" s="39">
        <v>4</v>
      </c>
      <c r="H196" s="39">
        <v>3</v>
      </c>
      <c r="I196" s="39">
        <v>0</v>
      </c>
      <c r="J196" s="39">
        <v>7</v>
      </c>
      <c r="K196" s="40">
        <v>385</v>
      </c>
      <c r="L196" s="45" t="s">
        <v>1015</v>
      </c>
      <c r="M196" s="41" t="str">
        <f>IF(MasterFees[[#This Row],[GST Basis]]="Excl",MasterFees[[#This Row],[Fee as Printed]],IF(MasterFees[[#This Row],[GST Basis]]="Incl",MasterFees[[#This Row],[Fee as Printed]]/(1+GST_Rate),""))</f>
        <v/>
      </c>
      <c r="N196" s="41" t="str">
        <f>IF(MasterFees[[#This Row],[GST Basis]]="Incl",MasterFees[[#This Row],[Fee as Printed]],IF(MasterFees[[#This Row],[GST Basis]]="Excl",MasterFees[[#This Row],[Fee as Printed]]*(1+GST_Rate),""))</f>
        <v/>
      </c>
      <c r="O196" s="42">
        <f>IF(N(MasterFees[[#This Row],[Total Units]])=0,"",MasterFees[[#This Row],[Fee as Printed]]/MasterFees[[#This Row],[Total Units]])</f>
        <v>55</v>
      </c>
      <c r="P196" s="43"/>
      <c r="Q196" s="46" t="s">
        <v>1013</v>
      </c>
      <c r="R196" s="46" t="s">
        <v>1304</v>
      </c>
      <c r="S196" s="37"/>
    </row>
    <row r="197" spans="1:19" x14ac:dyDescent="0.2">
      <c r="A197" s="36"/>
      <c r="B197" s="38" t="str">
        <f>IF(MasterFees[[#This Row],[RVG Code]]="","",_xlfn.XLOOKUP(MasterFees[[#This Row],[RVG Code]],RVGCodes[Code],RVGCodes[Base Units],"Code not found"))</f>
        <v/>
      </c>
      <c r="C197" s="37" t="s">
        <v>198</v>
      </c>
      <c r="D197" s="44" t="s">
        <v>1108</v>
      </c>
      <c r="E197" s="44"/>
      <c r="F197" s="44" t="s">
        <v>1109</v>
      </c>
      <c r="G197" s="39">
        <v>5</v>
      </c>
      <c r="H197" s="39">
        <v>2</v>
      </c>
      <c r="I197" s="39">
        <v>4</v>
      </c>
      <c r="J197" s="39">
        <v>11</v>
      </c>
      <c r="K197" s="40">
        <v>605</v>
      </c>
      <c r="L197" s="45" t="s">
        <v>1015</v>
      </c>
      <c r="M197" s="41" t="str">
        <f>IF(MasterFees[[#This Row],[GST Basis]]="Excl",MasterFees[[#This Row],[Fee as Printed]],IF(MasterFees[[#This Row],[GST Basis]]="Incl",MasterFees[[#This Row],[Fee as Printed]]/(1+GST_Rate),""))</f>
        <v/>
      </c>
      <c r="N197" s="41" t="str">
        <f>IF(MasterFees[[#This Row],[GST Basis]]="Incl",MasterFees[[#This Row],[Fee as Printed]],IF(MasterFees[[#This Row],[GST Basis]]="Excl",MasterFees[[#This Row],[Fee as Printed]]*(1+GST_Rate),""))</f>
        <v/>
      </c>
      <c r="O197" s="42">
        <f>IF(N(MasterFees[[#This Row],[Total Units]])=0,"",MasterFees[[#This Row],[Fee as Printed]]/MasterFees[[#This Row],[Total Units]])</f>
        <v>55</v>
      </c>
      <c r="P197" s="43"/>
      <c r="Q197" s="46" t="s">
        <v>1013</v>
      </c>
      <c r="R197" s="46" t="s">
        <v>1305</v>
      </c>
      <c r="S197" s="37"/>
    </row>
    <row r="198" spans="1:19" x14ac:dyDescent="0.2">
      <c r="A198" s="36"/>
      <c r="B198" s="38" t="str">
        <f>IF(MasterFees[[#This Row],[RVG Code]]="","",_xlfn.XLOOKUP(MasterFees[[#This Row],[RVG Code]],RVGCodes[Code],RVGCodes[Base Units],"Code not found"))</f>
        <v/>
      </c>
      <c r="C198" s="37" t="s">
        <v>199</v>
      </c>
      <c r="D198" s="44" t="s">
        <v>1108</v>
      </c>
      <c r="E198" s="44"/>
      <c r="F198" s="44" t="s">
        <v>1109</v>
      </c>
      <c r="G198" s="39">
        <v>0</v>
      </c>
      <c r="H198" s="39">
        <v>0</v>
      </c>
      <c r="I198" s="39">
        <v>0</v>
      </c>
      <c r="J198" s="39">
        <v>0</v>
      </c>
      <c r="K198" s="40">
        <v>0</v>
      </c>
      <c r="L198" s="45" t="s">
        <v>1015</v>
      </c>
      <c r="M198" s="41" t="str">
        <f>IF(MasterFees[[#This Row],[GST Basis]]="Excl",MasterFees[[#This Row],[Fee as Printed]],IF(MasterFees[[#This Row],[GST Basis]]="Incl",MasterFees[[#This Row],[Fee as Printed]]/(1+GST_Rate),""))</f>
        <v/>
      </c>
      <c r="N198" s="41" t="str">
        <f>IF(MasterFees[[#This Row],[GST Basis]]="Incl",MasterFees[[#This Row],[Fee as Printed]],IF(MasterFees[[#This Row],[GST Basis]]="Excl",MasterFees[[#This Row],[Fee as Printed]]*(1+GST_Rate),""))</f>
        <v/>
      </c>
      <c r="O198" s="42" t="str">
        <f>IF(N(MasterFees[[#This Row],[Total Units]])=0,"",MasterFees[[#This Row],[Fee as Printed]]/MasterFees[[#This Row],[Total Units]])</f>
        <v/>
      </c>
      <c r="P198" s="43"/>
      <c r="Q198" s="46" t="s">
        <v>1013</v>
      </c>
      <c r="R198" s="46" t="s">
        <v>1306</v>
      </c>
      <c r="S198" s="37"/>
    </row>
    <row r="199" spans="1:19" x14ac:dyDescent="0.2">
      <c r="A199" s="36"/>
      <c r="B199" s="38" t="str">
        <f>IF(MasterFees[[#This Row],[RVG Code]]="","",_xlfn.XLOOKUP(MasterFees[[#This Row],[RVG Code]],RVGCodes[Code],RVGCodes[Base Units],"Code not found"))</f>
        <v/>
      </c>
      <c r="C199" s="37" t="s">
        <v>200</v>
      </c>
      <c r="D199" s="44" t="s">
        <v>1108</v>
      </c>
      <c r="E199" s="44"/>
      <c r="F199" s="44" t="s">
        <v>1109</v>
      </c>
      <c r="G199" s="39">
        <v>4</v>
      </c>
      <c r="H199" s="39">
        <v>2</v>
      </c>
      <c r="I199" s="39">
        <v>2</v>
      </c>
      <c r="J199" s="39">
        <v>8</v>
      </c>
      <c r="K199" s="40">
        <v>440</v>
      </c>
      <c r="L199" s="45" t="s">
        <v>1015</v>
      </c>
      <c r="M199" s="41" t="str">
        <f>IF(MasterFees[[#This Row],[GST Basis]]="Excl",MasterFees[[#This Row],[Fee as Printed]],IF(MasterFees[[#This Row],[GST Basis]]="Incl",MasterFees[[#This Row],[Fee as Printed]]/(1+GST_Rate),""))</f>
        <v/>
      </c>
      <c r="N199" s="41" t="str">
        <f>IF(MasterFees[[#This Row],[GST Basis]]="Incl",MasterFees[[#This Row],[Fee as Printed]],IF(MasterFees[[#This Row],[GST Basis]]="Excl",MasterFees[[#This Row],[Fee as Printed]]*(1+GST_Rate),""))</f>
        <v/>
      </c>
      <c r="O199" s="42">
        <f>IF(N(MasterFees[[#This Row],[Total Units]])=0,"",MasterFees[[#This Row],[Fee as Printed]]/MasterFees[[#This Row],[Total Units]])</f>
        <v>55</v>
      </c>
      <c r="P199" s="43"/>
      <c r="Q199" s="46" t="s">
        <v>1013</v>
      </c>
      <c r="R199" s="46" t="s">
        <v>1307</v>
      </c>
      <c r="S199" s="37"/>
    </row>
    <row r="200" spans="1:19" x14ac:dyDescent="0.2">
      <c r="A200" s="36"/>
      <c r="B200" s="38" t="str">
        <f>IF(MasterFees[[#This Row],[RVG Code]]="","",_xlfn.XLOOKUP(MasterFees[[#This Row],[RVG Code]],RVGCodes[Code],RVGCodes[Base Units],"Code not found"))</f>
        <v/>
      </c>
      <c r="C200" s="37" t="s">
        <v>201</v>
      </c>
      <c r="D200" s="44" t="s">
        <v>1108</v>
      </c>
      <c r="E200" s="44"/>
      <c r="F200" s="44" t="s">
        <v>1109</v>
      </c>
      <c r="G200" s="39">
        <v>0</v>
      </c>
      <c r="H200" s="39">
        <v>0</v>
      </c>
      <c r="I200" s="39">
        <v>0</v>
      </c>
      <c r="J200" s="39">
        <v>0</v>
      </c>
      <c r="K200" s="40">
        <v>0</v>
      </c>
      <c r="L200" s="45" t="s">
        <v>1015</v>
      </c>
      <c r="M200" s="41" t="str">
        <f>IF(MasterFees[[#This Row],[GST Basis]]="Excl",MasterFees[[#This Row],[Fee as Printed]],IF(MasterFees[[#This Row],[GST Basis]]="Incl",MasterFees[[#This Row],[Fee as Printed]]/(1+GST_Rate),""))</f>
        <v/>
      </c>
      <c r="N200" s="41" t="str">
        <f>IF(MasterFees[[#This Row],[GST Basis]]="Incl",MasterFees[[#This Row],[Fee as Printed]],IF(MasterFees[[#This Row],[GST Basis]]="Excl",MasterFees[[#This Row],[Fee as Printed]]*(1+GST_Rate),""))</f>
        <v/>
      </c>
      <c r="O200" s="42" t="str">
        <f>IF(N(MasterFees[[#This Row],[Total Units]])=0,"",MasterFees[[#This Row],[Fee as Printed]]/MasterFees[[#This Row],[Total Units]])</f>
        <v/>
      </c>
      <c r="P200" s="43"/>
      <c r="Q200" s="46" t="s">
        <v>1013</v>
      </c>
      <c r="R200" s="46" t="s">
        <v>1308</v>
      </c>
      <c r="S200" s="37"/>
    </row>
    <row r="201" spans="1:19" x14ac:dyDescent="0.2">
      <c r="A201" s="36"/>
      <c r="B201" s="38" t="str">
        <f>IF(MasterFees[[#This Row],[RVG Code]]="","",_xlfn.XLOOKUP(MasterFees[[#This Row],[RVG Code]],RVGCodes[Code],RVGCodes[Base Units],"Code not found"))</f>
        <v/>
      </c>
      <c r="C201" s="37" t="s">
        <v>202</v>
      </c>
      <c r="D201" s="44" t="s">
        <v>1108</v>
      </c>
      <c r="E201" s="44"/>
      <c r="F201" s="44" t="s">
        <v>1109</v>
      </c>
      <c r="G201" s="39">
        <v>4.5999999999999996</v>
      </c>
      <c r="H201" s="39">
        <v>2.7</v>
      </c>
      <c r="I201" s="39">
        <v>0.3</v>
      </c>
      <c r="J201" s="39">
        <v>7.6</v>
      </c>
      <c r="K201" s="40">
        <v>415.8</v>
      </c>
      <c r="L201" s="45" t="s">
        <v>1015</v>
      </c>
      <c r="M201" s="41" t="str">
        <f>IF(MasterFees[[#This Row],[GST Basis]]="Excl",MasterFees[[#This Row],[Fee as Printed]],IF(MasterFees[[#This Row],[GST Basis]]="Incl",MasterFees[[#This Row],[Fee as Printed]]/(1+GST_Rate),""))</f>
        <v/>
      </c>
      <c r="N201" s="41" t="str">
        <f>IF(MasterFees[[#This Row],[GST Basis]]="Incl",MasterFees[[#This Row],[Fee as Printed]],IF(MasterFees[[#This Row],[GST Basis]]="Excl",MasterFees[[#This Row],[Fee as Printed]]*(1+GST_Rate),""))</f>
        <v/>
      </c>
      <c r="O201" s="42">
        <f>IF(N(MasterFees[[#This Row],[Total Units]])=0,"",MasterFees[[#This Row],[Fee as Printed]]/MasterFees[[#This Row],[Total Units]])</f>
        <v>54.71052631578948</v>
      </c>
      <c r="P201" s="43"/>
      <c r="Q201" s="46" t="s">
        <v>1013</v>
      </c>
      <c r="R201" s="46" t="s">
        <v>1309</v>
      </c>
      <c r="S201" s="37"/>
    </row>
    <row r="202" spans="1:19" x14ac:dyDescent="0.2">
      <c r="A202" s="36"/>
      <c r="B202" s="38" t="str">
        <f>IF(MasterFees[[#This Row],[RVG Code]]="","",_xlfn.XLOOKUP(MasterFees[[#This Row],[RVG Code]],RVGCodes[Code],RVGCodes[Base Units],"Code not found"))</f>
        <v/>
      </c>
      <c r="C202" s="37" t="s">
        <v>203</v>
      </c>
      <c r="D202" s="44" t="s">
        <v>1108</v>
      </c>
      <c r="E202" s="44"/>
      <c r="F202" s="44" t="s">
        <v>1109</v>
      </c>
      <c r="G202" s="39">
        <v>4.0999999999999996</v>
      </c>
      <c r="H202" s="39">
        <v>2.7</v>
      </c>
      <c r="I202" s="39">
        <v>0.9</v>
      </c>
      <c r="J202" s="39">
        <v>7.7</v>
      </c>
      <c r="K202" s="40">
        <v>423.5</v>
      </c>
      <c r="L202" s="45" t="s">
        <v>1015</v>
      </c>
      <c r="M202" s="41" t="str">
        <f>IF(MasterFees[[#This Row],[GST Basis]]="Excl",MasterFees[[#This Row],[Fee as Printed]],IF(MasterFees[[#This Row],[GST Basis]]="Incl",MasterFees[[#This Row],[Fee as Printed]]/(1+GST_Rate),""))</f>
        <v/>
      </c>
      <c r="N202" s="41" t="str">
        <f>IF(MasterFees[[#This Row],[GST Basis]]="Incl",MasterFees[[#This Row],[Fee as Printed]],IF(MasterFees[[#This Row],[GST Basis]]="Excl",MasterFees[[#This Row],[Fee as Printed]]*(1+GST_Rate),""))</f>
        <v/>
      </c>
      <c r="O202" s="42">
        <f>IF(N(MasterFees[[#This Row],[Total Units]])=0,"",MasterFees[[#This Row],[Fee as Printed]]/MasterFees[[#This Row],[Total Units]])</f>
        <v>55</v>
      </c>
      <c r="P202" s="43"/>
      <c r="Q202" s="46" t="s">
        <v>1013</v>
      </c>
      <c r="R202" s="46" t="s">
        <v>1310</v>
      </c>
      <c r="S202" s="37"/>
    </row>
    <row r="203" spans="1:19" x14ac:dyDescent="0.2">
      <c r="A203" s="36"/>
      <c r="B203" s="38" t="str">
        <f>IF(MasterFees[[#This Row],[RVG Code]]="","",_xlfn.XLOOKUP(MasterFees[[#This Row],[RVG Code]],RVGCodes[Code],RVGCodes[Base Units],"Code not found"))</f>
        <v/>
      </c>
      <c r="C203" s="37" t="s">
        <v>204</v>
      </c>
      <c r="D203" s="44" t="s">
        <v>1108</v>
      </c>
      <c r="E203" s="44"/>
      <c r="F203" s="44" t="s">
        <v>1109</v>
      </c>
      <c r="G203" s="39">
        <v>0</v>
      </c>
      <c r="H203" s="39">
        <v>0</v>
      </c>
      <c r="I203" s="39">
        <v>0</v>
      </c>
      <c r="J203" s="39">
        <v>0</v>
      </c>
      <c r="K203" s="40">
        <v>0</v>
      </c>
      <c r="L203" s="45" t="s">
        <v>1015</v>
      </c>
      <c r="M203" s="41" t="str">
        <f>IF(MasterFees[[#This Row],[GST Basis]]="Excl",MasterFees[[#This Row],[Fee as Printed]],IF(MasterFees[[#This Row],[GST Basis]]="Incl",MasterFees[[#This Row],[Fee as Printed]]/(1+GST_Rate),""))</f>
        <v/>
      </c>
      <c r="N203" s="41" t="str">
        <f>IF(MasterFees[[#This Row],[GST Basis]]="Incl",MasterFees[[#This Row],[Fee as Printed]],IF(MasterFees[[#This Row],[GST Basis]]="Excl",MasterFees[[#This Row],[Fee as Printed]]*(1+GST_Rate),""))</f>
        <v/>
      </c>
      <c r="O203" s="42" t="str">
        <f>IF(N(MasterFees[[#This Row],[Total Units]])=0,"",MasterFees[[#This Row],[Fee as Printed]]/MasterFees[[#This Row],[Total Units]])</f>
        <v/>
      </c>
      <c r="P203" s="43"/>
      <c r="Q203" s="46" t="s">
        <v>1013</v>
      </c>
      <c r="R203" s="46" t="s">
        <v>1311</v>
      </c>
      <c r="S203" s="37"/>
    </row>
    <row r="204" spans="1:19" x14ac:dyDescent="0.2">
      <c r="A204" s="36"/>
      <c r="B204" s="38" t="str">
        <f>IF(MasterFees[[#This Row],[RVG Code]]="","",_xlfn.XLOOKUP(MasterFees[[#This Row],[RVG Code]],RVGCodes[Code],RVGCodes[Base Units],"Code not found"))</f>
        <v/>
      </c>
      <c r="C204" s="37" t="s">
        <v>205</v>
      </c>
      <c r="D204" s="44" t="s">
        <v>1108</v>
      </c>
      <c r="E204" s="44"/>
      <c r="F204" s="44" t="s">
        <v>1109</v>
      </c>
      <c r="G204" s="39">
        <v>4.2</v>
      </c>
      <c r="H204" s="39">
        <v>2.7</v>
      </c>
      <c r="I204" s="39">
        <v>0.2</v>
      </c>
      <c r="J204" s="39">
        <v>7.1</v>
      </c>
      <c r="K204" s="40">
        <v>388.85</v>
      </c>
      <c r="L204" s="45" t="s">
        <v>1015</v>
      </c>
      <c r="M204" s="41" t="str">
        <f>IF(MasterFees[[#This Row],[GST Basis]]="Excl",MasterFees[[#This Row],[Fee as Printed]],IF(MasterFees[[#This Row],[GST Basis]]="Incl",MasterFees[[#This Row],[Fee as Printed]]/(1+GST_Rate),""))</f>
        <v/>
      </c>
      <c r="N204" s="41" t="str">
        <f>IF(MasterFees[[#This Row],[GST Basis]]="Incl",MasterFees[[#This Row],[Fee as Printed]],IF(MasterFees[[#This Row],[GST Basis]]="Excl",MasterFees[[#This Row],[Fee as Printed]]*(1+GST_Rate),""))</f>
        <v/>
      </c>
      <c r="O204" s="42">
        <f>IF(N(MasterFees[[#This Row],[Total Units]])=0,"",MasterFees[[#This Row],[Fee as Printed]]/MasterFees[[#This Row],[Total Units]])</f>
        <v>54.767605633802823</v>
      </c>
      <c r="P204" s="43"/>
      <c r="Q204" s="46" t="s">
        <v>1013</v>
      </c>
      <c r="R204" s="46" t="s">
        <v>1312</v>
      </c>
      <c r="S204" s="37"/>
    </row>
    <row r="205" spans="1:19" x14ac:dyDescent="0.2">
      <c r="A205" s="36"/>
      <c r="B205" s="38" t="str">
        <f>IF(MasterFees[[#This Row],[RVG Code]]="","",_xlfn.XLOOKUP(MasterFees[[#This Row],[RVG Code]],RVGCodes[Code],RVGCodes[Base Units],"Code not found"))</f>
        <v/>
      </c>
      <c r="C205" s="37" t="s">
        <v>206</v>
      </c>
      <c r="D205" s="44" t="s">
        <v>1108</v>
      </c>
      <c r="E205" s="44"/>
      <c r="F205" s="44" t="s">
        <v>1109</v>
      </c>
      <c r="G205" s="39">
        <v>5</v>
      </c>
      <c r="H205" s="39">
        <v>4.5</v>
      </c>
      <c r="I205" s="39">
        <v>2</v>
      </c>
      <c r="J205" s="39">
        <v>11.5</v>
      </c>
      <c r="K205" s="40">
        <v>632.5</v>
      </c>
      <c r="L205" s="45" t="s">
        <v>1015</v>
      </c>
      <c r="M205" s="41" t="str">
        <f>IF(MasterFees[[#This Row],[GST Basis]]="Excl",MasterFees[[#This Row],[Fee as Printed]],IF(MasterFees[[#This Row],[GST Basis]]="Incl",MasterFees[[#This Row],[Fee as Printed]]/(1+GST_Rate),""))</f>
        <v/>
      </c>
      <c r="N205" s="41" t="str">
        <f>IF(MasterFees[[#This Row],[GST Basis]]="Incl",MasterFees[[#This Row],[Fee as Printed]],IF(MasterFees[[#This Row],[GST Basis]]="Excl",MasterFees[[#This Row],[Fee as Printed]]*(1+GST_Rate),""))</f>
        <v/>
      </c>
      <c r="O205" s="42">
        <f>IF(N(MasterFees[[#This Row],[Total Units]])=0,"",MasterFees[[#This Row],[Fee as Printed]]/MasterFees[[#This Row],[Total Units]])</f>
        <v>55</v>
      </c>
      <c r="P205" s="43"/>
      <c r="Q205" s="46" t="s">
        <v>1013</v>
      </c>
      <c r="R205" s="46" t="s">
        <v>1313</v>
      </c>
      <c r="S205" s="37"/>
    </row>
    <row r="206" spans="1:19" x14ac:dyDescent="0.2">
      <c r="A206" s="36"/>
      <c r="B206" s="38" t="str">
        <f>IF(MasterFees[[#This Row],[RVG Code]]="","",_xlfn.XLOOKUP(MasterFees[[#This Row],[RVG Code]],RVGCodes[Code],RVGCodes[Base Units],"Code not found"))</f>
        <v/>
      </c>
      <c r="C206" s="37" t="s">
        <v>207</v>
      </c>
      <c r="D206" s="44" t="s">
        <v>1108</v>
      </c>
      <c r="E206" s="44"/>
      <c r="F206" s="44" t="s">
        <v>1109</v>
      </c>
      <c r="G206" s="39">
        <v>0</v>
      </c>
      <c r="H206" s="39">
        <v>0</v>
      </c>
      <c r="I206" s="39">
        <v>0</v>
      </c>
      <c r="J206" s="39">
        <v>0</v>
      </c>
      <c r="K206" s="40">
        <v>0</v>
      </c>
      <c r="L206" s="45" t="s">
        <v>1015</v>
      </c>
      <c r="M206" s="41" t="str">
        <f>IF(MasterFees[[#This Row],[GST Basis]]="Excl",MasterFees[[#This Row],[Fee as Printed]],IF(MasterFees[[#This Row],[GST Basis]]="Incl",MasterFees[[#This Row],[Fee as Printed]]/(1+GST_Rate),""))</f>
        <v/>
      </c>
      <c r="N206" s="41" t="str">
        <f>IF(MasterFees[[#This Row],[GST Basis]]="Incl",MasterFees[[#This Row],[Fee as Printed]],IF(MasterFees[[#This Row],[GST Basis]]="Excl",MasterFees[[#This Row],[Fee as Printed]]*(1+GST_Rate),""))</f>
        <v/>
      </c>
      <c r="O206" s="42" t="str">
        <f>IF(N(MasterFees[[#This Row],[Total Units]])=0,"",MasterFees[[#This Row],[Fee as Printed]]/MasterFees[[#This Row],[Total Units]])</f>
        <v/>
      </c>
      <c r="P206" s="43"/>
      <c r="Q206" s="46" t="s">
        <v>1013</v>
      </c>
      <c r="R206" s="46" t="s">
        <v>1314</v>
      </c>
      <c r="S206" s="37"/>
    </row>
    <row r="207" spans="1:19" x14ac:dyDescent="0.2">
      <c r="A207" s="36"/>
      <c r="B207" s="38" t="str">
        <f>IF(MasterFees[[#This Row],[RVG Code]]="","",_xlfn.XLOOKUP(MasterFees[[#This Row],[RVG Code]],RVGCodes[Code],RVGCodes[Base Units],"Code not found"))</f>
        <v/>
      </c>
      <c r="C207" s="37" t="s">
        <v>208</v>
      </c>
      <c r="D207" s="44" t="s">
        <v>1108</v>
      </c>
      <c r="E207" s="44"/>
      <c r="F207" s="44" t="s">
        <v>1109</v>
      </c>
      <c r="G207" s="39">
        <v>10</v>
      </c>
      <c r="H207" s="39">
        <v>5</v>
      </c>
      <c r="I207" s="39">
        <v>3</v>
      </c>
      <c r="J207" s="39">
        <v>18</v>
      </c>
      <c r="K207" s="40">
        <v>990</v>
      </c>
      <c r="L207" s="45" t="s">
        <v>1015</v>
      </c>
      <c r="M207" s="41" t="str">
        <f>IF(MasterFees[[#This Row],[GST Basis]]="Excl",MasterFees[[#This Row],[Fee as Printed]],IF(MasterFees[[#This Row],[GST Basis]]="Incl",MasterFees[[#This Row],[Fee as Printed]]/(1+GST_Rate),""))</f>
        <v/>
      </c>
      <c r="N207" s="41" t="str">
        <f>IF(MasterFees[[#This Row],[GST Basis]]="Incl",MasterFees[[#This Row],[Fee as Printed]],IF(MasterFees[[#This Row],[GST Basis]]="Excl",MasterFees[[#This Row],[Fee as Printed]]*(1+GST_Rate),""))</f>
        <v/>
      </c>
      <c r="O207" s="42">
        <f>IF(N(MasterFees[[#This Row],[Total Units]])=0,"",MasterFees[[#This Row],[Fee as Printed]]/MasterFees[[#This Row],[Total Units]])</f>
        <v>55</v>
      </c>
      <c r="P207" s="43"/>
      <c r="Q207" s="46" t="s">
        <v>1013</v>
      </c>
      <c r="R207" s="46" t="s">
        <v>1315</v>
      </c>
      <c r="S207" s="37"/>
    </row>
    <row r="208" spans="1:19" x14ac:dyDescent="0.2">
      <c r="A208" s="36"/>
      <c r="B208" s="38" t="str">
        <f>IF(MasterFees[[#This Row],[RVG Code]]="","",_xlfn.XLOOKUP(MasterFees[[#This Row],[RVG Code]],RVGCodes[Code],RVGCodes[Base Units],"Code not found"))</f>
        <v/>
      </c>
      <c r="C208" s="37" t="s">
        <v>209</v>
      </c>
      <c r="D208" s="44" t="s">
        <v>1108</v>
      </c>
      <c r="E208" s="44"/>
      <c r="F208" s="44" t="s">
        <v>1109</v>
      </c>
      <c r="G208" s="39">
        <v>4.3</v>
      </c>
      <c r="H208" s="39">
        <v>2</v>
      </c>
      <c r="I208" s="39">
        <v>1.3</v>
      </c>
      <c r="J208" s="39">
        <v>7.7</v>
      </c>
      <c r="K208" s="40">
        <v>421.3</v>
      </c>
      <c r="L208" s="45" t="s">
        <v>1015</v>
      </c>
      <c r="M208" s="41" t="str">
        <f>IF(MasterFees[[#This Row],[GST Basis]]="Excl",MasterFees[[#This Row],[Fee as Printed]],IF(MasterFees[[#This Row],[GST Basis]]="Incl",MasterFees[[#This Row],[Fee as Printed]]/(1+GST_Rate),""))</f>
        <v/>
      </c>
      <c r="N208" s="41" t="str">
        <f>IF(MasterFees[[#This Row],[GST Basis]]="Incl",MasterFees[[#This Row],[Fee as Printed]],IF(MasterFees[[#This Row],[GST Basis]]="Excl",MasterFees[[#This Row],[Fee as Printed]]*(1+GST_Rate),""))</f>
        <v/>
      </c>
      <c r="O208" s="42">
        <f>IF(N(MasterFees[[#This Row],[Total Units]])=0,"",MasterFees[[#This Row],[Fee as Printed]]/MasterFees[[#This Row],[Total Units]])</f>
        <v>54.714285714285715</v>
      </c>
      <c r="P208" s="43"/>
      <c r="Q208" s="46" t="s">
        <v>1013</v>
      </c>
      <c r="R208" s="46" t="s">
        <v>1316</v>
      </c>
      <c r="S208" s="37"/>
    </row>
    <row r="209" spans="1:19" x14ac:dyDescent="0.2">
      <c r="A209" s="36"/>
      <c r="B209" s="38" t="str">
        <f>IF(MasterFees[[#This Row],[RVG Code]]="","",_xlfn.XLOOKUP(MasterFees[[#This Row],[RVG Code]],RVGCodes[Code],RVGCodes[Base Units],"Code not found"))</f>
        <v/>
      </c>
      <c r="C209" s="37" t="s">
        <v>210</v>
      </c>
      <c r="D209" s="44" t="s">
        <v>1108</v>
      </c>
      <c r="E209" s="44"/>
      <c r="F209" s="44" t="s">
        <v>1109</v>
      </c>
      <c r="G209" s="39">
        <v>0</v>
      </c>
      <c r="H209" s="39">
        <v>3</v>
      </c>
      <c r="I209" s="39">
        <v>0</v>
      </c>
      <c r="J209" s="39">
        <v>3</v>
      </c>
      <c r="K209" s="40">
        <v>165</v>
      </c>
      <c r="L209" s="45" t="s">
        <v>1015</v>
      </c>
      <c r="M209" s="41" t="str">
        <f>IF(MasterFees[[#This Row],[GST Basis]]="Excl",MasterFees[[#This Row],[Fee as Printed]],IF(MasterFees[[#This Row],[GST Basis]]="Incl",MasterFees[[#This Row],[Fee as Printed]]/(1+GST_Rate),""))</f>
        <v/>
      </c>
      <c r="N209" s="41" t="str">
        <f>IF(MasterFees[[#This Row],[GST Basis]]="Incl",MasterFees[[#This Row],[Fee as Printed]],IF(MasterFees[[#This Row],[GST Basis]]="Excl",MasterFees[[#This Row],[Fee as Printed]]*(1+GST_Rate),""))</f>
        <v/>
      </c>
      <c r="O209" s="42">
        <f>IF(N(MasterFees[[#This Row],[Total Units]])=0,"",MasterFees[[#This Row],[Fee as Printed]]/MasterFees[[#This Row],[Total Units]])</f>
        <v>55</v>
      </c>
      <c r="P209" s="43"/>
      <c r="Q209" s="46" t="s">
        <v>1013</v>
      </c>
      <c r="R209" s="46" t="s">
        <v>1317</v>
      </c>
      <c r="S209" s="37"/>
    </row>
    <row r="210" spans="1:19" x14ac:dyDescent="0.2">
      <c r="A210" s="36"/>
      <c r="B210" s="38" t="str">
        <f>IF(MasterFees[[#This Row],[RVG Code]]="","",_xlfn.XLOOKUP(MasterFees[[#This Row],[RVG Code]],RVGCodes[Code],RVGCodes[Base Units],"Code not found"))</f>
        <v/>
      </c>
      <c r="C210" s="37" t="s">
        <v>211</v>
      </c>
      <c r="D210" s="44" t="s">
        <v>1108</v>
      </c>
      <c r="E210" s="44"/>
      <c r="F210" s="44" t="s">
        <v>1109</v>
      </c>
      <c r="G210" s="39">
        <v>0</v>
      </c>
      <c r="H210" s="39">
        <v>0</v>
      </c>
      <c r="I210" s="39">
        <v>0</v>
      </c>
      <c r="J210" s="39">
        <v>0</v>
      </c>
      <c r="K210" s="40">
        <v>0</v>
      </c>
      <c r="L210" s="45" t="s">
        <v>1015</v>
      </c>
      <c r="M210" s="41" t="str">
        <f>IF(MasterFees[[#This Row],[GST Basis]]="Excl",MasterFees[[#This Row],[Fee as Printed]],IF(MasterFees[[#This Row],[GST Basis]]="Incl",MasterFees[[#This Row],[Fee as Printed]]/(1+GST_Rate),""))</f>
        <v/>
      </c>
      <c r="N210" s="41" t="str">
        <f>IF(MasterFees[[#This Row],[GST Basis]]="Incl",MasterFees[[#This Row],[Fee as Printed]],IF(MasterFees[[#This Row],[GST Basis]]="Excl",MasterFees[[#This Row],[Fee as Printed]]*(1+GST_Rate),""))</f>
        <v/>
      </c>
      <c r="O210" s="42" t="str">
        <f>IF(N(MasterFees[[#This Row],[Total Units]])=0,"",MasterFees[[#This Row],[Fee as Printed]]/MasterFees[[#This Row],[Total Units]])</f>
        <v/>
      </c>
      <c r="P210" s="43"/>
      <c r="Q210" s="46" t="s">
        <v>1013</v>
      </c>
      <c r="R210" s="46" t="s">
        <v>1318</v>
      </c>
      <c r="S210" s="37"/>
    </row>
    <row r="211" spans="1:19" x14ac:dyDescent="0.2">
      <c r="A211" s="36"/>
      <c r="B211" s="38" t="str">
        <f>IF(MasterFees[[#This Row],[RVG Code]]="","",_xlfn.XLOOKUP(MasterFees[[#This Row],[RVG Code]],RVGCodes[Code],RVGCodes[Base Units],"Code not found"))</f>
        <v/>
      </c>
      <c r="C211" s="37" t="s">
        <v>212</v>
      </c>
      <c r="D211" s="44" t="s">
        <v>1108</v>
      </c>
      <c r="E211" s="44"/>
      <c r="F211" s="44" t="s">
        <v>1109</v>
      </c>
      <c r="G211" s="39">
        <v>0</v>
      </c>
      <c r="H211" s="39">
        <v>4</v>
      </c>
      <c r="I211" s="39">
        <v>2</v>
      </c>
      <c r="J211" s="39">
        <v>6</v>
      </c>
      <c r="K211" s="40">
        <v>330</v>
      </c>
      <c r="L211" s="45" t="s">
        <v>1015</v>
      </c>
      <c r="M211" s="41" t="str">
        <f>IF(MasterFees[[#This Row],[GST Basis]]="Excl",MasterFees[[#This Row],[Fee as Printed]],IF(MasterFees[[#This Row],[GST Basis]]="Incl",MasterFees[[#This Row],[Fee as Printed]]/(1+GST_Rate),""))</f>
        <v/>
      </c>
      <c r="N211" s="41" t="str">
        <f>IF(MasterFees[[#This Row],[GST Basis]]="Incl",MasterFees[[#This Row],[Fee as Printed]],IF(MasterFees[[#This Row],[GST Basis]]="Excl",MasterFees[[#This Row],[Fee as Printed]]*(1+GST_Rate),""))</f>
        <v/>
      </c>
      <c r="O211" s="42">
        <f>IF(N(MasterFees[[#This Row],[Total Units]])=0,"",MasterFees[[#This Row],[Fee as Printed]]/MasterFees[[#This Row],[Total Units]])</f>
        <v>55</v>
      </c>
      <c r="P211" s="43"/>
      <c r="Q211" s="46" t="s">
        <v>1013</v>
      </c>
      <c r="R211" s="46" t="s">
        <v>1319</v>
      </c>
      <c r="S211" s="37"/>
    </row>
    <row r="212" spans="1:19" x14ac:dyDescent="0.2">
      <c r="A212" s="36"/>
      <c r="B212" s="38" t="str">
        <f>IF(MasterFees[[#This Row],[RVG Code]]="","",_xlfn.XLOOKUP(MasterFees[[#This Row],[RVG Code]],RVGCodes[Code],RVGCodes[Base Units],"Code not found"))</f>
        <v/>
      </c>
      <c r="C212" s="37" t="s">
        <v>213</v>
      </c>
      <c r="D212" s="44" t="s">
        <v>1108</v>
      </c>
      <c r="E212" s="44"/>
      <c r="F212" s="44" t="s">
        <v>1109</v>
      </c>
      <c r="G212" s="39">
        <v>4</v>
      </c>
      <c r="H212" s="39">
        <v>2</v>
      </c>
      <c r="I212" s="39">
        <v>0</v>
      </c>
      <c r="J212" s="39">
        <v>6</v>
      </c>
      <c r="K212" s="40">
        <v>330</v>
      </c>
      <c r="L212" s="45" t="s">
        <v>1015</v>
      </c>
      <c r="M212" s="41" t="str">
        <f>IF(MasterFees[[#This Row],[GST Basis]]="Excl",MasterFees[[#This Row],[Fee as Printed]],IF(MasterFees[[#This Row],[GST Basis]]="Incl",MasterFees[[#This Row],[Fee as Printed]]/(1+GST_Rate),""))</f>
        <v/>
      </c>
      <c r="N212" s="41" t="str">
        <f>IF(MasterFees[[#This Row],[GST Basis]]="Incl",MasterFees[[#This Row],[Fee as Printed]],IF(MasterFees[[#This Row],[GST Basis]]="Excl",MasterFees[[#This Row],[Fee as Printed]]*(1+GST_Rate),""))</f>
        <v/>
      </c>
      <c r="O212" s="42">
        <f>IF(N(MasterFees[[#This Row],[Total Units]])=0,"",MasterFees[[#This Row],[Fee as Printed]]/MasterFees[[#This Row],[Total Units]])</f>
        <v>55</v>
      </c>
      <c r="P212" s="43"/>
      <c r="Q212" s="46" t="s">
        <v>1013</v>
      </c>
      <c r="R212" s="46" t="s">
        <v>1320</v>
      </c>
      <c r="S212" s="37"/>
    </row>
    <row r="213" spans="1:19" x14ac:dyDescent="0.2">
      <c r="A213" s="36"/>
      <c r="B213" s="38" t="str">
        <f>IF(MasterFees[[#This Row],[RVG Code]]="","",_xlfn.XLOOKUP(MasterFees[[#This Row],[RVG Code]],RVGCodes[Code],RVGCodes[Base Units],"Code not found"))</f>
        <v/>
      </c>
      <c r="C213" s="37" t="s">
        <v>214</v>
      </c>
      <c r="D213" s="44" t="s">
        <v>1108</v>
      </c>
      <c r="E213" s="44"/>
      <c r="F213" s="44" t="s">
        <v>1109</v>
      </c>
      <c r="G213" s="39">
        <v>3.8</v>
      </c>
      <c r="H213" s="39">
        <v>5.2</v>
      </c>
      <c r="I213" s="39">
        <v>1.2</v>
      </c>
      <c r="J213" s="39">
        <v>10.199999999999999</v>
      </c>
      <c r="K213" s="40">
        <v>558.25</v>
      </c>
      <c r="L213" s="45" t="s">
        <v>1015</v>
      </c>
      <c r="M213" s="41" t="str">
        <f>IF(MasterFees[[#This Row],[GST Basis]]="Excl",MasterFees[[#This Row],[Fee as Printed]],IF(MasterFees[[#This Row],[GST Basis]]="Incl",MasterFees[[#This Row],[Fee as Printed]]/(1+GST_Rate),""))</f>
        <v/>
      </c>
      <c r="N213" s="41" t="str">
        <f>IF(MasterFees[[#This Row],[GST Basis]]="Incl",MasterFees[[#This Row],[Fee as Printed]],IF(MasterFees[[#This Row],[GST Basis]]="Excl",MasterFees[[#This Row],[Fee as Printed]]*(1+GST_Rate),""))</f>
        <v/>
      </c>
      <c r="O213" s="42">
        <f>IF(N(MasterFees[[#This Row],[Total Units]])=0,"",MasterFees[[#This Row],[Fee as Printed]]/MasterFees[[#This Row],[Total Units]])</f>
        <v>54.730392156862749</v>
      </c>
      <c r="P213" s="43"/>
      <c r="Q213" s="46" t="s">
        <v>1013</v>
      </c>
      <c r="R213" s="46" t="s">
        <v>1321</v>
      </c>
      <c r="S213" s="37"/>
    </row>
    <row r="214" spans="1:19" x14ac:dyDescent="0.2">
      <c r="A214" s="36"/>
      <c r="B214" s="38" t="str">
        <f>IF(MasterFees[[#This Row],[RVG Code]]="","",_xlfn.XLOOKUP(MasterFees[[#This Row],[RVG Code]],RVGCodes[Code],RVGCodes[Base Units],"Code not found"))</f>
        <v/>
      </c>
      <c r="C214" s="37" t="s">
        <v>215</v>
      </c>
      <c r="D214" s="44" t="s">
        <v>1108</v>
      </c>
      <c r="E214" s="44"/>
      <c r="F214" s="44" t="s">
        <v>1109</v>
      </c>
      <c r="G214" s="39">
        <v>17.3</v>
      </c>
      <c r="H214" s="39">
        <v>20</v>
      </c>
      <c r="I214" s="39">
        <v>2.7</v>
      </c>
      <c r="J214" s="39">
        <v>40</v>
      </c>
      <c r="K214" s="40">
        <v>2199.4499999999998</v>
      </c>
      <c r="L214" s="45" t="s">
        <v>1015</v>
      </c>
      <c r="M214" s="41" t="str">
        <f>IF(MasterFees[[#This Row],[GST Basis]]="Excl",MasterFees[[#This Row],[Fee as Printed]],IF(MasterFees[[#This Row],[GST Basis]]="Incl",MasterFees[[#This Row],[Fee as Printed]]/(1+GST_Rate),""))</f>
        <v/>
      </c>
      <c r="N214" s="41" t="str">
        <f>IF(MasterFees[[#This Row],[GST Basis]]="Incl",MasterFees[[#This Row],[Fee as Printed]],IF(MasterFees[[#This Row],[GST Basis]]="Excl",MasterFees[[#This Row],[Fee as Printed]]*(1+GST_Rate),""))</f>
        <v/>
      </c>
      <c r="O214" s="42">
        <f>IF(N(MasterFees[[#This Row],[Total Units]])=0,"",MasterFees[[#This Row],[Fee as Printed]]/MasterFees[[#This Row],[Total Units]])</f>
        <v>54.986249999999998</v>
      </c>
      <c r="P214" s="43"/>
      <c r="Q214" s="46" t="s">
        <v>1013</v>
      </c>
      <c r="R214" s="46" t="s">
        <v>1322</v>
      </c>
      <c r="S214" s="37"/>
    </row>
    <row r="215" spans="1:19" x14ac:dyDescent="0.2">
      <c r="A215" s="36"/>
      <c r="B215" s="38" t="str">
        <f>IF(MasterFees[[#This Row],[RVG Code]]="","",_xlfn.XLOOKUP(MasterFees[[#This Row],[RVG Code]],RVGCodes[Code],RVGCodes[Base Units],"Code not found"))</f>
        <v/>
      </c>
      <c r="C215" s="37" t="s">
        <v>216</v>
      </c>
      <c r="D215" s="44" t="s">
        <v>1108</v>
      </c>
      <c r="E215" s="44"/>
      <c r="F215" s="44" t="s">
        <v>1109</v>
      </c>
      <c r="G215" s="39">
        <v>5.5</v>
      </c>
      <c r="H215" s="39">
        <v>6.5</v>
      </c>
      <c r="I215" s="39">
        <v>1</v>
      </c>
      <c r="J215" s="39">
        <v>13</v>
      </c>
      <c r="K215" s="40">
        <v>715</v>
      </c>
      <c r="L215" s="45" t="s">
        <v>1015</v>
      </c>
      <c r="M215" s="41" t="str">
        <f>IF(MasterFees[[#This Row],[GST Basis]]="Excl",MasterFees[[#This Row],[Fee as Printed]],IF(MasterFees[[#This Row],[GST Basis]]="Incl",MasterFees[[#This Row],[Fee as Printed]]/(1+GST_Rate),""))</f>
        <v/>
      </c>
      <c r="N215" s="41" t="str">
        <f>IF(MasterFees[[#This Row],[GST Basis]]="Incl",MasterFees[[#This Row],[Fee as Printed]],IF(MasterFees[[#This Row],[GST Basis]]="Excl",MasterFees[[#This Row],[Fee as Printed]]*(1+GST_Rate),""))</f>
        <v/>
      </c>
      <c r="O215" s="42">
        <f>IF(N(MasterFees[[#This Row],[Total Units]])=0,"",MasterFees[[#This Row],[Fee as Printed]]/MasterFees[[#This Row],[Total Units]])</f>
        <v>55</v>
      </c>
      <c r="P215" s="43"/>
      <c r="Q215" s="46" t="s">
        <v>1013</v>
      </c>
      <c r="R215" s="46" t="s">
        <v>1323</v>
      </c>
      <c r="S215" s="37"/>
    </row>
    <row r="216" spans="1:19" x14ac:dyDescent="0.2">
      <c r="A216" s="36"/>
      <c r="B216" s="38" t="str">
        <f>IF(MasterFees[[#This Row],[RVG Code]]="","",_xlfn.XLOOKUP(MasterFees[[#This Row],[RVG Code]],RVGCodes[Code],RVGCodes[Base Units],"Code not found"))</f>
        <v/>
      </c>
      <c r="C216" s="37" t="s">
        <v>217</v>
      </c>
      <c r="D216" s="44" t="s">
        <v>1108</v>
      </c>
      <c r="E216" s="44"/>
      <c r="F216" s="44" t="s">
        <v>1109</v>
      </c>
      <c r="G216" s="39">
        <v>5</v>
      </c>
      <c r="H216" s="39">
        <v>7</v>
      </c>
      <c r="I216" s="39">
        <v>0.5</v>
      </c>
      <c r="J216" s="39">
        <v>12.5</v>
      </c>
      <c r="K216" s="40">
        <v>687.5</v>
      </c>
      <c r="L216" s="45" t="s">
        <v>1015</v>
      </c>
      <c r="M216" s="41" t="str">
        <f>IF(MasterFees[[#This Row],[GST Basis]]="Excl",MasterFees[[#This Row],[Fee as Printed]],IF(MasterFees[[#This Row],[GST Basis]]="Incl",MasterFees[[#This Row],[Fee as Printed]]/(1+GST_Rate),""))</f>
        <v/>
      </c>
      <c r="N216" s="41" t="str">
        <f>IF(MasterFees[[#This Row],[GST Basis]]="Incl",MasterFees[[#This Row],[Fee as Printed]],IF(MasterFees[[#This Row],[GST Basis]]="Excl",MasterFees[[#This Row],[Fee as Printed]]*(1+GST_Rate),""))</f>
        <v/>
      </c>
      <c r="O216" s="42">
        <f>IF(N(MasterFees[[#This Row],[Total Units]])=0,"",MasterFees[[#This Row],[Fee as Printed]]/MasterFees[[#This Row],[Total Units]])</f>
        <v>55</v>
      </c>
      <c r="P216" s="43"/>
      <c r="Q216" s="46" t="s">
        <v>1013</v>
      </c>
      <c r="R216" s="46" t="s">
        <v>1324</v>
      </c>
      <c r="S216" s="37"/>
    </row>
    <row r="217" spans="1:19" x14ac:dyDescent="0.2">
      <c r="A217" s="36"/>
      <c r="B217" s="38" t="str">
        <f>IF(MasterFees[[#This Row],[RVG Code]]="","",_xlfn.XLOOKUP(MasterFees[[#This Row],[RVG Code]],RVGCodes[Code],RVGCodes[Base Units],"Code not found"))</f>
        <v/>
      </c>
      <c r="C217" s="37" t="s">
        <v>218</v>
      </c>
      <c r="D217" s="44" t="s">
        <v>1108</v>
      </c>
      <c r="E217" s="44"/>
      <c r="F217" s="44" t="s">
        <v>1109</v>
      </c>
      <c r="G217" s="39">
        <v>4</v>
      </c>
      <c r="H217" s="39">
        <v>3</v>
      </c>
      <c r="I217" s="39">
        <v>0</v>
      </c>
      <c r="J217" s="39">
        <v>7</v>
      </c>
      <c r="K217" s="40">
        <v>385</v>
      </c>
      <c r="L217" s="45" t="s">
        <v>1015</v>
      </c>
      <c r="M217" s="41" t="str">
        <f>IF(MasterFees[[#This Row],[GST Basis]]="Excl",MasterFees[[#This Row],[Fee as Printed]],IF(MasterFees[[#This Row],[GST Basis]]="Incl",MasterFees[[#This Row],[Fee as Printed]]/(1+GST_Rate),""))</f>
        <v/>
      </c>
      <c r="N217" s="41" t="str">
        <f>IF(MasterFees[[#This Row],[GST Basis]]="Incl",MasterFees[[#This Row],[Fee as Printed]],IF(MasterFees[[#This Row],[GST Basis]]="Excl",MasterFees[[#This Row],[Fee as Printed]]*(1+GST_Rate),""))</f>
        <v/>
      </c>
      <c r="O217" s="42">
        <f>IF(N(MasterFees[[#This Row],[Total Units]])=0,"",MasterFees[[#This Row],[Fee as Printed]]/MasterFees[[#This Row],[Total Units]])</f>
        <v>55</v>
      </c>
      <c r="P217" s="43"/>
      <c r="Q217" s="46" t="s">
        <v>1013</v>
      </c>
      <c r="R217" s="46" t="s">
        <v>1325</v>
      </c>
      <c r="S217" s="37"/>
    </row>
    <row r="218" spans="1:19" x14ac:dyDescent="0.2">
      <c r="A218" s="36"/>
      <c r="B218" s="38" t="str">
        <f>IF(MasterFees[[#This Row],[RVG Code]]="","",_xlfn.XLOOKUP(MasterFees[[#This Row],[RVG Code]],RVGCodes[Code],RVGCodes[Base Units],"Code not found"))</f>
        <v/>
      </c>
      <c r="C218" s="37" t="s">
        <v>219</v>
      </c>
      <c r="D218" s="44" t="s">
        <v>1108</v>
      </c>
      <c r="E218" s="44"/>
      <c r="F218" s="44" t="s">
        <v>1109</v>
      </c>
      <c r="G218" s="39">
        <v>6</v>
      </c>
      <c r="H218" s="39">
        <v>16</v>
      </c>
      <c r="I218" s="39">
        <v>2</v>
      </c>
      <c r="J218" s="39">
        <v>24</v>
      </c>
      <c r="K218" s="40">
        <v>1320</v>
      </c>
      <c r="L218" s="45" t="s">
        <v>1015</v>
      </c>
      <c r="M218" s="41" t="str">
        <f>IF(MasterFees[[#This Row],[GST Basis]]="Excl",MasterFees[[#This Row],[Fee as Printed]],IF(MasterFees[[#This Row],[GST Basis]]="Incl",MasterFees[[#This Row],[Fee as Printed]]/(1+GST_Rate),""))</f>
        <v/>
      </c>
      <c r="N218" s="41" t="str">
        <f>IF(MasterFees[[#This Row],[GST Basis]]="Incl",MasterFees[[#This Row],[Fee as Printed]],IF(MasterFees[[#This Row],[GST Basis]]="Excl",MasterFees[[#This Row],[Fee as Printed]]*(1+GST_Rate),""))</f>
        <v/>
      </c>
      <c r="O218" s="42">
        <f>IF(N(MasterFees[[#This Row],[Total Units]])=0,"",MasterFees[[#This Row],[Fee as Printed]]/MasterFees[[#This Row],[Total Units]])</f>
        <v>55</v>
      </c>
      <c r="P218" s="43"/>
      <c r="Q218" s="46" t="s">
        <v>1013</v>
      </c>
      <c r="R218" s="46" t="s">
        <v>1326</v>
      </c>
      <c r="S218" s="37"/>
    </row>
    <row r="219" spans="1:19" x14ac:dyDescent="0.2">
      <c r="A219" s="36"/>
      <c r="B219" s="38" t="str">
        <f>IF(MasterFees[[#This Row],[RVG Code]]="","",_xlfn.XLOOKUP(MasterFees[[#This Row],[RVG Code]],RVGCodes[Code],RVGCodes[Base Units],"Code not found"))</f>
        <v/>
      </c>
      <c r="C219" s="37" t="s">
        <v>220</v>
      </c>
      <c r="D219" s="44" t="s">
        <v>1108</v>
      </c>
      <c r="E219" s="44"/>
      <c r="F219" s="44" t="s">
        <v>1109</v>
      </c>
      <c r="G219" s="39">
        <v>12.2</v>
      </c>
      <c r="H219" s="39">
        <v>22.3</v>
      </c>
      <c r="I219" s="39">
        <v>2</v>
      </c>
      <c r="J219" s="39">
        <v>36.5</v>
      </c>
      <c r="K219" s="40">
        <v>2004.75</v>
      </c>
      <c r="L219" s="45" t="s">
        <v>1015</v>
      </c>
      <c r="M219" s="41" t="str">
        <f>IF(MasterFees[[#This Row],[GST Basis]]="Excl",MasterFees[[#This Row],[Fee as Printed]],IF(MasterFees[[#This Row],[GST Basis]]="Incl",MasterFees[[#This Row],[Fee as Printed]]/(1+GST_Rate),""))</f>
        <v/>
      </c>
      <c r="N219" s="41" t="str">
        <f>IF(MasterFees[[#This Row],[GST Basis]]="Incl",MasterFees[[#This Row],[Fee as Printed]],IF(MasterFees[[#This Row],[GST Basis]]="Excl",MasterFees[[#This Row],[Fee as Printed]]*(1+GST_Rate),""))</f>
        <v/>
      </c>
      <c r="O219" s="42">
        <f>IF(N(MasterFees[[#This Row],[Total Units]])=0,"",MasterFees[[#This Row],[Fee as Printed]]/MasterFees[[#This Row],[Total Units]])</f>
        <v>54.924657534246577</v>
      </c>
      <c r="P219" s="43"/>
      <c r="Q219" s="46" t="s">
        <v>1013</v>
      </c>
      <c r="R219" s="46" t="s">
        <v>1327</v>
      </c>
      <c r="S219" s="37"/>
    </row>
    <row r="220" spans="1:19" x14ac:dyDescent="0.2">
      <c r="A220" s="36"/>
      <c r="B220" s="38" t="str">
        <f>IF(MasterFees[[#This Row],[RVG Code]]="","",_xlfn.XLOOKUP(MasterFees[[#This Row],[RVG Code]],RVGCodes[Code],RVGCodes[Base Units],"Code not found"))</f>
        <v/>
      </c>
      <c r="C220" s="37" t="s">
        <v>221</v>
      </c>
      <c r="D220" s="44" t="s">
        <v>1108</v>
      </c>
      <c r="E220" s="44"/>
      <c r="F220" s="44" t="s">
        <v>1109</v>
      </c>
      <c r="G220" s="39">
        <v>6</v>
      </c>
      <c r="H220" s="39">
        <v>5.6</v>
      </c>
      <c r="I220" s="39">
        <v>0.1</v>
      </c>
      <c r="J220" s="39">
        <v>11.6</v>
      </c>
      <c r="K220" s="40">
        <v>639.1</v>
      </c>
      <c r="L220" s="45" t="s">
        <v>1015</v>
      </c>
      <c r="M220" s="41" t="str">
        <f>IF(MasterFees[[#This Row],[GST Basis]]="Excl",MasterFees[[#This Row],[Fee as Printed]],IF(MasterFees[[#This Row],[GST Basis]]="Incl",MasterFees[[#This Row],[Fee as Printed]]/(1+GST_Rate),""))</f>
        <v/>
      </c>
      <c r="N220" s="41" t="str">
        <f>IF(MasterFees[[#This Row],[GST Basis]]="Incl",MasterFees[[#This Row],[Fee as Printed]],IF(MasterFees[[#This Row],[GST Basis]]="Excl",MasterFees[[#This Row],[Fee as Printed]]*(1+GST_Rate),""))</f>
        <v/>
      </c>
      <c r="O220" s="42">
        <f>IF(N(MasterFees[[#This Row],[Total Units]])=0,"",MasterFees[[#This Row],[Fee as Printed]]/MasterFees[[#This Row],[Total Units]])</f>
        <v>55.094827586206897</v>
      </c>
      <c r="P220" s="43"/>
      <c r="Q220" s="46" t="s">
        <v>1013</v>
      </c>
      <c r="R220" s="46" t="s">
        <v>1328</v>
      </c>
      <c r="S220" s="37"/>
    </row>
    <row r="221" spans="1:19" x14ac:dyDescent="0.2">
      <c r="A221" s="36"/>
      <c r="B221" s="38" t="str">
        <f>IF(MasterFees[[#This Row],[RVG Code]]="","",_xlfn.XLOOKUP(MasterFees[[#This Row],[RVG Code]],RVGCodes[Code],RVGCodes[Base Units],"Code not found"))</f>
        <v/>
      </c>
      <c r="C221" s="37" t="s">
        <v>222</v>
      </c>
      <c r="D221" s="44" t="s">
        <v>1108</v>
      </c>
      <c r="E221" s="44"/>
      <c r="F221" s="44" t="s">
        <v>1109</v>
      </c>
      <c r="G221" s="39">
        <v>5.9</v>
      </c>
      <c r="H221" s="39">
        <v>5.8</v>
      </c>
      <c r="I221" s="39">
        <v>0.1</v>
      </c>
      <c r="J221" s="39">
        <v>11.8</v>
      </c>
      <c r="K221" s="40">
        <v>651.20000000000005</v>
      </c>
      <c r="L221" s="45" t="s">
        <v>1015</v>
      </c>
      <c r="M221" s="41" t="str">
        <f>IF(MasterFees[[#This Row],[GST Basis]]="Excl",MasterFees[[#This Row],[Fee as Printed]],IF(MasterFees[[#This Row],[GST Basis]]="Incl",MasterFees[[#This Row],[Fee as Printed]]/(1+GST_Rate),""))</f>
        <v/>
      </c>
      <c r="N221" s="41" t="str">
        <f>IF(MasterFees[[#This Row],[GST Basis]]="Incl",MasterFees[[#This Row],[Fee as Printed]],IF(MasterFees[[#This Row],[GST Basis]]="Excl",MasterFees[[#This Row],[Fee as Printed]]*(1+GST_Rate),""))</f>
        <v/>
      </c>
      <c r="O221" s="42">
        <f>IF(N(MasterFees[[#This Row],[Total Units]])=0,"",MasterFees[[#This Row],[Fee as Printed]]/MasterFees[[#This Row],[Total Units]])</f>
        <v>55.186440677966104</v>
      </c>
      <c r="P221" s="43"/>
      <c r="Q221" s="46" t="s">
        <v>1013</v>
      </c>
      <c r="R221" s="46" t="s">
        <v>1329</v>
      </c>
      <c r="S221" s="37"/>
    </row>
    <row r="222" spans="1:19" x14ac:dyDescent="0.2">
      <c r="A222" s="36"/>
      <c r="B222" s="38" t="str">
        <f>IF(MasterFees[[#This Row],[RVG Code]]="","",_xlfn.XLOOKUP(MasterFees[[#This Row],[RVG Code]],RVGCodes[Code],RVGCodes[Base Units],"Code not found"))</f>
        <v/>
      </c>
      <c r="C222" s="37" t="s">
        <v>223</v>
      </c>
      <c r="D222" s="44" t="s">
        <v>1108</v>
      </c>
      <c r="E222" s="44"/>
      <c r="F222" s="44" t="s">
        <v>1109</v>
      </c>
      <c r="G222" s="39">
        <v>0</v>
      </c>
      <c r="H222" s="39">
        <v>0.2</v>
      </c>
      <c r="I222" s="39">
        <v>0</v>
      </c>
      <c r="J222" s="39">
        <v>0.2</v>
      </c>
      <c r="K222" s="40">
        <v>12.1</v>
      </c>
      <c r="L222" s="45" t="s">
        <v>1015</v>
      </c>
      <c r="M222" s="41" t="str">
        <f>IF(MasterFees[[#This Row],[GST Basis]]="Excl",MasterFees[[#This Row],[Fee as Printed]],IF(MasterFees[[#This Row],[GST Basis]]="Incl",MasterFees[[#This Row],[Fee as Printed]]/(1+GST_Rate),""))</f>
        <v/>
      </c>
      <c r="N222" s="41" t="str">
        <f>IF(MasterFees[[#This Row],[GST Basis]]="Incl",MasterFees[[#This Row],[Fee as Printed]],IF(MasterFees[[#This Row],[GST Basis]]="Excl",MasterFees[[#This Row],[Fee as Printed]]*(1+GST_Rate),""))</f>
        <v/>
      </c>
      <c r="O222" s="42">
        <f>IF(N(MasterFees[[#This Row],[Total Units]])=0,"",MasterFees[[#This Row],[Fee as Printed]]/MasterFees[[#This Row],[Total Units]])</f>
        <v>60.499999999999993</v>
      </c>
      <c r="P222" s="43"/>
      <c r="Q222" s="46" t="s">
        <v>1013</v>
      </c>
      <c r="R222" s="46" t="s">
        <v>1330</v>
      </c>
      <c r="S222" s="37"/>
    </row>
    <row r="223" spans="1:19" x14ac:dyDescent="0.2">
      <c r="A223" s="36"/>
      <c r="B223" s="38" t="str">
        <f>IF(MasterFees[[#This Row],[RVG Code]]="","",_xlfn.XLOOKUP(MasterFees[[#This Row],[RVG Code]],RVGCodes[Code],RVGCodes[Base Units],"Code not found"))</f>
        <v/>
      </c>
      <c r="C223" s="37" t="s">
        <v>224</v>
      </c>
      <c r="D223" s="44" t="s">
        <v>1108</v>
      </c>
      <c r="E223" s="44"/>
      <c r="F223" s="44" t="s">
        <v>1109</v>
      </c>
      <c r="G223" s="39">
        <v>0</v>
      </c>
      <c r="H223" s="39">
        <v>0</v>
      </c>
      <c r="I223" s="39">
        <v>0.1</v>
      </c>
      <c r="J223" s="39">
        <v>0.1</v>
      </c>
      <c r="K223" s="40">
        <v>5.5</v>
      </c>
      <c r="L223" s="45" t="s">
        <v>1015</v>
      </c>
      <c r="M223" s="41" t="str">
        <f>IF(MasterFees[[#This Row],[GST Basis]]="Excl",MasterFees[[#This Row],[Fee as Printed]],IF(MasterFees[[#This Row],[GST Basis]]="Incl",MasterFees[[#This Row],[Fee as Printed]]/(1+GST_Rate),""))</f>
        <v/>
      </c>
      <c r="N223" s="41" t="str">
        <f>IF(MasterFees[[#This Row],[GST Basis]]="Incl",MasterFees[[#This Row],[Fee as Printed]],IF(MasterFees[[#This Row],[GST Basis]]="Excl",MasterFees[[#This Row],[Fee as Printed]]*(1+GST_Rate),""))</f>
        <v/>
      </c>
      <c r="O223" s="42">
        <f>IF(N(MasterFees[[#This Row],[Total Units]])=0,"",MasterFees[[#This Row],[Fee as Printed]]/MasterFees[[#This Row],[Total Units]])</f>
        <v>55</v>
      </c>
      <c r="P223" s="43"/>
      <c r="Q223" s="46" t="s">
        <v>1013</v>
      </c>
      <c r="R223" s="46" t="s">
        <v>1331</v>
      </c>
      <c r="S223" s="37"/>
    </row>
    <row r="224" spans="1:19" x14ac:dyDescent="0.2">
      <c r="A224" s="36"/>
      <c r="B224" s="38" t="str">
        <f>IF(MasterFees[[#This Row],[RVG Code]]="","",_xlfn.XLOOKUP(MasterFees[[#This Row],[RVG Code]],RVGCodes[Code],RVGCodes[Base Units],"Code not found"))</f>
        <v/>
      </c>
      <c r="C224" s="37" t="s">
        <v>225</v>
      </c>
      <c r="D224" s="44" t="s">
        <v>1108</v>
      </c>
      <c r="E224" s="44"/>
      <c r="F224" s="44" t="s">
        <v>1109</v>
      </c>
      <c r="G224" s="39">
        <v>0</v>
      </c>
      <c r="H224" s="39">
        <v>0</v>
      </c>
      <c r="I224" s="39">
        <v>0</v>
      </c>
      <c r="J224" s="39">
        <v>0</v>
      </c>
      <c r="K224" s="40">
        <v>0</v>
      </c>
      <c r="L224" s="45" t="s">
        <v>1015</v>
      </c>
      <c r="M224" s="41" t="str">
        <f>IF(MasterFees[[#This Row],[GST Basis]]="Excl",MasterFees[[#This Row],[Fee as Printed]],IF(MasterFees[[#This Row],[GST Basis]]="Incl",MasterFees[[#This Row],[Fee as Printed]]/(1+GST_Rate),""))</f>
        <v/>
      </c>
      <c r="N224" s="41" t="str">
        <f>IF(MasterFees[[#This Row],[GST Basis]]="Incl",MasterFees[[#This Row],[Fee as Printed]],IF(MasterFees[[#This Row],[GST Basis]]="Excl",MasterFees[[#This Row],[Fee as Printed]]*(1+GST_Rate),""))</f>
        <v/>
      </c>
      <c r="O224" s="42" t="str">
        <f>IF(N(MasterFees[[#This Row],[Total Units]])=0,"",MasterFees[[#This Row],[Fee as Printed]]/MasterFees[[#This Row],[Total Units]])</f>
        <v/>
      </c>
      <c r="P224" s="43"/>
      <c r="Q224" s="46" t="s">
        <v>1013</v>
      </c>
      <c r="R224" s="46" t="s">
        <v>1332</v>
      </c>
      <c r="S224" s="37"/>
    </row>
    <row r="225" spans="1:19" x14ac:dyDescent="0.2">
      <c r="A225" s="36"/>
      <c r="B225" s="38" t="str">
        <f>IF(MasterFees[[#This Row],[RVG Code]]="","",_xlfn.XLOOKUP(MasterFees[[#This Row],[RVG Code]],RVGCodes[Code],RVGCodes[Base Units],"Code not found"))</f>
        <v/>
      </c>
      <c r="C225" s="37" t="s">
        <v>226</v>
      </c>
      <c r="D225" s="44" t="s">
        <v>1108</v>
      </c>
      <c r="E225" s="44"/>
      <c r="F225" s="44" t="s">
        <v>1109</v>
      </c>
      <c r="G225" s="39">
        <v>5</v>
      </c>
      <c r="H225" s="39">
        <v>4.7</v>
      </c>
      <c r="I225" s="39">
        <v>0.5</v>
      </c>
      <c r="J225" s="39">
        <v>10.1</v>
      </c>
      <c r="K225" s="40">
        <v>557.70000000000005</v>
      </c>
      <c r="L225" s="45" t="s">
        <v>1015</v>
      </c>
      <c r="M225" s="41" t="str">
        <f>IF(MasterFees[[#This Row],[GST Basis]]="Excl",MasterFees[[#This Row],[Fee as Printed]],IF(MasterFees[[#This Row],[GST Basis]]="Incl",MasterFees[[#This Row],[Fee as Printed]]/(1+GST_Rate),""))</f>
        <v/>
      </c>
      <c r="N225" s="41" t="str">
        <f>IF(MasterFees[[#This Row],[GST Basis]]="Incl",MasterFees[[#This Row],[Fee as Printed]],IF(MasterFees[[#This Row],[GST Basis]]="Excl",MasterFees[[#This Row],[Fee as Printed]]*(1+GST_Rate),""))</f>
        <v/>
      </c>
      <c r="O225" s="42">
        <f>IF(N(MasterFees[[#This Row],[Total Units]])=0,"",MasterFees[[#This Row],[Fee as Printed]]/MasterFees[[#This Row],[Total Units]])</f>
        <v>55.217821782178227</v>
      </c>
      <c r="P225" s="43"/>
      <c r="Q225" s="46" t="s">
        <v>1013</v>
      </c>
      <c r="R225" s="46" t="s">
        <v>1333</v>
      </c>
      <c r="S225" s="37"/>
    </row>
    <row r="226" spans="1:19" x14ac:dyDescent="0.2">
      <c r="A226" s="36"/>
      <c r="B226" s="38" t="str">
        <f>IF(MasterFees[[#This Row],[RVG Code]]="","",_xlfn.XLOOKUP(MasterFees[[#This Row],[RVG Code]],RVGCodes[Code],RVGCodes[Base Units],"Code not found"))</f>
        <v/>
      </c>
      <c r="C226" s="37" t="s">
        <v>227</v>
      </c>
      <c r="D226" s="44" t="s">
        <v>1108</v>
      </c>
      <c r="E226" s="44"/>
      <c r="F226" s="44" t="s">
        <v>1109</v>
      </c>
      <c r="G226" s="39">
        <v>4.0999999999999996</v>
      </c>
      <c r="H226" s="39">
        <v>2.7</v>
      </c>
      <c r="I226" s="39">
        <v>0.8</v>
      </c>
      <c r="J226" s="39">
        <v>7.6</v>
      </c>
      <c r="K226" s="40">
        <v>419.1</v>
      </c>
      <c r="L226" s="45" t="s">
        <v>1015</v>
      </c>
      <c r="M226" s="41" t="str">
        <f>IF(MasterFees[[#This Row],[GST Basis]]="Excl",MasterFees[[#This Row],[Fee as Printed]],IF(MasterFees[[#This Row],[GST Basis]]="Incl",MasterFees[[#This Row],[Fee as Printed]]/(1+GST_Rate),""))</f>
        <v/>
      </c>
      <c r="N226" s="41" t="str">
        <f>IF(MasterFees[[#This Row],[GST Basis]]="Incl",MasterFees[[#This Row],[Fee as Printed]],IF(MasterFees[[#This Row],[GST Basis]]="Excl",MasterFees[[#This Row],[Fee as Printed]]*(1+GST_Rate),""))</f>
        <v/>
      </c>
      <c r="O226" s="42">
        <f>IF(N(MasterFees[[#This Row],[Total Units]])=0,"",MasterFees[[#This Row],[Fee as Printed]]/MasterFees[[#This Row],[Total Units]])</f>
        <v>55.144736842105267</v>
      </c>
      <c r="P226" s="43"/>
      <c r="Q226" s="46" t="s">
        <v>1013</v>
      </c>
      <c r="R226" s="46" t="s">
        <v>1334</v>
      </c>
      <c r="S226" s="37"/>
    </row>
    <row r="227" spans="1:19" x14ac:dyDescent="0.2">
      <c r="A227" s="36"/>
      <c r="B227" s="38" t="str">
        <f>IF(MasterFees[[#This Row],[RVG Code]]="","",_xlfn.XLOOKUP(MasterFees[[#This Row],[RVG Code]],RVGCodes[Code],RVGCodes[Base Units],"Code not found"))</f>
        <v/>
      </c>
      <c r="C227" s="37" t="s">
        <v>228</v>
      </c>
      <c r="D227" s="44" t="s">
        <v>1108</v>
      </c>
      <c r="E227" s="44"/>
      <c r="F227" s="44" t="s">
        <v>1109</v>
      </c>
      <c r="G227" s="39">
        <v>4.3</v>
      </c>
      <c r="H227" s="39">
        <v>3.7</v>
      </c>
      <c r="I227" s="39">
        <v>0.3</v>
      </c>
      <c r="J227" s="39">
        <v>8.3000000000000007</v>
      </c>
      <c r="K227" s="40">
        <v>457.6</v>
      </c>
      <c r="L227" s="45" t="s">
        <v>1015</v>
      </c>
      <c r="M227" s="41" t="str">
        <f>IF(MasterFees[[#This Row],[GST Basis]]="Excl",MasterFees[[#This Row],[Fee as Printed]],IF(MasterFees[[#This Row],[GST Basis]]="Incl",MasterFees[[#This Row],[Fee as Printed]]/(1+GST_Rate),""))</f>
        <v/>
      </c>
      <c r="N227" s="41" t="str">
        <f>IF(MasterFees[[#This Row],[GST Basis]]="Incl",MasterFees[[#This Row],[Fee as Printed]],IF(MasterFees[[#This Row],[GST Basis]]="Excl",MasterFees[[#This Row],[Fee as Printed]]*(1+GST_Rate),""))</f>
        <v/>
      </c>
      <c r="O227" s="42">
        <f>IF(N(MasterFees[[#This Row],[Total Units]])=0,"",MasterFees[[#This Row],[Fee as Printed]]/MasterFees[[#This Row],[Total Units]])</f>
        <v>55.132530120481924</v>
      </c>
      <c r="P227" s="43"/>
      <c r="Q227" s="46" t="s">
        <v>1013</v>
      </c>
      <c r="R227" s="46" t="s">
        <v>1335</v>
      </c>
      <c r="S227" s="37"/>
    </row>
    <row r="228" spans="1:19" x14ac:dyDescent="0.2">
      <c r="A228" s="36"/>
      <c r="B228" s="38" t="str">
        <f>IF(MasterFees[[#This Row],[RVG Code]]="","",_xlfn.XLOOKUP(MasterFees[[#This Row],[RVG Code]],RVGCodes[Code],RVGCodes[Base Units],"Code not found"))</f>
        <v/>
      </c>
      <c r="C228" s="37" t="s">
        <v>229</v>
      </c>
      <c r="D228" s="44" t="s">
        <v>1108</v>
      </c>
      <c r="E228" s="44"/>
      <c r="F228" s="44" t="s">
        <v>1109</v>
      </c>
      <c r="G228" s="39">
        <v>0</v>
      </c>
      <c r="H228" s="39">
        <v>1</v>
      </c>
      <c r="I228" s="39">
        <v>0</v>
      </c>
      <c r="J228" s="39">
        <v>1</v>
      </c>
      <c r="K228" s="40">
        <v>55</v>
      </c>
      <c r="L228" s="45" t="s">
        <v>1015</v>
      </c>
      <c r="M228" s="41" t="str">
        <f>IF(MasterFees[[#This Row],[GST Basis]]="Excl",MasterFees[[#This Row],[Fee as Printed]],IF(MasterFees[[#This Row],[GST Basis]]="Incl",MasterFees[[#This Row],[Fee as Printed]]/(1+GST_Rate),""))</f>
        <v/>
      </c>
      <c r="N228" s="41" t="str">
        <f>IF(MasterFees[[#This Row],[GST Basis]]="Incl",MasterFees[[#This Row],[Fee as Printed]],IF(MasterFees[[#This Row],[GST Basis]]="Excl",MasterFees[[#This Row],[Fee as Printed]]*(1+GST_Rate),""))</f>
        <v/>
      </c>
      <c r="O228" s="42">
        <f>IF(N(MasterFees[[#This Row],[Total Units]])=0,"",MasterFees[[#This Row],[Fee as Printed]]/MasterFees[[#This Row],[Total Units]])</f>
        <v>55</v>
      </c>
      <c r="P228" s="43"/>
      <c r="Q228" s="46" t="s">
        <v>1013</v>
      </c>
      <c r="R228" s="46" t="s">
        <v>1336</v>
      </c>
      <c r="S228" s="37"/>
    </row>
    <row r="229" spans="1:19" x14ac:dyDescent="0.2">
      <c r="A229" s="36"/>
      <c r="B229" s="38" t="str">
        <f>IF(MasterFees[[#This Row],[RVG Code]]="","",_xlfn.XLOOKUP(MasterFees[[#This Row],[RVG Code]],RVGCodes[Code],RVGCodes[Base Units],"Code not found"))</f>
        <v/>
      </c>
      <c r="C229" s="37" t="s">
        <v>230</v>
      </c>
      <c r="D229" s="44" t="s">
        <v>1108</v>
      </c>
      <c r="E229" s="44"/>
      <c r="F229" s="44" t="s">
        <v>1109</v>
      </c>
      <c r="G229" s="39">
        <v>4</v>
      </c>
      <c r="H229" s="39">
        <v>1.8</v>
      </c>
      <c r="I229" s="39">
        <v>0.4</v>
      </c>
      <c r="J229" s="39">
        <v>6.1</v>
      </c>
      <c r="K229" s="40">
        <v>336.6</v>
      </c>
      <c r="L229" s="45" t="s">
        <v>1015</v>
      </c>
      <c r="M229" s="41" t="str">
        <f>IF(MasterFees[[#This Row],[GST Basis]]="Excl",MasterFees[[#This Row],[Fee as Printed]],IF(MasterFees[[#This Row],[GST Basis]]="Incl",MasterFees[[#This Row],[Fee as Printed]]/(1+GST_Rate),""))</f>
        <v/>
      </c>
      <c r="N229" s="41" t="str">
        <f>IF(MasterFees[[#This Row],[GST Basis]]="Incl",MasterFees[[#This Row],[Fee as Printed]],IF(MasterFees[[#This Row],[GST Basis]]="Excl",MasterFees[[#This Row],[Fee as Printed]]*(1+GST_Rate),""))</f>
        <v/>
      </c>
      <c r="O229" s="42">
        <f>IF(N(MasterFees[[#This Row],[Total Units]])=0,"",MasterFees[[#This Row],[Fee as Printed]]/MasterFees[[#This Row],[Total Units]])</f>
        <v>55.180327868852466</v>
      </c>
      <c r="P229" s="43"/>
      <c r="Q229" s="46" t="s">
        <v>1013</v>
      </c>
      <c r="R229" s="46" t="s">
        <v>1337</v>
      </c>
      <c r="S229" s="37"/>
    </row>
    <row r="230" spans="1:19" x14ac:dyDescent="0.2">
      <c r="A230" s="36"/>
      <c r="B230" s="38" t="str">
        <f>IF(MasterFees[[#This Row],[RVG Code]]="","",_xlfn.XLOOKUP(MasterFees[[#This Row],[RVG Code]],RVGCodes[Code],RVGCodes[Base Units],"Code not found"))</f>
        <v/>
      </c>
      <c r="C230" s="37" t="s">
        <v>231</v>
      </c>
      <c r="D230" s="44" t="s">
        <v>1108</v>
      </c>
      <c r="E230" s="44"/>
      <c r="F230" s="44" t="s">
        <v>1109</v>
      </c>
      <c r="G230" s="39">
        <v>4.3</v>
      </c>
      <c r="H230" s="39">
        <v>2</v>
      </c>
      <c r="I230" s="39">
        <v>0</v>
      </c>
      <c r="J230" s="39">
        <v>6.3</v>
      </c>
      <c r="K230" s="40">
        <v>343.75</v>
      </c>
      <c r="L230" s="45" t="s">
        <v>1015</v>
      </c>
      <c r="M230" s="41" t="str">
        <f>IF(MasterFees[[#This Row],[GST Basis]]="Excl",MasterFees[[#This Row],[Fee as Printed]],IF(MasterFees[[#This Row],[GST Basis]]="Incl",MasterFees[[#This Row],[Fee as Printed]]/(1+GST_Rate),""))</f>
        <v/>
      </c>
      <c r="N230" s="41" t="str">
        <f>IF(MasterFees[[#This Row],[GST Basis]]="Incl",MasterFees[[#This Row],[Fee as Printed]],IF(MasterFees[[#This Row],[GST Basis]]="Excl",MasterFees[[#This Row],[Fee as Printed]]*(1+GST_Rate),""))</f>
        <v/>
      </c>
      <c r="O230" s="42">
        <f>IF(N(MasterFees[[#This Row],[Total Units]])=0,"",MasterFees[[#This Row],[Fee as Printed]]/MasterFees[[#This Row],[Total Units]])</f>
        <v>54.563492063492063</v>
      </c>
      <c r="P230" s="43"/>
      <c r="Q230" s="46" t="s">
        <v>1013</v>
      </c>
      <c r="R230" s="46" t="s">
        <v>1338</v>
      </c>
      <c r="S230" s="37"/>
    </row>
    <row r="231" spans="1:19" x14ac:dyDescent="0.2">
      <c r="A231" s="36"/>
      <c r="B231" s="38" t="str">
        <f>IF(MasterFees[[#This Row],[RVG Code]]="","",_xlfn.XLOOKUP(MasterFees[[#This Row],[RVG Code]],RVGCodes[Code],RVGCodes[Base Units],"Code not found"))</f>
        <v/>
      </c>
      <c r="C231" s="37" t="s">
        <v>232</v>
      </c>
      <c r="D231" s="44" t="s">
        <v>1108</v>
      </c>
      <c r="E231" s="44"/>
      <c r="F231" s="44" t="s">
        <v>1109</v>
      </c>
      <c r="G231" s="39">
        <v>5</v>
      </c>
      <c r="H231" s="39">
        <v>16</v>
      </c>
      <c r="I231" s="39">
        <v>0</v>
      </c>
      <c r="J231" s="39">
        <v>21</v>
      </c>
      <c r="K231" s="40">
        <v>1155</v>
      </c>
      <c r="L231" s="45" t="s">
        <v>1015</v>
      </c>
      <c r="M231" s="41" t="str">
        <f>IF(MasterFees[[#This Row],[GST Basis]]="Excl",MasterFees[[#This Row],[Fee as Printed]],IF(MasterFees[[#This Row],[GST Basis]]="Incl",MasterFees[[#This Row],[Fee as Printed]]/(1+GST_Rate),""))</f>
        <v/>
      </c>
      <c r="N231" s="41" t="str">
        <f>IF(MasterFees[[#This Row],[GST Basis]]="Incl",MasterFees[[#This Row],[Fee as Printed]],IF(MasterFees[[#This Row],[GST Basis]]="Excl",MasterFees[[#This Row],[Fee as Printed]]*(1+GST_Rate),""))</f>
        <v/>
      </c>
      <c r="O231" s="42">
        <f>IF(N(MasterFees[[#This Row],[Total Units]])=0,"",MasterFees[[#This Row],[Fee as Printed]]/MasterFees[[#This Row],[Total Units]])</f>
        <v>55</v>
      </c>
      <c r="P231" s="43"/>
      <c r="Q231" s="46" t="s">
        <v>1013</v>
      </c>
      <c r="R231" s="46" t="s">
        <v>1339</v>
      </c>
      <c r="S231" s="37"/>
    </row>
    <row r="232" spans="1:19" x14ac:dyDescent="0.2">
      <c r="A232" s="36"/>
      <c r="B232" s="38" t="str">
        <f>IF(MasterFees[[#This Row],[RVG Code]]="","",_xlfn.XLOOKUP(MasterFees[[#This Row],[RVG Code]],RVGCodes[Code],RVGCodes[Base Units],"Code not found"))</f>
        <v/>
      </c>
      <c r="C232" s="37" t="s">
        <v>233</v>
      </c>
      <c r="D232" s="44" t="s">
        <v>1108</v>
      </c>
      <c r="E232" s="44"/>
      <c r="F232" s="44" t="s">
        <v>1109</v>
      </c>
      <c r="G232" s="39">
        <v>4.5999999999999996</v>
      </c>
      <c r="H232" s="39">
        <v>5.5</v>
      </c>
      <c r="I232" s="39">
        <v>1.5</v>
      </c>
      <c r="J232" s="39">
        <v>11.5</v>
      </c>
      <c r="K232" s="40">
        <v>634.15</v>
      </c>
      <c r="L232" s="45" t="s">
        <v>1015</v>
      </c>
      <c r="M232" s="41" t="str">
        <f>IF(MasterFees[[#This Row],[GST Basis]]="Excl",MasterFees[[#This Row],[Fee as Printed]],IF(MasterFees[[#This Row],[GST Basis]]="Incl",MasterFees[[#This Row],[Fee as Printed]]/(1+GST_Rate),""))</f>
        <v/>
      </c>
      <c r="N232" s="41" t="str">
        <f>IF(MasterFees[[#This Row],[GST Basis]]="Incl",MasterFees[[#This Row],[Fee as Printed]],IF(MasterFees[[#This Row],[GST Basis]]="Excl",MasterFees[[#This Row],[Fee as Printed]]*(1+GST_Rate),""))</f>
        <v/>
      </c>
      <c r="O232" s="42">
        <f>IF(N(MasterFees[[#This Row],[Total Units]])=0,"",MasterFees[[#This Row],[Fee as Printed]]/MasterFees[[#This Row],[Total Units]])</f>
        <v>55.143478260869564</v>
      </c>
      <c r="P232" s="43"/>
      <c r="Q232" s="46" t="s">
        <v>1013</v>
      </c>
      <c r="R232" s="46" t="s">
        <v>1340</v>
      </c>
      <c r="S232" s="37"/>
    </row>
    <row r="233" spans="1:19" x14ac:dyDescent="0.2">
      <c r="A233" s="36"/>
      <c r="B233" s="38" t="str">
        <f>IF(MasterFees[[#This Row],[RVG Code]]="","",_xlfn.XLOOKUP(MasterFees[[#This Row],[RVG Code]],RVGCodes[Code],RVGCodes[Base Units],"Code not found"))</f>
        <v/>
      </c>
      <c r="C233" s="37" t="s">
        <v>234</v>
      </c>
      <c r="D233" s="44" t="s">
        <v>1108</v>
      </c>
      <c r="E233" s="44"/>
      <c r="F233" s="44" t="s">
        <v>1109</v>
      </c>
      <c r="G233" s="39">
        <v>3.8</v>
      </c>
      <c r="H233" s="39">
        <v>2.8</v>
      </c>
      <c r="I233" s="39">
        <v>0.8</v>
      </c>
      <c r="J233" s="39">
        <v>7.6</v>
      </c>
      <c r="K233" s="40">
        <v>411.95</v>
      </c>
      <c r="L233" s="45" t="s">
        <v>1015</v>
      </c>
      <c r="M233" s="41" t="str">
        <f>IF(MasterFees[[#This Row],[GST Basis]]="Excl",MasterFees[[#This Row],[Fee as Printed]],IF(MasterFees[[#This Row],[GST Basis]]="Incl",MasterFees[[#This Row],[Fee as Printed]]/(1+GST_Rate),""))</f>
        <v/>
      </c>
      <c r="N233" s="41" t="str">
        <f>IF(MasterFees[[#This Row],[GST Basis]]="Incl",MasterFees[[#This Row],[Fee as Printed]],IF(MasterFees[[#This Row],[GST Basis]]="Excl",MasterFees[[#This Row],[Fee as Printed]]*(1+GST_Rate),""))</f>
        <v/>
      </c>
      <c r="O233" s="42">
        <f>IF(N(MasterFees[[#This Row],[Total Units]])=0,"",MasterFees[[#This Row],[Fee as Printed]]/MasterFees[[#This Row],[Total Units]])</f>
        <v>54.203947368421055</v>
      </c>
      <c r="P233" s="43"/>
      <c r="Q233" s="46" t="s">
        <v>1013</v>
      </c>
      <c r="R233" s="46" t="s">
        <v>1341</v>
      </c>
      <c r="S233" s="37"/>
    </row>
    <row r="234" spans="1:19" x14ac:dyDescent="0.2">
      <c r="A234" s="36"/>
      <c r="B234" s="38" t="str">
        <f>IF(MasterFees[[#This Row],[RVG Code]]="","",_xlfn.XLOOKUP(MasterFees[[#This Row],[RVG Code]],RVGCodes[Code],RVGCodes[Base Units],"Code not found"))</f>
        <v/>
      </c>
      <c r="C234" s="37" t="s">
        <v>235</v>
      </c>
      <c r="D234" s="44" t="s">
        <v>1108</v>
      </c>
      <c r="E234" s="44"/>
      <c r="F234" s="44" t="s">
        <v>1109</v>
      </c>
      <c r="G234" s="39">
        <v>4</v>
      </c>
      <c r="H234" s="39">
        <v>6</v>
      </c>
      <c r="I234" s="39">
        <v>0</v>
      </c>
      <c r="J234" s="39">
        <v>10</v>
      </c>
      <c r="K234" s="40">
        <v>550</v>
      </c>
      <c r="L234" s="45" t="s">
        <v>1015</v>
      </c>
      <c r="M234" s="41" t="str">
        <f>IF(MasterFees[[#This Row],[GST Basis]]="Excl",MasterFees[[#This Row],[Fee as Printed]],IF(MasterFees[[#This Row],[GST Basis]]="Incl",MasterFees[[#This Row],[Fee as Printed]]/(1+GST_Rate),""))</f>
        <v/>
      </c>
      <c r="N234" s="41" t="str">
        <f>IF(MasterFees[[#This Row],[GST Basis]]="Incl",MasterFees[[#This Row],[Fee as Printed]],IF(MasterFees[[#This Row],[GST Basis]]="Excl",MasterFees[[#This Row],[Fee as Printed]]*(1+GST_Rate),""))</f>
        <v/>
      </c>
      <c r="O234" s="42">
        <f>IF(N(MasterFees[[#This Row],[Total Units]])=0,"",MasterFees[[#This Row],[Fee as Printed]]/MasterFees[[#This Row],[Total Units]])</f>
        <v>55</v>
      </c>
      <c r="P234" s="43"/>
      <c r="Q234" s="46" t="s">
        <v>1013</v>
      </c>
      <c r="R234" s="46" t="s">
        <v>1342</v>
      </c>
      <c r="S234" s="37"/>
    </row>
    <row r="235" spans="1:19" x14ac:dyDescent="0.2">
      <c r="A235" s="36"/>
      <c r="B235" s="38" t="str">
        <f>IF(MasterFees[[#This Row],[RVG Code]]="","",_xlfn.XLOOKUP(MasterFees[[#This Row],[RVG Code]],RVGCodes[Code],RVGCodes[Base Units],"Code not found"))</f>
        <v/>
      </c>
      <c r="C235" s="37" t="s">
        <v>236</v>
      </c>
      <c r="D235" s="44" t="s">
        <v>1108</v>
      </c>
      <c r="E235" s="44"/>
      <c r="F235" s="44" t="s">
        <v>1109</v>
      </c>
      <c r="G235" s="39">
        <v>5</v>
      </c>
      <c r="H235" s="39">
        <v>3</v>
      </c>
      <c r="I235" s="39">
        <v>1</v>
      </c>
      <c r="J235" s="39">
        <v>9</v>
      </c>
      <c r="K235" s="40">
        <v>495</v>
      </c>
      <c r="L235" s="45" t="s">
        <v>1015</v>
      </c>
      <c r="M235" s="41" t="str">
        <f>IF(MasterFees[[#This Row],[GST Basis]]="Excl",MasterFees[[#This Row],[Fee as Printed]],IF(MasterFees[[#This Row],[GST Basis]]="Incl",MasterFees[[#This Row],[Fee as Printed]]/(1+GST_Rate),""))</f>
        <v/>
      </c>
      <c r="N235" s="41" t="str">
        <f>IF(MasterFees[[#This Row],[GST Basis]]="Incl",MasterFees[[#This Row],[Fee as Printed]],IF(MasterFees[[#This Row],[GST Basis]]="Excl",MasterFees[[#This Row],[Fee as Printed]]*(1+GST_Rate),""))</f>
        <v/>
      </c>
      <c r="O235" s="42">
        <f>IF(N(MasterFees[[#This Row],[Total Units]])=0,"",MasterFees[[#This Row],[Fee as Printed]]/MasterFees[[#This Row],[Total Units]])</f>
        <v>55</v>
      </c>
      <c r="P235" s="43"/>
      <c r="Q235" s="46" t="s">
        <v>1013</v>
      </c>
      <c r="R235" s="46" t="s">
        <v>1343</v>
      </c>
      <c r="S235" s="37"/>
    </row>
    <row r="236" spans="1:19" x14ac:dyDescent="0.2">
      <c r="A236" s="36"/>
      <c r="B236" s="38" t="str">
        <f>IF(MasterFees[[#This Row],[RVG Code]]="","",_xlfn.XLOOKUP(MasterFees[[#This Row],[RVG Code]],RVGCodes[Code],RVGCodes[Base Units],"Code not found"))</f>
        <v/>
      </c>
      <c r="C236" s="37" t="s">
        <v>237</v>
      </c>
      <c r="D236" s="44" t="s">
        <v>1108</v>
      </c>
      <c r="E236" s="44"/>
      <c r="F236" s="44" t="s">
        <v>1109</v>
      </c>
      <c r="G236" s="39">
        <v>4</v>
      </c>
      <c r="H236" s="39">
        <v>4.3</v>
      </c>
      <c r="I236" s="39">
        <v>0.3</v>
      </c>
      <c r="J236" s="39">
        <v>8.5</v>
      </c>
      <c r="K236" s="40">
        <v>467.5</v>
      </c>
      <c r="L236" s="45" t="s">
        <v>1015</v>
      </c>
      <c r="M236" s="41" t="str">
        <f>IF(MasterFees[[#This Row],[GST Basis]]="Excl",MasterFees[[#This Row],[Fee as Printed]],IF(MasterFees[[#This Row],[GST Basis]]="Incl",MasterFees[[#This Row],[Fee as Printed]]/(1+GST_Rate),""))</f>
        <v/>
      </c>
      <c r="N236" s="41" t="str">
        <f>IF(MasterFees[[#This Row],[GST Basis]]="Incl",MasterFees[[#This Row],[Fee as Printed]],IF(MasterFees[[#This Row],[GST Basis]]="Excl",MasterFees[[#This Row],[Fee as Printed]]*(1+GST_Rate),""))</f>
        <v/>
      </c>
      <c r="O236" s="42">
        <f>IF(N(MasterFees[[#This Row],[Total Units]])=0,"",MasterFees[[#This Row],[Fee as Printed]]/MasterFees[[#This Row],[Total Units]])</f>
        <v>55</v>
      </c>
      <c r="P236" s="43"/>
      <c r="Q236" s="46" t="s">
        <v>1013</v>
      </c>
      <c r="R236" s="46" t="s">
        <v>1344</v>
      </c>
      <c r="S236" s="37"/>
    </row>
    <row r="237" spans="1:19" x14ac:dyDescent="0.2">
      <c r="A237" s="36"/>
      <c r="B237" s="38" t="str">
        <f>IF(MasterFees[[#This Row],[RVG Code]]="","",_xlfn.XLOOKUP(MasterFees[[#This Row],[RVG Code]],RVGCodes[Code],RVGCodes[Base Units],"Code not found"))</f>
        <v/>
      </c>
      <c r="C237" s="37" t="s">
        <v>238</v>
      </c>
      <c r="D237" s="44" t="s">
        <v>1108</v>
      </c>
      <c r="E237" s="44"/>
      <c r="F237" s="44" t="s">
        <v>1109</v>
      </c>
      <c r="G237" s="39">
        <v>5.0999999999999996</v>
      </c>
      <c r="H237" s="39">
        <v>4.5999999999999996</v>
      </c>
      <c r="I237" s="39">
        <v>0.9</v>
      </c>
      <c r="J237" s="39">
        <v>10.6</v>
      </c>
      <c r="K237" s="40">
        <v>583.54999999999995</v>
      </c>
      <c r="L237" s="45" t="s">
        <v>1015</v>
      </c>
      <c r="M237" s="41" t="str">
        <f>IF(MasterFees[[#This Row],[GST Basis]]="Excl",MasterFees[[#This Row],[Fee as Printed]],IF(MasterFees[[#This Row],[GST Basis]]="Incl",MasterFees[[#This Row],[Fee as Printed]]/(1+GST_Rate),""))</f>
        <v/>
      </c>
      <c r="N237" s="41" t="str">
        <f>IF(MasterFees[[#This Row],[GST Basis]]="Incl",MasterFees[[#This Row],[Fee as Printed]],IF(MasterFees[[#This Row],[GST Basis]]="Excl",MasterFees[[#This Row],[Fee as Printed]]*(1+GST_Rate),""))</f>
        <v/>
      </c>
      <c r="O237" s="42">
        <f>IF(N(MasterFees[[#This Row],[Total Units]])=0,"",MasterFees[[#This Row],[Fee as Printed]]/MasterFees[[#This Row],[Total Units]])</f>
        <v>55.051886792452827</v>
      </c>
      <c r="P237" s="43"/>
      <c r="Q237" s="46" t="s">
        <v>1013</v>
      </c>
      <c r="R237" s="46" t="s">
        <v>1345</v>
      </c>
      <c r="S237" s="37"/>
    </row>
    <row r="238" spans="1:19" x14ac:dyDescent="0.2">
      <c r="A238" s="36"/>
      <c r="B238" s="38" t="str">
        <f>IF(MasterFees[[#This Row],[RVG Code]]="","",_xlfn.XLOOKUP(MasterFees[[#This Row],[RVG Code]],RVGCodes[Code],RVGCodes[Base Units],"Code not found"))</f>
        <v/>
      </c>
      <c r="C238" s="37" t="s">
        <v>239</v>
      </c>
      <c r="D238" s="44" t="s">
        <v>1108</v>
      </c>
      <c r="E238" s="44"/>
      <c r="F238" s="44" t="s">
        <v>1109</v>
      </c>
      <c r="G238" s="39">
        <v>5</v>
      </c>
      <c r="H238" s="39">
        <v>4.3</v>
      </c>
      <c r="I238" s="39">
        <v>0.4</v>
      </c>
      <c r="J238" s="39">
        <v>9.6999999999999993</v>
      </c>
      <c r="K238" s="40">
        <v>532.4</v>
      </c>
      <c r="L238" s="45" t="s">
        <v>1015</v>
      </c>
      <c r="M238" s="41" t="str">
        <f>IF(MasterFees[[#This Row],[GST Basis]]="Excl",MasterFees[[#This Row],[Fee as Printed]],IF(MasterFees[[#This Row],[GST Basis]]="Incl",MasterFees[[#This Row],[Fee as Printed]]/(1+GST_Rate),""))</f>
        <v/>
      </c>
      <c r="N238" s="41" t="str">
        <f>IF(MasterFees[[#This Row],[GST Basis]]="Incl",MasterFees[[#This Row],[Fee as Printed]],IF(MasterFees[[#This Row],[GST Basis]]="Excl",MasterFees[[#This Row],[Fee as Printed]]*(1+GST_Rate),""))</f>
        <v/>
      </c>
      <c r="O238" s="42">
        <f>IF(N(MasterFees[[#This Row],[Total Units]])=0,"",MasterFees[[#This Row],[Fee as Printed]]/MasterFees[[#This Row],[Total Units]])</f>
        <v>54.886597938144334</v>
      </c>
      <c r="P238" s="43"/>
      <c r="Q238" s="46" t="s">
        <v>1013</v>
      </c>
      <c r="R238" s="46" t="s">
        <v>1346</v>
      </c>
      <c r="S238" s="37"/>
    </row>
    <row r="239" spans="1:19" x14ac:dyDescent="0.2">
      <c r="A239" s="36"/>
      <c r="B239" s="38" t="str">
        <f>IF(MasterFees[[#This Row],[RVG Code]]="","",_xlfn.XLOOKUP(MasterFees[[#This Row],[RVG Code]],RVGCodes[Code],RVGCodes[Base Units],"Code not found"))</f>
        <v/>
      </c>
      <c r="C239" s="37" t="s">
        <v>240</v>
      </c>
      <c r="D239" s="44" t="s">
        <v>1108</v>
      </c>
      <c r="E239" s="44"/>
      <c r="F239" s="44" t="s">
        <v>1109</v>
      </c>
      <c r="G239" s="39">
        <v>3.3</v>
      </c>
      <c r="H239" s="39">
        <v>4.5</v>
      </c>
      <c r="I239" s="39">
        <v>0.3</v>
      </c>
      <c r="J239" s="39">
        <v>8.1999999999999993</v>
      </c>
      <c r="K239" s="40">
        <v>448.8</v>
      </c>
      <c r="L239" s="45" t="s">
        <v>1015</v>
      </c>
      <c r="M239" s="41" t="str">
        <f>IF(MasterFees[[#This Row],[GST Basis]]="Excl",MasterFees[[#This Row],[Fee as Printed]],IF(MasterFees[[#This Row],[GST Basis]]="Incl",MasterFees[[#This Row],[Fee as Printed]]/(1+GST_Rate),""))</f>
        <v/>
      </c>
      <c r="N239" s="41" t="str">
        <f>IF(MasterFees[[#This Row],[GST Basis]]="Incl",MasterFees[[#This Row],[Fee as Printed]],IF(MasterFees[[#This Row],[GST Basis]]="Excl",MasterFees[[#This Row],[Fee as Printed]]*(1+GST_Rate),""))</f>
        <v/>
      </c>
      <c r="O239" s="42">
        <f>IF(N(MasterFees[[#This Row],[Total Units]])=0,"",MasterFees[[#This Row],[Fee as Printed]]/MasterFees[[#This Row],[Total Units]])</f>
        <v>54.73170731707318</v>
      </c>
      <c r="P239" s="43"/>
      <c r="Q239" s="46" t="s">
        <v>1013</v>
      </c>
      <c r="R239" s="46" t="s">
        <v>1347</v>
      </c>
      <c r="S239" s="37"/>
    </row>
    <row r="240" spans="1:19" x14ac:dyDescent="0.2">
      <c r="A240" s="36"/>
      <c r="B240" s="38" t="str">
        <f>IF(MasterFees[[#This Row],[RVG Code]]="","",_xlfn.XLOOKUP(MasterFees[[#This Row],[RVG Code]],RVGCodes[Code],RVGCodes[Base Units],"Code not found"))</f>
        <v/>
      </c>
      <c r="C240" s="37" t="s">
        <v>241</v>
      </c>
      <c r="D240" s="44" t="s">
        <v>1108</v>
      </c>
      <c r="E240" s="44"/>
      <c r="F240" s="44" t="s">
        <v>1109</v>
      </c>
      <c r="G240" s="39">
        <v>5</v>
      </c>
      <c r="H240" s="39">
        <v>4</v>
      </c>
      <c r="I240" s="39">
        <v>0</v>
      </c>
      <c r="J240" s="39">
        <v>9</v>
      </c>
      <c r="K240" s="40">
        <v>495</v>
      </c>
      <c r="L240" s="45" t="s">
        <v>1015</v>
      </c>
      <c r="M240" s="41" t="str">
        <f>IF(MasterFees[[#This Row],[GST Basis]]="Excl",MasterFees[[#This Row],[Fee as Printed]],IF(MasterFees[[#This Row],[GST Basis]]="Incl",MasterFees[[#This Row],[Fee as Printed]]/(1+GST_Rate),""))</f>
        <v/>
      </c>
      <c r="N240" s="41" t="str">
        <f>IF(MasterFees[[#This Row],[GST Basis]]="Incl",MasterFees[[#This Row],[Fee as Printed]],IF(MasterFees[[#This Row],[GST Basis]]="Excl",MasterFees[[#This Row],[Fee as Printed]]*(1+GST_Rate),""))</f>
        <v/>
      </c>
      <c r="O240" s="42">
        <f>IF(N(MasterFees[[#This Row],[Total Units]])=0,"",MasterFees[[#This Row],[Fee as Printed]]/MasterFees[[#This Row],[Total Units]])</f>
        <v>55</v>
      </c>
      <c r="P240" s="43"/>
      <c r="Q240" s="46" t="s">
        <v>1013</v>
      </c>
      <c r="R240" s="46" t="s">
        <v>1348</v>
      </c>
      <c r="S240" s="37"/>
    </row>
    <row r="241" spans="1:19" x14ac:dyDescent="0.2">
      <c r="A241" s="36"/>
      <c r="B241" s="38" t="str">
        <f>IF(MasterFees[[#This Row],[RVG Code]]="","",_xlfn.XLOOKUP(MasterFees[[#This Row],[RVG Code]],RVGCodes[Code],RVGCodes[Base Units],"Code not found"))</f>
        <v/>
      </c>
      <c r="C241" s="37" t="s">
        <v>242</v>
      </c>
      <c r="D241" s="44" t="s">
        <v>1108</v>
      </c>
      <c r="E241" s="44"/>
      <c r="F241" s="44" t="s">
        <v>1109</v>
      </c>
      <c r="G241" s="39">
        <v>0.7</v>
      </c>
      <c r="H241" s="39">
        <v>0.6</v>
      </c>
      <c r="I241" s="39">
        <v>0</v>
      </c>
      <c r="J241" s="39">
        <v>1.3</v>
      </c>
      <c r="K241" s="40">
        <v>72.599999999999994</v>
      </c>
      <c r="L241" s="45" t="s">
        <v>1015</v>
      </c>
      <c r="M241" s="41" t="str">
        <f>IF(MasterFees[[#This Row],[GST Basis]]="Excl",MasterFees[[#This Row],[Fee as Printed]],IF(MasterFees[[#This Row],[GST Basis]]="Incl",MasterFees[[#This Row],[Fee as Printed]]/(1+GST_Rate),""))</f>
        <v/>
      </c>
      <c r="N241" s="41" t="str">
        <f>IF(MasterFees[[#This Row],[GST Basis]]="Incl",MasterFees[[#This Row],[Fee as Printed]],IF(MasterFees[[#This Row],[GST Basis]]="Excl",MasterFees[[#This Row],[Fee as Printed]]*(1+GST_Rate),""))</f>
        <v/>
      </c>
      <c r="O241" s="42">
        <f>IF(N(MasterFees[[#This Row],[Total Units]])=0,"",MasterFees[[#This Row],[Fee as Printed]]/MasterFees[[#This Row],[Total Units]])</f>
        <v>55.84615384615384</v>
      </c>
      <c r="P241" s="43"/>
      <c r="Q241" s="46" t="s">
        <v>1013</v>
      </c>
      <c r="R241" s="46" t="s">
        <v>1349</v>
      </c>
      <c r="S241" s="37"/>
    </row>
    <row r="242" spans="1:19" x14ac:dyDescent="0.2">
      <c r="A242" s="36"/>
      <c r="B242" s="38" t="str">
        <f>IF(MasterFees[[#This Row],[RVG Code]]="","",_xlfn.XLOOKUP(MasterFees[[#This Row],[RVG Code]],RVGCodes[Code],RVGCodes[Base Units],"Code not found"))</f>
        <v/>
      </c>
      <c r="C242" s="37" t="s">
        <v>243</v>
      </c>
      <c r="D242" s="44" t="s">
        <v>1108</v>
      </c>
      <c r="E242" s="44"/>
      <c r="F242" s="44" t="s">
        <v>1109</v>
      </c>
      <c r="G242" s="39">
        <v>0</v>
      </c>
      <c r="H242" s="39">
        <v>1</v>
      </c>
      <c r="I242" s="39">
        <v>0</v>
      </c>
      <c r="J242" s="39">
        <v>1</v>
      </c>
      <c r="K242" s="40">
        <v>55</v>
      </c>
      <c r="L242" s="45" t="s">
        <v>1015</v>
      </c>
      <c r="M242" s="41" t="str">
        <f>IF(MasterFees[[#This Row],[GST Basis]]="Excl",MasterFees[[#This Row],[Fee as Printed]],IF(MasterFees[[#This Row],[GST Basis]]="Incl",MasterFees[[#This Row],[Fee as Printed]]/(1+GST_Rate),""))</f>
        <v/>
      </c>
      <c r="N242" s="41" t="str">
        <f>IF(MasterFees[[#This Row],[GST Basis]]="Incl",MasterFees[[#This Row],[Fee as Printed]],IF(MasterFees[[#This Row],[GST Basis]]="Excl",MasterFees[[#This Row],[Fee as Printed]]*(1+GST_Rate),""))</f>
        <v/>
      </c>
      <c r="O242" s="42">
        <f>IF(N(MasterFees[[#This Row],[Total Units]])=0,"",MasterFees[[#This Row],[Fee as Printed]]/MasterFees[[#This Row],[Total Units]])</f>
        <v>55</v>
      </c>
      <c r="P242" s="43"/>
      <c r="Q242" s="46" t="s">
        <v>1013</v>
      </c>
      <c r="R242" s="46" t="s">
        <v>1350</v>
      </c>
      <c r="S242" s="37"/>
    </row>
    <row r="243" spans="1:19" x14ac:dyDescent="0.2">
      <c r="A243" s="36"/>
      <c r="B243" s="38" t="str">
        <f>IF(MasterFees[[#This Row],[RVG Code]]="","",_xlfn.XLOOKUP(MasterFees[[#This Row],[RVG Code]],RVGCodes[Code],RVGCodes[Base Units],"Code not found"))</f>
        <v/>
      </c>
      <c r="C243" s="37" t="s">
        <v>244</v>
      </c>
      <c r="D243" s="44" t="s">
        <v>1108</v>
      </c>
      <c r="E243" s="44"/>
      <c r="F243" s="44" t="s">
        <v>1109</v>
      </c>
      <c r="G243" s="39">
        <v>5</v>
      </c>
      <c r="H243" s="39">
        <v>3.4</v>
      </c>
      <c r="I243" s="39">
        <v>0.6</v>
      </c>
      <c r="J243" s="39">
        <v>9</v>
      </c>
      <c r="K243" s="40">
        <v>495.55</v>
      </c>
      <c r="L243" s="45" t="s">
        <v>1015</v>
      </c>
      <c r="M243" s="41" t="str">
        <f>IF(MasterFees[[#This Row],[GST Basis]]="Excl",MasterFees[[#This Row],[Fee as Printed]],IF(MasterFees[[#This Row],[GST Basis]]="Incl",MasterFees[[#This Row],[Fee as Printed]]/(1+GST_Rate),""))</f>
        <v/>
      </c>
      <c r="N243" s="41" t="str">
        <f>IF(MasterFees[[#This Row],[GST Basis]]="Incl",MasterFees[[#This Row],[Fee as Printed]],IF(MasterFees[[#This Row],[GST Basis]]="Excl",MasterFees[[#This Row],[Fee as Printed]]*(1+GST_Rate),""))</f>
        <v/>
      </c>
      <c r="O243" s="42">
        <f>IF(N(MasterFees[[#This Row],[Total Units]])=0,"",MasterFees[[#This Row],[Fee as Printed]]/MasterFees[[#This Row],[Total Units]])</f>
        <v>55.06111111111111</v>
      </c>
      <c r="P243" s="43"/>
      <c r="Q243" s="46" t="s">
        <v>1013</v>
      </c>
      <c r="R243" s="46" t="s">
        <v>1351</v>
      </c>
      <c r="S243" s="37"/>
    </row>
    <row r="244" spans="1:19" x14ac:dyDescent="0.2">
      <c r="A244" s="36"/>
      <c r="B244" s="38" t="str">
        <f>IF(MasterFees[[#This Row],[RVG Code]]="","",_xlfn.XLOOKUP(MasterFees[[#This Row],[RVG Code]],RVGCodes[Code],RVGCodes[Base Units],"Code not found"))</f>
        <v/>
      </c>
      <c r="C244" s="37" t="s">
        <v>245</v>
      </c>
      <c r="D244" s="44" t="s">
        <v>1108</v>
      </c>
      <c r="E244" s="44"/>
      <c r="F244" s="44" t="s">
        <v>1109</v>
      </c>
      <c r="G244" s="39">
        <v>5</v>
      </c>
      <c r="H244" s="39">
        <v>6</v>
      </c>
      <c r="I244" s="39">
        <v>2</v>
      </c>
      <c r="J244" s="39">
        <v>13</v>
      </c>
      <c r="K244" s="40">
        <v>715</v>
      </c>
      <c r="L244" s="45" t="s">
        <v>1015</v>
      </c>
      <c r="M244" s="41" t="str">
        <f>IF(MasterFees[[#This Row],[GST Basis]]="Excl",MasterFees[[#This Row],[Fee as Printed]],IF(MasterFees[[#This Row],[GST Basis]]="Incl",MasterFees[[#This Row],[Fee as Printed]]/(1+GST_Rate),""))</f>
        <v/>
      </c>
      <c r="N244" s="41" t="str">
        <f>IF(MasterFees[[#This Row],[GST Basis]]="Incl",MasterFees[[#This Row],[Fee as Printed]],IF(MasterFees[[#This Row],[GST Basis]]="Excl",MasterFees[[#This Row],[Fee as Printed]]*(1+GST_Rate),""))</f>
        <v/>
      </c>
      <c r="O244" s="42">
        <f>IF(N(MasterFees[[#This Row],[Total Units]])=0,"",MasterFees[[#This Row],[Fee as Printed]]/MasterFees[[#This Row],[Total Units]])</f>
        <v>55</v>
      </c>
      <c r="P244" s="43"/>
      <c r="Q244" s="46" t="s">
        <v>1013</v>
      </c>
      <c r="R244" s="46" t="s">
        <v>1352</v>
      </c>
      <c r="S244" s="37"/>
    </row>
    <row r="245" spans="1:19" x14ac:dyDescent="0.2">
      <c r="A245" s="36"/>
      <c r="B245" s="38" t="str">
        <f>IF(MasterFees[[#This Row],[RVG Code]]="","",_xlfn.XLOOKUP(MasterFees[[#This Row],[RVG Code]],RVGCodes[Code],RVGCodes[Base Units],"Code not found"))</f>
        <v/>
      </c>
      <c r="C245" s="37" t="s">
        <v>246</v>
      </c>
      <c r="D245" s="44" t="s">
        <v>1108</v>
      </c>
      <c r="E245" s="44"/>
      <c r="F245" s="44" t="s">
        <v>1109</v>
      </c>
      <c r="G245" s="39">
        <v>5</v>
      </c>
      <c r="H245" s="39">
        <v>5</v>
      </c>
      <c r="I245" s="39">
        <v>2</v>
      </c>
      <c r="J245" s="39">
        <v>12</v>
      </c>
      <c r="K245" s="40">
        <v>660</v>
      </c>
      <c r="L245" s="45" t="s">
        <v>1015</v>
      </c>
      <c r="M245" s="41" t="str">
        <f>IF(MasterFees[[#This Row],[GST Basis]]="Excl",MasterFees[[#This Row],[Fee as Printed]],IF(MasterFees[[#This Row],[GST Basis]]="Incl",MasterFees[[#This Row],[Fee as Printed]]/(1+GST_Rate),""))</f>
        <v/>
      </c>
      <c r="N245" s="41" t="str">
        <f>IF(MasterFees[[#This Row],[GST Basis]]="Incl",MasterFees[[#This Row],[Fee as Printed]],IF(MasterFees[[#This Row],[GST Basis]]="Excl",MasterFees[[#This Row],[Fee as Printed]]*(1+GST_Rate),""))</f>
        <v/>
      </c>
      <c r="O245" s="42">
        <f>IF(N(MasterFees[[#This Row],[Total Units]])=0,"",MasterFees[[#This Row],[Fee as Printed]]/MasterFees[[#This Row],[Total Units]])</f>
        <v>55</v>
      </c>
      <c r="P245" s="43"/>
      <c r="Q245" s="46" t="s">
        <v>1013</v>
      </c>
      <c r="R245" s="46" t="s">
        <v>1353</v>
      </c>
      <c r="S245" s="37"/>
    </row>
    <row r="246" spans="1:19" x14ac:dyDescent="0.2">
      <c r="A246" s="36"/>
      <c r="B246" s="38" t="str">
        <f>IF(MasterFees[[#This Row],[RVG Code]]="","",_xlfn.XLOOKUP(MasterFees[[#This Row],[RVG Code]],RVGCodes[Code],RVGCodes[Base Units],"Code not found"))</f>
        <v/>
      </c>
      <c r="C246" s="37" t="s">
        <v>247</v>
      </c>
      <c r="D246" s="44" t="s">
        <v>1108</v>
      </c>
      <c r="E246" s="44"/>
      <c r="F246" s="44" t="s">
        <v>1109</v>
      </c>
      <c r="G246" s="39">
        <v>0.8</v>
      </c>
      <c r="H246" s="39">
        <v>0.4</v>
      </c>
      <c r="I246" s="39">
        <v>0.3</v>
      </c>
      <c r="J246" s="39">
        <v>1.5</v>
      </c>
      <c r="K246" s="40">
        <v>81.95</v>
      </c>
      <c r="L246" s="45" t="s">
        <v>1015</v>
      </c>
      <c r="M246" s="41" t="str">
        <f>IF(MasterFees[[#This Row],[GST Basis]]="Excl",MasterFees[[#This Row],[Fee as Printed]],IF(MasterFees[[#This Row],[GST Basis]]="Incl",MasterFees[[#This Row],[Fee as Printed]]/(1+GST_Rate),""))</f>
        <v/>
      </c>
      <c r="N246" s="41" t="str">
        <f>IF(MasterFees[[#This Row],[GST Basis]]="Incl",MasterFees[[#This Row],[Fee as Printed]],IF(MasterFees[[#This Row],[GST Basis]]="Excl",MasterFees[[#This Row],[Fee as Printed]]*(1+GST_Rate),""))</f>
        <v/>
      </c>
      <c r="O246" s="42">
        <f>IF(N(MasterFees[[#This Row],[Total Units]])=0,"",MasterFees[[#This Row],[Fee as Printed]]/MasterFees[[#This Row],[Total Units]])</f>
        <v>54.633333333333333</v>
      </c>
      <c r="P246" s="43"/>
      <c r="Q246" s="46" t="s">
        <v>1013</v>
      </c>
      <c r="R246" s="46" t="s">
        <v>1354</v>
      </c>
      <c r="S246" s="37"/>
    </row>
    <row r="247" spans="1:19" x14ac:dyDescent="0.2">
      <c r="A247" s="36"/>
      <c r="B247" s="38" t="str">
        <f>IF(MasterFees[[#This Row],[RVG Code]]="","",_xlfn.XLOOKUP(MasterFees[[#This Row],[RVG Code]],RVGCodes[Code],RVGCodes[Base Units],"Code not found"))</f>
        <v/>
      </c>
      <c r="C247" s="37" t="s">
        <v>248</v>
      </c>
      <c r="D247" s="44" t="s">
        <v>1108</v>
      </c>
      <c r="E247" s="44"/>
      <c r="F247" s="44" t="s">
        <v>1109</v>
      </c>
      <c r="G247" s="39">
        <v>5</v>
      </c>
      <c r="H247" s="39">
        <v>5.0999999999999996</v>
      </c>
      <c r="I247" s="39">
        <v>0.6</v>
      </c>
      <c r="J247" s="39">
        <v>10.7</v>
      </c>
      <c r="K247" s="40">
        <v>589.6</v>
      </c>
      <c r="L247" s="45" t="s">
        <v>1015</v>
      </c>
      <c r="M247" s="41" t="str">
        <f>IF(MasterFees[[#This Row],[GST Basis]]="Excl",MasterFees[[#This Row],[Fee as Printed]],IF(MasterFees[[#This Row],[GST Basis]]="Incl",MasterFees[[#This Row],[Fee as Printed]]/(1+GST_Rate),""))</f>
        <v/>
      </c>
      <c r="N247" s="41" t="str">
        <f>IF(MasterFees[[#This Row],[GST Basis]]="Incl",MasterFees[[#This Row],[Fee as Printed]],IF(MasterFees[[#This Row],[GST Basis]]="Excl",MasterFees[[#This Row],[Fee as Printed]]*(1+GST_Rate),""))</f>
        <v/>
      </c>
      <c r="O247" s="42">
        <f>IF(N(MasterFees[[#This Row],[Total Units]])=0,"",MasterFees[[#This Row],[Fee as Printed]]/MasterFees[[#This Row],[Total Units]])</f>
        <v>55.10280373831776</v>
      </c>
      <c r="P247" s="43"/>
      <c r="Q247" s="46" t="s">
        <v>1013</v>
      </c>
      <c r="R247" s="46" t="s">
        <v>1355</v>
      </c>
      <c r="S247" s="37"/>
    </row>
    <row r="248" spans="1:19" x14ac:dyDescent="0.2">
      <c r="A248" s="36"/>
      <c r="B248" s="38" t="str">
        <f>IF(MasterFees[[#This Row],[RVG Code]]="","",_xlfn.XLOOKUP(MasterFees[[#This Row],[RVG Code]],RVGCodes[Code],RVGCodes[Base Units],"Code not found"))</f>
        <v/>
      </c>
      <c r="C248" s="37" t="s">
        <v>249</v>
      </c>
      <c r="D248" s="44" t="s">
        <v>1108</v>
      </c>
      <c r="E248" s="44"/>
      <c r="F248" s="44" t="s">
        <v>1109</v>
      </c>
      <c r="G248" s="39">
        <v>6</v>
      </c>
      <c r="H248" s="39">
        <v>16</v>
      </c>
      <c r="I248" s="39">
        <v>0</v>
      </c>
      <c r="J248" s="39">
        <v>22</v>
      </c>
      <c r="K248" s="40">
        <v>1210</v>
      </c>
      <c r="L248" s="45" t="s">
        <v>1015</v>
      </c>
      <c r="M248" s="41" t="str">
        <f>IF(MasterFees[[#This Row],[GST Basis]]="Excl",MasterFees[[#This Row],[Fee as Printed]],IF(MasterFees[[#This Row],[GST Basis]]="Incl",MasterFees[[#This Row],[Fee as Printed]]/(1+GST_Rate),""))</f>
        <v/>
      </c>
      <c r="N248" s="41" t="str">
        <f>IF(MasterFees[[#This Row],[GST Basis]]="Incl",MasterFees[[#This Row],[Fee as Printed]],IF(MasterFees[[#This Row],[GST Basis]]="Excl",MasterFees[[#This Row],[Fee as Printed]]*(1+GST_Rate),""))</f>
        <v/>
      </c>
      <c r="O248" s="42">
        <f>IF(N(MasterFees[[#This Row],[Total Units]])=0,"",MasterFees[[#This Row],[Fee as Printed]]/MasterFees[[#This Row],[Total Units]])</f>
        <v>55</v>
      </c>
      <c r="P248" s="43"/>
      <c r="Q248" s="46" t="s">
        <v>1013</v>
      </c>
      <c r="R248" s="46" t="s">
        <v>1356</v>
      </c>
      <c r="S248" s="37"/>
    </row>
    <row r="249" spans="1:19" x14ac:dyDescent="0.2">
      <c r="A249" s="36"/>
      <c r="B249" s="38" t="str">
        <f>IF(MasterFees[[#This Row],[RVG Code]]="","",_xlfn.XLOOKUP(MasterFees[[#This Row],[RVG Code]],RVGCodes[Code],RVGCodes[Base Units],"Code not found"))</f>
        <v/>
      </c>
      <c r="C249" s="37" t="s">
        <v>250</v>
      </c>
      <c r="D249" s="44" t="s">
        <v>1108</v>
      </c>
      <c r="E249" s="44"/>
      <c r="F249" s="44" t="s">
        <v>1109</v>
      </c>
      <c r="G249" s="39">
        <v>5</v>
      </c>
      <c r="H249" s="39">
        <v>3</v>
      </c>
      <c r="I249" s="39">
        <v>1</v>
      </c>
      <c r="J249" s="39">
        <v>9</v>
      </c>
      <c r="K249" s="40">
        <v>495</v>
      </c>
      <c r="L249" s="45" t="s">
        <v>1015</v>
      </c>
      <c r="M249" s="41" t="str">
        <f>IF(MasterFees[[#This Row],[GST Basis]]="Excl",MasterFees[[#This Row],[Fee as Printed]],IF(MasterFees[[#This Row],[GST Basis]]="Incl",MasterFees[[#This Row],[Fee as Printed]]/(1+GST_Rate),""))</f>
        <v/>
      </c>
      <c r="N249" s="41" t="str">
        <f>IF(MasterFees[[#This Row],[GST Basis]]="Incl",MasterFees[[#This Row],[Fee as Printed]],IF(MasterFees[[#This Row],[GST Basis]]="Excl",MasterFees[[#This Row],[Fee as Printed]]*(1+GST_Rate),""))</f>
        <v/>
      </c>
      <c r="O249" s="42">
        <f>IF(N(MasterFees[[#This Row],[Total Units]])=0,"",MasterFees[[#This Row],[Fee as Printed]]/MasterFees[[#This Row],[Total Units]])</f>
        <v>55</v>
      </c>
      <c r="P249" s="43"/>
      <c r="Q249" s="46" t="s">
        <v>1013</v>
      </c>
      <c r="R249" s="46" t="s">
        <v>1357</v>
      </c>
      <c r="S249" s="37"/>
    </row>
    <row r="250" spans="1:19" x14ac:dyDescent="0.2">
      <c r="A250" s="36"/>
      <c r="B250" s="38" t="str">
        <f>IF(MasterFees[[#This Row],[RVG Code]]="","",_xlfn.XLOOKUP(MasterFees[[#This Row],[RVG Code]],RVGCodes[Code],RVGCodes[Base Units],"Code not found"))</f>
        <v/>
      </c>
      <c r="C250" s="37" t="s">
        <v>251</v>
      </c>
      <c r="D250" s="44" t="s">
        <v>1108</v>
      </c>
      <c r="E250" s="44"/>
      <c r="F250" s="44" t="s">
        <v>1109</v>
      </c>
      <c r="G250" s="39">
        <v>5</v>
      </c>
      <c r="H250" s="39">
        <v>4</v>
      </c>
      <c r="I250" s="39">
        <v>0</v>
      </c>
      <c r="J250" s="39">
        <v>9</v>
      </c>
      <c r="K250" s="40">
        <v>495</v>
      </c>
      <c r="L250" s="45" t="s">
        <v>1015</v>
      </c>
      <c r="M250" s="41" t="str">
        <f>IF(MasterFees[[#This Row],[GST Basis]]="Excl",MasterFees[[#This Row],[Fee as Printed]],IF(MasterFees[[#This Row],[GST Basis]]="Incl",MasterFees[[#This Row],[Fee as Printed]]/(1+GST_Rate),""))</f>
        <v/>
      </c>
      <c r="N250" s="41" t="str">
        <f>IF(MasterFees[[#This Row],[GST Basis]]="Incl",MasterFees[[#This Row],[Fee as Printed]],IF(MasterFees[[#This Row],[GST Basis]]="Excl",MasterFees[[#This Row],[Fee as Printed]]*(1+GST_Rate),""))</f>
        <v/>
      </c>
      <c r="O250" s="42">
        <f>IF(N(MasterFees[[#This Row],[Total Units]])=0,"",MasterFees[[#This Row],[Fee as Printed]]/MasterFees[[#This Row],[Total Units]])</f>
        <v>55</v>
      </c>
      <c r="P250" s="43"/>
      <c r="Q250" s="46" t="s">
        <v>1013</v>
      </c>
      <c r="R250" s="46" t="s">
        <v>1358</v>
      </c>
      <c r="S250" s="37"/>
    </row>
    <row r="251" spans="1:19" x14ac:dyDescent="0.2">
      <c r="A251" s="36"/>
      <c r="B251" s="38" t="str">
        <f>IF(MasterFees[[#This Row],[RVG Code]]="","",_xlfn.XLOOKUP(MasterFees[[#This Row],[RVG Code]],RVGCodes[Code],RVGCodes[Base Units],"Code not found"))</f>
        <v/>
      </c>
      <c r="C251" s="37" t="s">
        <v>252</v>
      </c>
      <c r="D251" s="44" t="s">
        <v>1108</v>
      </c>
      <c r="E251" s="44"/>
      <c r="F251" s="44" t="s">
        <v>1109</v>
      </c>
      <c r="G251" s="39">
        <v>4.3</v>
      </c>
      <c r="H251" s="39">
        <v>3.3</v>
      </c>
      <c r="I251" s="39">
        <v>0.1</v>
      </c>
      <c r="J251" s="39">
        <v>7.8</v>
      </c>
      <c r="K251" s="40">
        <v>427.35</v>
      </c>
      <c r="L251" s="45" t="s">
        <v>1015</v>
      </c>
      <c r="M251" s="41" t="str">
        <f>IF(MasterFees[[#This Row],[GST Basis]]="Excl",MasterFees[[#This Row],[Fee as Printed]],IF(MasterFees[[#This Row],[GST Basis]]="Incl",MasterFees[[#This Row],[Fee as Printed]]/(1+GST_Rate),""))</f>
        <v/>
      </c>
      <c r="N251" s="41" t="str">
        <f>IF(MasterFees[[#This Row],[GST Basis]]="Incl",MasterFees[[#This Row],[Fee as Printed]],IF(MasterFees[[#This Row],[GST Basis]]="Excl",MasterFees[[#This Row],[Fee as Printed]]*(1+GST_Rate),""))</f>
        <v/>
      </c>
      <c r="O251" s="42">
        <f>IF(N(MasterFees[[#This Row],[Total Units]])=0,"",MasterFees[[#This Row],[Fee as Printed]]/MasterFees[[#This Row],[Total Units]])</f>
        <v>54.78846153846154</v>
      </c>
      <c r="P251" s="43"/>
      <c r="Q251" s="46" t="s">
        <v>1013</v>
      </c>
      <c r="R251" s="46" t="s">
        <v>1359</v>
      </c>
      <c r="S251" s="37"/>
    </row>
    <row r="252" spans="1:19" x14ac:dyDescent="0.2">
      <c r="A252" s="36"/>
      <c r="B252" s="38" t="str">
        <f>IF(MasterFees[[#This Row],[RVG Code]]="","",_xlfn.XLOOKUP(MasterFees[[#This Row],[RVG Code]],RVGCodes[Code],RVGCodes[Base Units],"Code not found"))</f>
        <v/>
      </c>
      <c r="C252" s="37" t="s">
        <v>253</v>
      </c>
      <c r="D252" s="44" t="s">
        <v>1108</v>
      </c>
      <c r="E252" s="44"/>
      <c r="F252" s="44" t="s">
        <v>1109</v>
      </c>
      <c r="G252" s="39">
        <v>4</v>
      </c>
      <c r="H252" s="39">
        <v>2</v>
      </c>
      <c r="I252" s="39">
        <v>0.3</v>
      </c>
      <c r="J252" s="39">
        <v>6.3</v>
      </c>
      <c r="K252" s="40">
        <v>348.15</v>
      </c>
      <c r="L252" s="45" t="s">
        <v>1015</v>
      </c>
      <c r="M252" s="41" t="str">
        <f>IF(MasterFees[[#This Row],[GST Basis]]="Excl",MasterFees[[#This Row],[Fee as Printed]],IF(MasterFees[[#This Row],[GST Basis]]="Incl",MasterFees[[#This Row],[Fee as Printed]]/(1+GST_Rate),""))</f>
        <v/>
      </c>
      <c r="N252" s="41" t="str">
        <f>IF(MasterFees[[#This Row],[GST Basis]]="Incl",MasterFees[[#This Row],[Fee as Printed]],IF(MasterFees[[#This Row],[GST Basis]]="Excl",MasterFees[[#This Row],[Fee as Printed]]*(1+GST_Rate),""))</f>
        <v/>
      </c>
      <c r="O252" s="42">
        <f>IF(N(MasterFees[[#This Row],[Total Units]])=0,"",MasterFees[[#This Row],[Fee as Printed]]/MasterFees[[#This Row],[Total Units]])</f>
        <v>55.261904761904759</v>
      </c>
      <c r="P252" s="43"/>
      <c r="Q252" s="46" t="s">
        <v>1013</v>
      </c>
      <c r="R252" s="46" t="s">
        <v>1360</v>
      </c>
      <c r="S252" s="37"/>
    </row>
    <row r="253" spans="1:19" x14ac:dyDescent="0.2">
      <c r="A253" s="36"/>
      <c r="B253" s="38" t="str">
        <f>IF(MasterFees[[#This Row],[RVG Code]]="","",_xlfn.XLOOKUP(MasterFees[[#This Row],[RVG Code]],RVGCodes[Code],RVGCodes[Base Units],"Code not found"))</f>
        <v/>
      </c>
      <c r="C253" s="37" t="s">
        <v>254</v>
      </c>
      <c r="D253" s="44" t="s">
        <v>1108</v>
      </c>
      <c r="E253" s="44"/>
      <c r="F253" s="44" t="s">
        <v>1109</v>
      </c>
      <c r="G253" s="39">
        <v>4.8</v>
      </c>
      <c r="H253" s="39">
        <v>3.7</v>
      </c>
      <c r="I253" s="39">
        <v>0.4</v>
      </c>
      <c r="J253" s="39">
        <v>8.9</v>
      </c>
      <c r="K253" s="40">
        <v>487.3</v>
      </c>
      <c r="L253" s="45" t="s">
        <v>1015</v>
      </c>
      <c r="M253" s="41" t="str">
        <f>IF(MasterFees[[#This Row],[GST Basis]]="Excl",MasterFees[[#This Row],[Fee as Printed]],IF(MasterFees[[#This Row],[GST Basis]]="Incl",MasterFees[[#This Row],[Fee as Printed]]/(1+GST_Rate),""))</f>
        <v/>
      </c>
      <c r="N253" s="41" t="str">
        <f>IF(MasterFees[[#This Row],[GST Basis]]="Incl",MasterFees[[#This Row],[Fee as Printed]],IF(MasterFees[[#This Row],[GST Basis]]="Excl",MasterFees[[#This Row],[Fee as Printed]]*(1+GST_Rate),""))</f>
        <v/>
      </c>
      <c r="O253" s="42">
        <f>IF(N(MasterFees[[#This Row],[Total Units]])=0,"",MasterFees[[#This Row],[Fee as Printed]]/MasterFees[[#This Row],[Total Units]])</f>
        <v>54.752808988764045</v>
      </c>
      <c r="P253" s="43"/>
      <c r="Q253" s="46" t="s">
        <v>1013</v>
      </c>
      <c r="R253" s="46" t="s">
        <v>1361</v>
      </c>
      <c r="S253" s="37"/>
    </row>
    <row r="254" spans="1:19" x14ac:dyDescent="0.2">
      <c r="A254" s="36"/>
      <c r="B254" s="38" t="str">
        <f>IF(MasterFees[[#This Row],[RVG Code]]="","",_xlfn.XLOOKUP(MasterFees[[#This Row],[RVG Code]],RVGCodes[Code],RVGCodes[Base Units],"Code not found"))</f>
        <v/>
      </c>
      <c r="C254" s="37" t="s">
        <v>255</v>
      </c>
      <c r="D254" s="44" t="s">
        <v>1108</v>
      </c>
      <c r="E254" s="44"/>
      <c r="F254" s="44" t="s">
        <v>1109</v>
      </c>
      <c r="G254" s="39">
        <v>5</v>
      </c>
      <c r="H254" s="39">
        <v>2</v>
      </c>
      <c r="I254" s="39">
        <v>0</v>
      </c>
      <c r="J254" s="39">
        <v>7</v>
      </c>
      <c r="K254" s="40">
        <v>385</v>
      </c>
      <c r="L254" s="45" t="s">
        <v>1015</v>
      </c>
      <c r="M254" s="41" t="str">
        <f>IF(MasterFees[[#This Row],[GST Basis]]="Excl",MasterFees[[#This Row],[Fee as Printed]],IF(MasterFees[[#This Row],[GST Basis]]="Incl",MasterFees[[#This Row],[Fee as Printed]]/(1+GST_Rate),""))</f>
        <v/>
      </c>
      <c r="N254" s="41" t="str">
        <f>IF(MasterFees[[#This Row],[GST Basis]]="Incl",MasterFees[[#This Row],[Fee as Printed]],IF(MasterFees[[#This Row],[GST Basis]]="Excl",MasterFees[[#This Row],[Fee as Printed]]*(1+GST_Rate),""))</f>
        <v/>
      </c>
      <c r="O254" s="42">
        <f>IF(N(MasterFees[[#This Row],[Total Units]])=0,"",MasterFees[[#This Row],[Fee as Printed]]/MasterFees[[#This Row],[Total Units]])</f>
        <v>55</v>
      </c>
      <c r="P254" s="43"/>
      <c r="Q254" s="46" t="s">
        <v>1013</v>
      </c>
      <c r="R254" s="46" t="s">
        <v>1362</v>
      </c>
      <c r="S254" s="37"/>
    </row>
    <row r="255" spans="1:19" x14ac:dyDescent="0.2">
      <c r="A255" s="36"/>
      <c r="B255" s="38" t="str">
        <f>IF(MasterFees[[#This Row],[RVG Code]]="","",_xlfn.XLOOKUP(MasterFees[[#This Row],[RVG Code]],RVGCodes[Code],RVGCodes[Base Units],"Code not found"))</f>
        <v/>
      </c>
      <c r="C255" s="37" t="s">
        <v>256</v>
      </c>
      <c r="D255" s="44" t="s">
        <v>1108</v>
      </c>
      <c r="E255" s="44"/>
      <c r="F255" s="44" t="s">
        <v>1109</v>
      </c>
      <c r="G255" s="39">
        <v>0</v>
      </c>
      <c r="H255" s="39">
        <v>1</v>
      </c>
      <c r="I255" s="39">
        <v>0</v>
      </c>
      <c r="J255" s="39">
        <v>1</v>
      </c>
      <c r="K255" s="40">
        <v>55</v>
      </c>
      <c r="L255" s="45" t="s">
        <v>1015</v>
      </c>
      <c r="M255" s="41" t="str">
        <f>IF(MasterFees[[#This Row],[GST Basis]]="Excl",MasterFees[[#This Row],[Fee as Printed]],IF(MasterFees[[#This Row],[GST Basis]]="Incl",MasterFees[[#This Row],[Fee as Printed]]/(1+GST_Rate),""))</f>
        <v/>
      </c>
      <c r="N255" s="41" t="str">
        <f>IF(MasterFees[[#This Row],[GST Basis]]="Incl",MasterFees[[#This Row],[Fee as Printed]],IF(MasterFees[[#This Row],[GST Basis]]="Excl",MasterFees[[#This Row],[Fee as Printed]]*(1+GST_Rate),""))</f>
        <v/>
      </c>
      <c r="O255" s="42">
        <f>IF(N(MasterFees[[#This Row],[Total Units]])=0,"",MasterFees[[#This Row],[Fee as Printed]]/MasterFees[[#This Row],[Total Units]])</f>
        <v>55</v>
      </c>
      <c r="P255" s="43"/>
      <c r="Q255" s="46" t="s">
        <v>1013</v>
      </c>
      <c r="R255" s="46" t="s">
        <v>1363</v>
      </c>
      <c r="S255" s="37"/>
    </row>
    <row r="256" spans="1:19" x14ac:dyDescent="0.2">
      <c r="A256" s="36"/>
      <c r="B256" s="38" t="str">
        <f>IF(MasterFees[[#This Row],[RVG Code]]="","",_xlfn.XLOOKUP(MasterFees[[#This Row],[RVG Code]],RVGCodes[Code],RVGCodes[Base Units],"Code not found"))</f>
        <v/>
      </c>
      <c r="C256" s="37" t="s">
        <v>257</v>
      </c>
      <c r="D256" s="44" t="s">
        <v>1108</v>
      </c>
      <c r="E256" s="44"/>
      <c r="F256" s="44" t="s">
        <v>1109</v>
      </c>
      <c r="G256" s="39">
        <v>7.5</v>
      </c>
      <c r="H256" s="39">
        <v>3.9</v>
      </c>
      <c r="I256" s="39">
        <v>0.5</v>
      </c>
      <c r="J256" s="39">
        <v>11.9</v>
      </c>
      <c r="K256" s="40">
        <v>652.29999999999995</v>
      </c>
      <c r="L256" s="45" t="s">
        <v>1015</v>
      </c>
      <c r="M256" s="41" t="str">
        <f>IF(MasterFees[[#This Row],[GST Basis]]="Excl",MasterFees[[#This Row],[Fee as Printed]],IF(MasterFees[[#This Row],[GST Basis]]="Incl",MasterFees[[#This Row],[Fee as Printed]]/(1+GST_Rate),""))</f>
        <v/>
      </c>
      <c r="N256" s="41" t="str">
        <f>IF(MasterFees[[#This Row],[GST Basis]]="Incl",MasterFees[[#This Row],[Fee as Printed]],IF(MasterFees[[#This Row],[GST Basis]]="Excl",MasterFees[[#This Row],[Fee as Printed]]*(1+GST_Rate),""))</f>
        <v/>
      </c>
      <c r="O256" s="42">
        <f>IF(N(MasterFees[[#This Row],[Total Units]])=0,"",MasterFees[[#This Row],[Fee as Printed]]/MasterFees[[#This Row],[Total Units]])</f>
        <v>54.815126050420162</v>
      </c>
      <c r="P256" s="43"/>
      <c r="Q256" s="46" t="s">
        <v>1013</v>
      </c>
      <c r="R256" s="46" t="s">
        <v>1364</v>
      </c>
      <c r="S256" s="37"/>
    </row>
    <row r="257" spans="1:19" x14ac:dyDescent="0.2">
      <c r="A257" s="36"/>
      <c r="B257" s="38" t="str">
        <f>IF(MasterFees[[#This Row],[RVG Code]]="","",_xlfn.XLOOKUP(MasterFees[[#This Row],[RVG Code]],RVGCodes[Code],RVGCodes[Base Units],"Code not found"))</f>
        <v/>
      </c>
      <c r="C257" s="37" t="s">
        <v>258</v>
      </c>
      <c r="D257" s="44" t="s">
        <v>1108</v>
      </c>
      <c r="E257" s="44"/>
      <c r="F257" s="44" t="s">
        <v>1109</v>
      </c>
      <c r="G257" s="39">
        <v>8</v>
      </c>
      <c r="H257" s="39">
        <v>6.9</v>
      </c>
      <c r="I257" s="39">
        <v>1.1000000000000001</v>
      </c>
      <c r="J257" s="39">
        <v>15.9</v>
      </c>
      <c r="K257" s="40">
        <v>875.6</v>
      </c>
      <c r="L257" s="45" t="s">
        <v>1015</v>
      </c>
      <c r="M257" s="41" t="str">
        <f>IF(MasterFees[[#This Row],[GST Basis]]="Excl",MasterFees[[#This Row],[Fee as Printed]],IF(MasterFees[[#This Row],[GST Basis]]="Incl",MasterFees[[#This Row],[Fee as Printed]]/(1+GST_Rate),""))</f>
        <v/>
      </c>
      <c r="N257" s="41" t="str">
        <f>IF(MasterFees[[#This Row],[GST Basis]]="Incl",MasterFees[[#This Row],[Fee as Printed]],IF(MasterFees[[#This Row],[GST Basis]]="Excl",MasterFees[[#This Row],[Fee as Printed]]*(1+GST_Rate),""))</f>
        <v/>
      </c>
      <c r="O257" s="42">
        <f>IF(N(MasterFees[[#This Row],[Total Units]])=0,"",MasterFees[[#This Row],[Fee as Printed]]/MasterFees[[#This Row],[Total Units]])</f>
        <v>55.069182389937104</v>
      </c>
      <c r="P257" s="43"/>
      <c r="Q257" s="46" t="s">
        <v>1013</v>
      </c>
      <c r="R257" s="46" t="s">
        <v>1365</v>
      </c>
      <c r="S257" s="37"/>
    </row>
    <row r="258" spans="1:19" x14ac:dyDescent="0.2">
      <c r="A258" s="36"/>
      <c r="B258" s="38" t="str">
        <f>IF(MasterFees[[#This Row],[RVG Code]]="","",_xlfn.XLOOKUP(MasterFees[[#This Row],[RVG Code]],RVGCodes[Code],RVGCodes[Base Units],"Code not found"))</f>
        <v/>
      </c>
      <c r="C258" s="37" t="s">
        <v>259</v>
      </c>
      <c r="D258" s="44" t="s">
        <v>1108</v>
      </c>
      <c r="E258" s="44"/>
      <c r="F258" s="44" t="s">
        <v>1109</v>
      </c>
      <c r="G258" s="39">
        <v>4</v>
      </c>
      <c r="H258" s="39">
        <v>2</v>
      </c>
      <c r="I258" s="39">
        <v>0</v>
      </c>
      <c r="J258" s="39">
        <v>6</v>
      </c>
      <c r="K258" s="40">
        <v>330</v>
      </c>
      <c r="L258" s="45" t="s">
        <v>1015</v>
      </c>
      <c r="M258" s="41" t="str">
        <f>IF(MasterFees[[#This Row],[GST Basis]]="Excl",MasterFees[[#This Row],[Fee as Printed]],IF(MasterFees[[#This Row],[GST Basis]]="Incl",MasterFees[[#This Row],[Fee as Printed]]/(1+GST_Rate),""))</f>
        <v/>
      </c>
      <c r="N258" s="41" t="str">
        <f>IF(MasterFees[[#This Row],[GST Basis]]="Incl",MasterFees[[#This Row],[Fee as Printed]],IF(MasterFees[[#This Row],[GST Basis]]="Excl",MasterFees[[#This Row],[Fee as Printed]]*(1+GST_Rate),""))</f>
        <v/>
      </c>
      <c r="O258" s="42">
        <f>IF(N(MasterFees[[#This Row],[Total Units]])=0,"",MasterFees[[#This Row],[Fee as Printed]]/MasterFees[[#This Row],[Total Units]])</f>
        <v>55</v>
      </c>
      <c r="P258" s="43"/>
      <c r="Q258" s="46" t="s">
        <v>1013</v>
      </c>
      <c r="R258" s="46" t="s">
        <v>1366</v>
      </c>
      <c r="S258" s="37"/>
    </row>
    <row r="259" spans="1:19" x14ac:dyDescent="0.2">
      <c r="A259" s="36"/>
      <c r="B259" s="38" t="str">
        <f>IF(MasterFees[[#This Row],[RVG Code]]="","",_xlfn.XLOOKUP(MasterFees[[#This Row],[RVG Code]],RVGCodes[Code],RVGCodes[Base Units],"Code not found"))</f>
        <v/>
      </c>
      <c r="C259" s="37" t="s">
        <v>260</v>
      </c>
      <c r="D259" s="44" t="s">
        <v>1108</v>
      </c>
      <c r="E259" s="44"/>
      <c r="F259" s="44" t="s">
        <v>1109</v>
      </c>
      <c r="G259" s="39">
        <v>4.5999999999999996</v>
      </c>
      <c r="H259" s="39">
        <v>1.6</v>
      </c>
      <c r="I259" s="39">
        <v>0</v>
      </c>
      <c r="J259" s="39">
        <v>6.1</v>
      </c>
      <c r="K259" s="40">
        <v>337.7</v>
      </c>
      <c r="L259" s="45" t="s">
        <v>1015</v>
      </c>
      <c r="M259" s="41" t="str">
        <f>IF(MasterFees[[#This Row],[GST Basis]]="Excl",MasterFees[[#This Row],[Fee as Printed]],IF(MasterFees[[#This Row],[GST Basis]]="Incl",MasterFees[[#This Row],[Fee as Printed]]/(1+GST_Rate),""))</f>
        <v/>
      </c>
      <c r="N259" s="41" t="str">
        <f>IF(MasterFees[[#This Row],[GST Basis]]="Incl",MasterFees[[#This Row],[Fee as Printed]],IF(MasterFees[[#This Row],[GST Basis]]="Excl",MasterFees[[#This Row],[Fee as Printed]]*(1+GST_Rate),""))</f>
        <v/>
      </c>
      <c r="O259" s="42">
        <f>IF(N(MasterFees[[#This Row],[Total Units]])=0,"",MasterFees[[#This Row],[Fee as Printed]]/MasterFees[[#This Row],[Total Units]])</f>
        <v>55.360655737704917</v>
      </c>
      <c r="P259" s="43"/>
      <c r="Q259" s="46" t="s">
        <v>1013</v>
      </c>
      <c r="R259" s="46" t="s">
        <v>1367</v>
      </c>
      <c r="S259" s="37"/>
    </row>
    <row r="260" spans="1:19" x14ac:dyDescent="0.2">
      <c r="A260" s="36"/>
      <c r="B260" s="38" t="str">
        <f>IF(MasterFees[[#This Row],[RVG Code]]="","",_xlfn.XLOOKUP(MasterFees[[#This Row],[RVG Code]],RVGCodes[Code],RVGCodes[Base Units],"Code not found"))</f>
        <v/>
      </c>
      <c r="C260" s="37" t="s">
        <v>261</v>
      </c>
      <c r="D260" s="44" t="s">
        <v>1108</v>
      </c>
      <c r="E260" s="44"/>
      <c r="F260" s="44" t="s">
        <v>1109</v>
      </c>
      <c r="G260" s="39">
        <v>4</v>
      </c>
      <c r="H260" s="39">
        <v>2</v>
      </c>
      <c r="I260" s="39">
        <v>0</v>
      </c>
      <c r="J260" s="39">
        <v>6</v>
      </c>
      <c r="K260" s="40">
        <v>330</v>
      </c>
      <c r="L260" s="45" t="s">
        <v>1015</v>
      </c>
      <c r="M260" s="41" t="str">
        <f>IF(MasterFees[[#This Row],[GST Basis]]="Excl",MasterFees[[#This Row],[Fee as Printed]],IF(MasterFees[[#This Row],[GST Basis]]="Incl",MasterFees[[#This Row],[Fee as Printed]]/(1+GST_Rate),""))</f>
        <v/>
      </c>
      <c r="N260" s="41" t="str">
        <f>IF(MasterFees[[#This Row],[GST Basis]]="Incl",MasterFees[[#This Row],[Fee as Printed]],IF(MasterFees[[#This Row],[GST Basis]]="Excl",MasterFees[[#This Row],[Fee as Printed]]*(1+GST_Rate),""))</f>
        <v/>
      </c>
      <c r="O260" s="42">
        <f>IF(N(MasterFees[[#This Row],[Total Units]])=0,"",MasterFees[[#This Row],[Fee as Printed]]/MasterFees[[#This Row],[Total Units]])</f>
        <v>55</v>
      </c>
      <c r="P260" s="43"/>
      <c r="Q260" s="46" t="s">
        <v>1013</v>
      </c>
      <c r="R260" s="46" t="s">
        <v>1368</v>
      </c>
      <c r="S260" s="37"/>
    </row>
    <row r="261" spans="1:19" x14ac:dyDescent="0.2">
      <c r="A261" s="36"/>
      <c r="B261" s="38" t="str">
        <f>IF(MasterFees[[#This Row],[RVG Code]]="","",_xlfn.XLOOKUP(MasterFees[[#This Row],[RVG Code]],RVGCodes[Code],RVGCodes[Base Units],"Code not found"))</f>
        <v/>
      </c>
      <c r="C261" s="37" t="s">
        <v>262</v>
      </c>
      <c r="D261" s="44" t="s">
        <v>1108</v>
      </c>
      <c r="E261" s="44"/>
      <c r="F261" s="44" t="s">
        <v>1109</v>
      </c>
      <c r="G261" s="39">
        <v>4.7</v>
      </c>
      <c r="H261" s="39">
        <v>2.7</v>
      </c>
      <c r="I261" s="39">
        <v>0.3</v>
      </c>
      <c r="J261" s="39">
        <v>7.7</v>
      </c>
      <c r="K261" s="40">
        <v>420.75</v>
      </c>
      <c r="L261" s="45" t="s">
        <v>1015</v>
      </c>
      <c r="M261" s="41" t="str">
        <f>IF(MasterFees[[#This Row],[GST Basis]]="Excl",MasterFees[[#This Row],[Fee as Printed]],IF(MasterFees[[#This Row],[GST Basis]]="Incl",MasterFees[[#This Row],[Fee as Printed]]/(1+GST_Rate),""))</f>
        <v/>
      </c>
      <c r="N261" s="41" t="str">
        <f>IF(MasterFees[[#This Row],[GST Basis]]="Incl",MasterFees[[#This Row],[Fee as Printed]],IF(MasterFees[[#This Row],[GST Basis]]="Excl",MasterFees[[#This Row],[Fee as Printed]]*(1+GST_Rate),""))</f>
        <v/>
      </c>
      <c r="O261" s="42">
        <f>IF(N(MasterFees[[#This Row],[Total Units]])=0,"",MasterFees[[#This Row],[Fee as Printed]]/MasterFees[[#This Row],[Total Units]])</f>
        <v>54.642857142857139</v>
      </c>
      <c r="P261" s="43"/>
      <c r="Q261" s="46" t="s">
        <v>1013</v>
      </c>
      <c r="R261" s="46" t="s">
        <v>1369</v>
      </c>
      <c r="S261" s="37"/>
    </row>
    <row r="262" spans="1:19" x14ac:dyDescent="0.2">
      <c r="A262" s="36"/>
      <c r="B262" s="38" t="str">
        <f>IF(MasterFees[[#This Row],[RVG Code]]="","",_xlfn.XLOOKUP(MasterFees[[#This Row],[RVG Code]],RVGCodes[Code],RVGCodes[Base Units],"Code not found"))</f>
        <v/>
      </c>
      <c r="C262" s="37" t="s">
        <v>263</v>
      </c>
      <c r="D262" s="44" t="s">
        <v>1108</v>
      </c>
      <c r="E262" s="44"/>
      <c r="F262" s="44" t="s">
        <v>1109</v>
      </c>
      <c r="G262" s="39">
        <v>4.2</v>
      </c>
      <c r="H262" s="39">
        <v>6.1</v>
      </c>
      <c r="I262" s="39">
        <v>0.6</v>
      </c>
      <c r="J262" s="39">
        <v>10.8</v>
      </c>
      <c r="K262" s="40">
        <v>595.65</v>
      </c>
      <c r="L262" s="45" t="s">
        <v>1015</v>
      </c>
      <c r="M262" s="41" t="str">
        <f>IF(MasterFees[[#This Row],[GST Basis]]="Excl",MasterFees[[#This Row],[Fee as Printed]],IF(MasterFees[[#This Row],[GST Basis]]="Incl",MasterFees[[#This Row],[Fee as Printed]]/(1+GST_Rate),""))</f>
        <v/>
      </c>
      <c r="N262" s="41" t="str">
        <f>IF(MasterFees[[#This Row],[GST Basis]]="Incl",MasterFees[[#This Row],[Fee as Printed]],IF(MasterFees[[#This Row],[GST Basis]]="Excl",MasterFees[[#This Row],[Fee as Printed]]*(1+GST_Rate),""))</f>
        <v/>
      </c>
      <c r="O262" s="42">
        <f>IF(N(MasterFees[[#This Row],[Total Units]])=0,"",MasterFees[[#This Row],[Fee as Printed]]/MasterFees[[#This Row],[Total Units]])</f>
        <v>55.152777777777771</v>
      </c>
      <c r="P262" s="43"/>
      <c r="Q262" s="46" t="s">
        <v>1013</v>
      </c>
      <c r="R262" s="46" t="s">
        <v>1370</v>
      </c>
      <c r="S262" s="37"/>
    </row>
    <row r="263" spans="1:19" x14ac:dyDescent="0.2">
      <c r="A263" s="36"/>
      <c r="B263" s="38" t="str">
        <f>IF(MasterFees[[#This Row],[RVG Code]]="","",_xlfn.XLOOKUP(MasterFees[[#This Row],[RVG Code]],RVGCodes[Code],RVGCodes[Base Units],"Code not found"))</f>
        <v/>
      </c>
      <c r="C263" s="37" t="s">
        <v>264</v>
      </c>
      <c r="D263" s="44" t="s">
        <v>1108</v>
      </c>
      <c r="E263" s="44"/>
      <c r="F263" s="44" t="s">
        <v>1109</v>
      </c>
      <c r="G263" s="39">
        <v>0</v>
      </c>
      <c r="H263" s="39">
        <v>0</v>
      </c>
      <c r="I263" s="39">
        <v>0</v>
      </c>
      <c r="J263" s="39">
        <v>0</v>
      </c>
      <c r="K263" s="40">
        <v>0</v>
      </c>
      <c r="L263" s="45" t="s">
        <v>1015</v>
      </c>
      <c r="M263" s="41" t="str">
        <f>IF(MasterFees[[#This Row],[GST Basis]]="Excl",MasterFees[[#This Row],[Fee as Printed]],IF(MasterFees[[#This Row],[GST Basis]]="Incl",MasterFees[[#This Row],[Fee as Printed]]/(1+GST_Rate),""))</f>
        <v/>
      </c>
      <c r="N263" s="41" t="str">
        <f>IF(MasterFees[[#This Row],[GST Basis]]="Incl",MasterFees[[#This Row],[Fee as Printed]],IF(MasterFees[[#This Row],[GST Basis]]="Excl",MasterFees[[#This Row],[Fee as Printed]]*(1+GST_Rate),""))</f>
        <v/>
      </c>
      <c r="O263" s="42" t="str">
        <f>IF(N(MasterFees[[#This Row],[Total Units]])=0,"",MasterFees[[#This Row],[Fee as Printed]]/MasterFees[[#This Row],[Total Units]])</f>
        <v/>
      </c>
      <c r="P263" s="43"/>
      <c r="Q263" s="46" t="s">
        <v>1013</v>
      </c>
      <c r="R263" s="46" t="s">
        <v>1371</v>
      </c>
      <c r="S263" s="37"/>
    </row>
    <row r="264" spans="1:19" x14ac:dyDescent="0.2">
      <c r="A264" s="36"/>
      <c r="B264" s="38" t="str">
        <f>IF(MasterFees[[#This Row],[RVG Code]]="","",_xlfn.XLOOKUP(MasterFees[[#This Row],[RVG Code]],RVGCodes[Code],RVGCodes[Base Units],"Code not found"))</f>
        <v/>
      </c>
      <c r="C264" s="37" t="s">
        <v>265</v>
      </c>
      <c r="D264" s="44" t="s">
        <v>1108</v>
      </c>
      <c r="E264" s="44"/>
      <c r="F264" s="44" t="s">
        <v>1109</v>
      </c>
      <c r="G264" s="39">
        <v>4.2</v>
      </c>
      <c r="H264" s="39">
        <v>6.1</v>
      </c>
      <c r="I264" s="39">
        <v>0.6</v>
      </c>
      <c r="J264" s="39">
        <v>10.9</v>
      </c>
      <c r="K264" s="40">
        <v>600.6</v>
      </c>
      <c r="L264" s="45" t="s">
        <v>1015</v>
      </c>
      <c r="M264" s="41" t="str">
        <f>IF(MasterFees[[#This Row],[GST Basis]]="Excl",MasterFees[[#This Row],[Fee as Printed]],IF(MasterFees[[#This Row],[GST Basis]]="Incl",MasterFees[[#This Row],[Fee as Printed]]/(1+GST_Rate),""))</f>
        <v/>
      </c>
      <c r="N264" s="41" t="str">
        <f>IF(MasterFees[[#This Row],[GST Basis]]="Incl",MasterFees[[#This Row],[Fee as Printed]],IF(MasterFees[[#This Row],[GST Basis]]="Excl",MasterFees[[#This Row],[Fee as Printed]]*(1+GST_Rate),""))</f>
        <v/>
      </c>
      <c r="O264" s="42">
        <f>IF(N(MasterFees[[#This Row],[Total Units]])=0,"",MasterFees[[#This Row],[Fee as Printed]]/MasterFees[[#This Row],[Total Units]])</f>
        <v>55.100917431192663</v>
      </c>
      <c r="P264" s="43"/>
      <c r="Q264" s="46" t="s">
        <v>1013</v>
      </c>
      <c r="R264" s="46" t="s">
        <v>1372</v>
      </c>
      <c r="S264" s="37"/>
    </row>
    <row r="265" spans="1:19" x14ac:dyDescent="0.2">
      <c r="A265" s="36"/>
      <c r="B265" s="38" t="str">
        <f>IF(MasterFees[[#This Row],[RVG Code]]="","",_xlfn.XLOOKUP(MasterFees[[#This Row],[RVG Code]],RVGCodes[Code],RVGCodes[Base Units],"Code not found"))</f>
        <v/>
      </c>
      <c r="C265" s="37" t="s">
        <v>266</v>
      </c>
      <c r="D265" s="44" t="s">
        <v>1108</v>
      </c>
      <c r="E265" s="44"/>
      <c r="F265" s="44" t="s">
        <v>1109</v>
      </c>
      <c r="G265" s="39">
        <v>4.3</v>
      </c>
      <c r="H265" s="39">
        <v>7.1</v>
      </c>
      <c r="I265" s="39">
        <v>1.1000000000000001</v>
      </c>
      <c r="J265" s="39">
        <v>12.5</v>
      </c>
      <c r="K265" s="40">
        <v>685.85</v>
      </c>
      <c r="L265" s="45" t="s">
        <v>1015</v>
      </c>
      <c r="M265" s="41" t="str">
        <f>IF(MasterFees[[#This Row],[GST Basis]]="Excl",MasterFees[[#This Row],[Fee as Printed]],IF(MasterFees[[#This Row],[GST Basis]]="Incl",MasterFees[[#This Row],[Fee as Printed]]/(1+GST_Rate),""))</f>
        <v/>
      </c>
      <c r="N265" s="41" t="str">
        <f>IF(MasterFees[[#This Row],[GST Basis]]="Incl",MasterFees[[#This Row],[Fee as Printed]],IF(MasterFees[[#This Row],[GST Basis]]="Excl",MasterFees[[#This Row],[Fee as Printed]]*(1+GST_Rate),""))</f>
        <v/>
      </c>
      <c r="O265" s="42">
        <f>IF(N(MasterFees[[#This Row],[Total Units]])=0,"",MasterFees[[#This Row],[Fee as Printed]]/MasterFees[[#This Row],[Total Units]])</f>
        <v>54.868000000000002</v>
      </c>
      <c r="P265" s="43"/>
      <c r="Q265" s="46" t="s">
        <v>1013</v>
      </c>
      <c r="R265" s="46" t="s">
        <v>1373</v>
      </c>
      <c r="S265" s="37"/>
    </row>
    <row r="266" spans="1:19" x14ac:dyDescent="0.2">
      <c r="A266" s="36"/>
      <c r="B266" s="38" t="str">
        <f>IF(MasterFees[[#This Row],[RVG Code]]="","",_xlfn.XLOOKUP(MasterFees[[#This Row],[RVG Code]],RVGCodes[Code],RVGCodes[Base Units],"Code not found"))</f>
        <v/>
      </c>
      <c r="C266" s="37" t="s">
        <v>267</v>
      </c>
      <c r="D266" s="44" t="s">
        <v>1108</v>
      </c>
      <c r="E266" s="44"/>
      <c r="F266" s="44" t="s">
        <v>1109</v>
      </c>
      <c r="G266" s="39">
        <v>6</v>
      </c>
      <c r="H266" s="39">
        <v>5.5</v>
      </c>
      <c r="I266" s="39">
        <v>1</v>
      </c>
      <c r="J266" s="39">
        <v>12.5</v>
      </c>
      <c r="K266" s="40">
        <v>687.5</v>
      </c>
      <c r="L266" s="45" t="s">
        <v>1015</v>
      </c>
      <c r="M266" s="41" t="str">
        <f>IF(MasterFees[[#This Row],[GST Basis]]="Excl",MasterFees[[#This Row],[Fee as Printed]],IF(MasterFees[[#This Row],[GST Basis]]="Incl",MasterFees[[#This Row],[Fee as Printed]]/(1+GST_Rate),""))</f>
        <v/>
      </c>
      <c r="N266" s="41" t="str">
        <f>IF(MasterFees[[#This Row],[GST Basis]]="Incl",MasterFees[[#This Row],[Fee as Printed]],IF(MasterFees[[#This Row],[GST Basis]]="Excl",MasterFees[[#This Row],[Fee as Printed]]*(1+GST_Rate),""))</f>
        <v/>
      </c>
      <c r="O266" s="42">
        <f>IF(N(MasterFees[[#This Row],[Total Units]])=0,"",MasterFees[[#This Row],[Fee as Printed]]/MasterFees[[#This Row],[Total Units]])</f>
        <v>55</v>
      </c>
      <c r="P266" s="43"/>
      <c r="Q266" s="46" t="s">
        <v>1013</v>
      </c>
      <c r="R266" s="46" t="s">
        <v>1374</v>
      </c>
      <c r="S266" s="37"/>
    </row>
    <row r="267" spans="1:19" x14ac:dyDescent="0.2">
      <c r="A267" s="36"/>
      <c r="B267" s="38" t="str">
        <f>IF(MasterFees[[#This Row],[RVG Code]]="","",_xlfn.XLOOKUP(MasterFees[[#This Row],[RVG Code]],RVGCodes[Code],RVGCodes[Base Units],"Code not found"))</f>
        <v/>
      </c>
      <c r="C267" s="37" t="s">
        <v>268</v>
      </c>
      <c r="D267" s="44" t="s">
        <v>1108</v>
      </c>
      <c r="E267" s="44"/>
      <c r="F267" s="44" t="s">
        <v>1109</v>
      </c>
      <c r="G267" s="39">
        <v>0</v>
      </c>
      <c r="H267" s="39">
        <v>0</v>
      </c>
      <c r="I267" s="39">
        <v>0</v>
      </c>
      <c r="J267" s="39">
        <v>0</v>
      </c>
      <c r="K267" s="40">
        <v>0</v>
      </c>
      <c r="L267" s="45" t="s">
        <v>1015</v>
      </c>
      <c r="M267" s="41" t="str">
        <f>IF(MasterFees[[#This Row],[GST Basis]]="Excl",MasterFees[[#This Row],[Fee as Printed]],IF(MasterFees[[#This Row],[GST Basis]]="Incl",MasterFees[[#This Row],[Fee as Printed]]/(1+GST_Rate),""))</f>
        <v/>
      </c>
      <c r="N267" s="41" t="str">
        <f>IF(MasterFees[[#This Row],[GST Basis]]="Incl",MasterFees[[#This Row],[Fee as Printed]],IF(MasterFees[[#This Row],[GST Basis]]="Excl",MasterFees[[#This Row],[Fee as Printed]]*(1+GST_Rate),""))</f>
        <v/>
      </c>
      <c r="O267" s="42" t="str">
        <f>IF(N(MasterFees[[#This Row],[Total Units]])=0,"",MasterFees[[#This Row],[Fee as Printed]]/MasterFees[[#This Row],[Total Units]])</f>
        <v/>
      </c>
      <c r="P267" s="43"/>
      <c r="Q267" s="46" t="s">
        <v>1013</v>
      </c>
      <c r="R267" s="46" t="s">
        <v>1375</v>
      </c>
      <c r="S267" s="37"/>
    </row>
    <row r="268" spans="1:19" x14ac:dyDescent="0.2">
      <c r="A268" s="36"/>
      <c r="B268" s="38" t="str">
        <f>IF(MasterFees[[#This Row],[RVG Code]]="","",_xlfn.XLOOKUP(MasterFees[[#This Row],[RVG Code]],RVGCodes[Code],RVGCodes[Base Units],"Code not found"))</f>
        <v/>
      </c>
      <c r="C268" s="37" t="s">
        <v>269</v>
      </c>
      <c r="D268" s="44" t="s">
        <v>1108</v>
      </c>
      <c r="E268" s="44"/>
      <c r="F268" s="44" t="s">
        <v>1109</v>
      </c>
      <c r="G268" s="39">
        <v>0</v>
      </c>
      <c r="H268" s="39">
        <v>0</v>
      </c>
      <c r="I268" s="39">
        <v>0</v>
      </c>
      <c r="J268" s="39">
        <v>0</v>
      </c>
      <c r="K268" s="40">
        <v>0</v>
      </c>
      <c r="L268" s="45" t="s">
        <v>1015</v>
      </c>
      <c r="M268" s="41" t="str">
        <f>IF(MasterFees[[#This Row],[GST Basis]]="Excl",MasterFees[[#This Row],[Fee as Printed]],IF(MasterFees[[#This Row],[GST Basis]]="Incl",MasterFees[[#This Row],[Fee as Printed]]/(1+GST_Rate),""))</f>
        <v/>
      </c>
      <c r="N268" s="41" t="str">
        <f>IF(MasterFees[[#This Row],[GST Basis]]="Incl",MasterFees[[#This Row],[Fee as Printed]],IF(MasterFees[[#This Row],[GST Basis]]="Excl",MasterFees[[#This Row],[Fee as Printed]]*(1+GST_Rate),""))</f>
        <v/>
      </c>
      <c r="O268" s="42" t="str">
        <f>IF(N(MasterFees[[#This Row],[Total Units]])=0,"",MasterFees[[#This Row],[Fee as Printed]]/MasterFees[[#This Row],[Total Units]])</f>
        <v/>
      </c>
      <c r="P268" s="43"/>
      <c r="Q268" s="46" t="s">
        <v>1013</v>
      </c>
      <c r="R268" s="46" t="s">
        <v>1376</v>
      </c>
      <c r="S268" s="37"/>
    </row>
    <row r="269" spans="1:19" x14ac:dyDescent="0.2">
      <c r="A269" s="36"/>
      <c r="B269" s="38" t="str">
        <f>IF(MasterFees[[#This Row],[RVG Code]]="","",_xlfn.XLOOKUP(MasterFees[[#This Row],[RVG Code]],RVGCodes[Code],RVGCodes[Base Units],"Code not found"))</f>
        <v/>
      </c>
      <c r="C269" s="37" t="s">
        <v>270</v>
      </c>
      <c r="D269" s="44" t="s">
        <v>1108</v>
      </c>
      <c r="E269" s="44"/>
      <c r="F269" s="44" t="s">
        <v>1109</v>
      </c>
      <c r="G269" s="39">
        <v>6</v>
      </c>
      <c r="H269" s="39">
        <v>13</v>
      </c>
      <c r="I269" s="39">
        <v>7</v>
      </c>
      <c r="J269" s="39">
        <v>26</v>
      </c>
      <c r="K269" s="40">
        <v>1430</v>
      </c>
      <c r="L269" s="45" t="s">
        <v>1015</v>
      </c>
      <c r="M269" s="41" t="str">
        <f>IF(MasterFees[[#This Row],[GST Basis]]="Excl",MasterFees[[#This Row],[Fee as Printed]],IF(MasterFees[[#This Row],[GST Basis]]="Incl",MasterFees[[#This Row],[Fee as Printed]]/(1+GST_Rate),""))</f>
        <v/>
      </c>
      <c r="N269" s="41" t="str">
        <f>IF(MasterFees[[#This Row],[GST Basis]]="Incl",MasterFees[[#This Row],[Fee as Printed]],IF(MasterFees[[#This Row],[GST Basis]]="Excl",MasterFees[[#This Row],[Fee as Printed]]*(1+GST_Rate),""))</f>
        <v/>
      </c>
      <c r="O269" s="42">
        <f>IF(N(MasterFees[[#This Row],[Total Units]])=0,"",MasterFees[[#This Row],[Fee as Printed]]/MasterFees[[#This Row],[Total Units]])</f>
        <v>55</v>
      </c>
      <c r="P269" s="43"/>
      <c r="Q269" s="46" t="s">
        <v>1013</v>
      </c>
      <c r="R269" s="46" t="s">
        <v>1377</v>
      </c>
      <c r="S269" s="37"/>
    </row>
    <row r="270" spans="1:19" x14ac:dyDescent="0.2">
      <c r="A270" s="36"/>
      <c r="B270" s="38" t="str">
        <f>IF(MasterFees[[#This Row],[RVG Code]]="","",_xlfn.XLOOKUP(MasterFees[[#This Row],[RVG Code]],RVGCodes[Code],RVGCodes[Base Units],"Code not found"))</f>
        <v/>
      </c>
      <c r="C270" s="37" t="s">
        <v>271</v>
      </c>
      <c r="D270" s="44" t="s">
        <v>1108</v>
      </c>
      <c r="E270" s="44"/>
      <c r="F270" s="44" t="s">
        <v>1109</v>
      </c>
      <c r="G270" s="39">
        <v>14</v>
      </c>
      <c r="H270" s="39">
        <v>20</v>
      </c>
      <c r="I270" s="39">
        <v>1</v>
      </c>
      <c r="J270" s="39">
        <v>35</v>
      </c>
      <c r="K270" s="40">
        <v>1925</v>
      </c>
      <c r="L270" s="45" t="s">
        <v>1015</v>
      </c>
      <c r="M270" s="41" t="str">
        <f>IF(MasterFees[[#This Row],[GST Basis]]="Excl",MasterFees[[#This Row],[Fee as Printed]],IF(MasterFees[[#This Row],[GST Basis]]="Incl",MasterFees[[#This Row],[Fee as Printed]]/(1+GST_Rate),""))</f>
        <v/>
      </c>
      <c r="N270" s="41" t="str">
        <f>IF(MasterFees[[#This Row],[GST Basis]]="Incl",MasterFees[[#This Row],[Fee as Printed]],IF(MasterFees[[#This Row],[GST Basis]]="Excl",MasterFees[[#This Row],[Fee as Printed]]*(1+GST_Rate),""))</f>
        <v/>
      </c>
      <c r="O270" s="42">
        <f>IF(N(MasterFees[[#This Row],[Total Units]])=0,"",MasterFees[[#This Row],[Fee as Printed]]/MasterFees[[#This Row],[Total Units]])</f>
        <v>55</v>
      </c>
      <c r="P270" s="43"/>
      <c r="Q270" s="46" t="s">
        <v>1013</v>
      </c>
      <c r="R270" s="46" t="s">
        <v>1378</v>
      </c>
      <c r="S270" s="37"/>
    </row>
    <row r="271" spans="1:19" x14ac:dyDescent="0.2">
      <c r="A271" s="36"/>
      <c r="B271" s="38" t="str">
        <f>IF(MasterFees[[#This Row],[RVG Code]]="","",_xlfn.XLOOKUP(MasterFees[[#This Row],[RVG Code]],RVGCodes[Code],RVGCodes[Base Units],"Code not found"))</f>
        <v/>
      </c>
      <c r="C271" s="37" t="s">
        <v>272</v>
      </c>
      <c r="D271" s="44" t="s">
        <v>1108</v>
      </c>
      <c r="E271" s="44"/>
      <c r="F271" s="44" t="s">
        <v>1109</v>
      </c>
      <c r="G271" s="39">
        <v>4.5999999999999996</v>
      </c>
      <c r="H271" s="39">
        <v>3.3</v>
      </c>
      <c r="I271" s="39">
        <v>0.4</v>
      </c>
      <c r="J271" s="39">
        <v>8.3000000000000007</v>
      </c>
      <c r="K271" s="40">
        <v>453.75</v>
      </c>
      <c r="L271" s="45" t="s">
        <v>1015</v>
      </c>
      <c r="M271" s="41" t="str">
        <f>IF(MasterFees[[#This Row],[GST Basis]]="Excl",MasterFees[[#This Row],[Fee as Printed]],IF(MasterFees[[#This Row],[GST Basis]]="Incl",MasterFees[[#This Row],[Fee as Printed]]/(1+GST_Rate),""))</f>
        <v/>
      </c>
      <c r="N271" s="41" t="str">
        <f>IF(MasterFees[[#This Row],[GST Basis]]="Incl",MasterFees[[#This Row],[Fee as Printed]],IF(MasterFees[[#This Row],[GST Basis]]="Excl",MasterFees[[#This Row],[Fee as Printed]]*(1+GST_Rate),""))</f>
        <v/>
      </c>
      <c r="O271" s="42">
        <f>IF(N(MasterFees[[#This Row],[Total Units]])=0,"",MasterFees[[#This Row],[Fee as Printed]]/MasterFees[[#This Row],[Total Units]])</f>
        <v>54.668674698795179</v>
      </c>
      <c r="P271" s="43"/>
      <c r="Q271" s="46" t="s">
        <v>1013</v>
      </c>
      <c r="R271" s="46" t="s">
        <v>1379</v>
      </c>
      <c r="S271" s="37"/>
    </row>
    <row r="272" spans="1:19" x14ac:dyDescent="0.2">
      <c r="A272" s="36"/>
      <c r="B272" s="38" t="str">
        <f>IF(MasterFees[[#This Row],[RVG Code]]="","",_xlfn.XLOOKUP(MasterFees[[#This Row],[RVG Code]],RVGCodes[Code],RVGCodes[Base Units],"Code not found"))</f>
        <v/>
      </c>
      <c r="C272" s="37" t="s">
        <v>273</v>
      </c>
      <c r="D272" s="44" t="s">
        <v>1108</v>
      </c>
      <c r="E272" s="44"/>
      <c r="F272" s="44" t="s">
        <v>1109</v>
      </c>
      <c r="G272" s="39">
        <v>4.5999999999999996</v>
      </c>
      <c r="H272" s="39">
        <v>3.6</v>
      </c>
      <c r="I272" s="39">
        <v>0.7</v>
      </c>
      <c r="J272" s="39">
        <v>8.9</v>
      </c>
      <c r="K272" s="40">
        <v>486.75</v>
      </c>
      <c r="L272" s="45" t="s">
        <v>1015</v>
      </c>
      <c r="M272" s="41" t="str">
        <f>IF(MasterFees[[#This Row],[GST Basis]]="Excl",MasterFees[[#This Row],[Fee as Printed]],IF(MasterFees[[#This Row],[GST Basis]]="Incl",MasterFees[[#This Row],[Fee as Printed]]/(1+GST_Rate),""))</f>
        <v/>
      </c>
      <c r="N272" s="41" t="str">
        <f>IF(MasterFees[[#This Row],[GST Basis]]="Incl",MasterFees[[#This Row],[Fee as Printed]],IF(MasterFees[[#This Row],[GST Basis]]="Excl",MasterFees[[#This Row],[Fee as Printed]]*(1+GST_Rate),""))</f>
        <v/>
      </c>
      <c r="O272" s="42">
        <f>IF(N(MasterFees[[#This Row],[Total Units]])=0,"",MasterFees[[#This Row],[Fee as Printed]]/MasterFees[[#This Row],[Total Units]])</f>
        <v>54.691011235955052</v>
      </c>
      <c r="P272" s="43"/>
      <c r="Q272" s="46" t="s">
        <v>1013</v>
      </c>
      <c r="R272" s="46" t="s">
        <v>1380</v>
      </c>
      <c r="S272" s="37"/>
    </row>
    <row r="273" spans="1:19" x14ac:dyDescent="0.2">
      <c r="A273" s="36"/>
      <c r="B273" s="38" t="str">
        <f>IF(MasterFees[[#This Row],[RVG Code]]="","",_xlfn.XLOOKUP(MasterFees[[#This Row],[RVG Code]],RVGCodes[Code],RVGCodes[Base Units],"Code not found"))</f>
        <v/>
      </c>
      <c r="C273" s="37" t="s">
        <v>274</v>
      </c>
      <c r="D273" s="44" t="s">
        <v>1108</v>
      </c>
      <c r="E273" s="44"/>
      <c r="F273" s="44" t="s">
        <v>1109</v>
      </c>
      <c r="G273" s="39">
        <v>5</v>
      </c>
      <c r="H273" s="39">
        <v>5.5</v>
      </c>
      <c r="I273" s="39">
        <v>0</v>
      </c>
      <c r="J273" s="39">
        <v>10.5</v>
      </c>
      <c r="K273" s="40">
        <v>577.5</v>
      </c>
      <c r="L273" s="45" t="s">
        <v>1015</v>
      </c>
      <c r="M273" s="41" t="str">
        <f>IF(MasterFees[[#This Row],[GST Basis]]="Excl",MasterFees[[#This Row],[Fee as Printed]],IF(MasterFees[[#This Row],[GST Basis]]="Incl",MasterFees[[#This Row],[Fee as Printed]]/(1+GST_Rate),""))</f>
        <v/>
      </c>
      <c r="N273" s="41" t="str">
        <f>IF(MasterFees[[#This Row],[GST Basis]]="Incl",MasterFees[[#This Row],[Fee as Printed]],IF(MasterFees[[#This Row],[GST Basis]]="Excl",MasterFees[[#This Row],[Fee as Printed]]*(1+GST_Rate),""))</f>
        <v/>
      </c>
      <c r="O273" s="42">
        <f>IF(N(MasterFees[[#This Row],[Total Units]])=0,"",MasterFees[[#This Row],[Fee as Printed]]/MasterFees[[#This Row],[Total Units]])</f>
        <v>55</v>
      </c>
      <c r="P273" s="43"/>
      <c r="Q273" s="46" t="s">
        <v>1013</v>
      </c>
      <c r="R273" s="46" t="s">
        <v>1381</v>
      </c>
      <c r="S273" s="37"/>
    </row>
    <row r="274" spans="1:19" x14ac:dyDescent="0.2">
      <c r="A274" s="36"/>
      <c r="B274" s="38" t="str">
        <f>IF(MasterFees[[#This Row],[RVG Code]]="","",_xlfn.XLOOKUP(MasterFees[[#This Row],[RVG Code]],RVGCodes[Code],RVGCodes[Base Units],"Code not found"))</f>
        <v/>
      </c>
      <c r="C274" s="37" t="s">
        <v>275</v>
      </c>
      <c r="D274" s="44" t="s">
        <v>1108</v>
      </c>
      <c r="E274" s="44"/>
      <c r="F274" s="44" t="s">
        <v>1109</v>
      </c>
      <c r="G274" s="39">
        <v>5.7</v>
      </c>
      <c r="H274" s="39">
        <v>5.9</v>
      </c>
      <c r="I274" s="39">
        <v>0.2</v>
      </c>
      <c r="J274" s="39">
        <v>11.7</v>
      </c>
      <c r="K274" s="40">
        <v>645.15</v>
      </c>
      <c r="L274" s="45" t="s">
        <v>1015</v>
      </c>
      <c r="M274" s="41" t="str">
        <f>IF(MasterFees[[#This Row],[GST Basis]]="Excl",MasterFees[[#This Row],[Fee as Printed]],IF(MasterFees[[#This Row],[GST Basis]]="Incl",MasterFees[[#This Row],[Fee as Printed]]/(1+GST_Rate),""))</f>
        <v/>
      </c>
      <c r="N274" s="41" t="str">
        <f>IF(MasterFees[[#This Row],[GST Basis]]="Incl",MasterFees[[#This Row],[Fee as Printed]],IF(MasterFees[[#This Row],[GST Basis]]="Excl",MasterFees[[#This Row],[Fee as Printed]]*(1+GST_Rate),""))</f>
        <v/>
      </c>
      <c r="O274" s="42">
        <f>IF(N(MasterFees[[#This Row],[Total Units]])=0,"",MasterFees[[#This Row],[Fee as Printed]]/MasterFees[[#This Row],[Total Units]])</f>
        <v>55.141025641025642</v>
      </c>
      <c r="P274" s="43"/>
      <c r="Q274" s="46" t="s">
        <v>1013</v>
      </c>
      <c r="R274" s="46" t="s">
        <v>1382</v>
      </c>
      <c r="S274" s="37"/>
    </row>
    <row r="275" spans="1:19" x14ac:dyDescent="0.2">
      <c r="A275" s="36"/>
      <c r="B275" s="38" t="str">
        <f>IF(MasterFees[[#This Row],[RVG Code]]="","",_xlfn.XLOOKUP(MasterFees[[#This Row],[RVG Code]],RVGCodes[Code],RVGCodes[Base Units],"Code not found"))</f>
        <v/>
      </c>
      <c r="C275" s="37" t="s">
        <v>276</v>
      </c>
      <c r="D275" s="44" t="s">
        <v>1108</v>
      </c>
      <c r="E275" s="44"/>
      <c r="F275" s="44" t="s">
        <v>1109</v>
      </c>
      <c r="G275" s="39">
        <v>6.3</v>
      </c>
      <c r="H275" s="39">
        <v>6.1</v>
      </c>
      <c r="I275" s="39">
        <v>0.5</v>
      </c>
      <c r="J275" s="39">
        <v>12.8</v>
      </c>
      <c r="K275" s="40">
        <v>702.9</v>
      </c>
      <c r="L275" s="45" t="s">
        <v>1015</v>
      </c>
      <c r="M275" s="41" t="str">
        <f>IF(MasterFees[[#This Row],[GST Basis]]="Excl",MasterFees[[#This Row],[Fee as Printed]],IF(MasterFees[[#This Row],[GST Basis]]="Incl",MasterFees[[#This Row],[Fee as Printed]]/(1+GST_Rate),""))</f>
        <v/>
      </c>
      <c r="N275" s="41" t="str">
        <f>IF(MasterFees[[#This Row],[GST Basis]]="Incl",MasterFees[[#This Row],[Fee as Printed]],IF(MasterFees[[#This Row],[GST Basis]]="Excl",MasterFees[[#This Row],[Fee as Printed]]*(1+GST_Rate),""))</f>
        <v/>
      </c>
      <c r="O275" s="42">
        <f>IF(N(MasterFees[[#This Row],[Total Units]])=0,"",MasterFees[[#This Row],[Fee as Printed]]/MasterFees[[#This Row],[Total Units]])</f>
        <v>54.914062499999993</v>
      </c>
      <c r="P275" s="43"/>
      <c r="Q275" s="46" t="s">
        <v>1013</v>
      </c>
      <c r="R275" s="46" t="s">
        <v>1383</v>
      </c>
      <c r="S275" s="37"/>
    </row>
    <row r="276" spans="1:19" x14ac:dyDescent="0.2">
      <c r="A276" s="36"/>
      <c r="B276" s="38" t="str">
        <f>IF(MasterFees[[#This Row],[RVG Code]]="","",_xlfn.XLOOKUP(MasterFees[[#This Row],[RVG Code]],RVGCodes[Code],RVGCodes[Base Units],"Code not found"))</f>
        <v/>
      </c>
      <c r="C276" s="37" t="s">
        <v>277</v>
      </c>
      <c r="D276" s="44" t="s">
        <v>1108</v>
      </c>
      <c r="E276" s="44"/>
      <c r="F276" s="44" t="s">
        <v>1109</v>
      </c>
      <c r="G276" s="39">
        <v>6</v>
      </c>
      <c r="H276" s="39">
        <v>8</v>
      </c>
      <c r="I276" s="39">
        <v>0</v>
      </c>
      <c r="J276" s="39">
        <v>14</v>
      </c>
      <c r="K276" s="40">
        <v>770</v>
      </c>
      <c r="L276" s="45" t="s">
        <v>1015</v>
      </c>
      <c r="M276" s="41" t="str">
        <f>IF(MasterFees[[#This Row],[GST Basis]]="Excl",MasterFees[[#This Row],[Fee as Printed]],IF(MasterFees[[#This Row],[GST Basis]]="Incl",MasterFees[[#This Row],[Fee as Printed]]/(1+GST_Rate),""))</f>
        <v/>
      </c>
      <c r="N276" s="41" t="str">
        <f>IF(MasterFees[[#This Row],[GST Basis]]="Incl",MasterFees[[#This Row],[Fee as Printed]],IF(MasterFees[[#This Row],[GST Basis]]="Excl",MasterFees[[#This Row],[Fee as Printed]]*(1+GST_Rate),""))</f>
        <v/>
      </c>
      <c r="O276" s="42">
        <f>IF(N(MasterFees[[#This Row],[Total Units]])=0,"",MasterFees[[#This Row],[Fee as Printed]]/MasterFees[[#This Row],[Total Units]])</f>
        <v>55</v>
      </c>
      <c r="P276" s="43"/>
      <c r="Q276" s="46" t="s">
        <v>1013</v>
      </c>
      <c r="R276" s="46" t="s">
        <v>1384</v>
      </c>
      <c r="S276" s="37"/>
    </row>
    <row r="277" spans="1:19" x14ac:dyDescent="0.2">
      <c r="A277" s="36"/>
      <c r="B277" s="38" t="str">
        <f>IF(MasterFees[[#This Row],[RVG Code]]="","",_xlfn.XLOOKUP(MasterFees[[#This Row],[RVG Code]],RVGCodes[Code],RVGCodes[Base Units],"Code not found"))</f>
        <v/>
      </c>
      <c r="C277" s="37" t="s">
        <v>278</v>
      </c>
      <c r="D277" s="44" t="s">
        <v>1108</v>
      </c>
      <c r="E277" s="44"/>
      <c r="F277" s="44" t="s">
        <v>1109</v>
      </c>
      <c r="G277" s="39">
        <v>5</v>
      </c>
      <c r="H277" s="39">
        <v>4</v>
      </c>
      <c r="I277" s="39">
        <v>1</v>
      </c>
      <c r="J277" s="39">
        <v>10</v>
      </c>
      <c r="K277" s="40">
        <v>550</v>
      </c>
      <c r="L277" s="45" t="s">
        <v>1015</v>
      </c>
      <c r="M277" s="41" t="str">
        <f>IF(MasterFees[[#This Row],[GST Basis]]="Excl",MasterFees[[#This Row],[Fee as Printed]],IF(MasterFees[[#This Row],[GST Basis]]="Incl",MasterFees[[#This Row],[Fee as Printed]]/(1+GST_Rate),""))</f>
        <v/>
      </c>
      <c r="N277" s="41" t="str">
        <f>IF(MasterFees[[#This Row],[GST Basis]]="Incl",MasterFees[[#This Row],[Fee as Printed]],IF(MasterFees[[#This Row],[GST Basis]]="Excl",MasterFees[[#This Row],[Fee as Printed]]*(1+GST_Rate),""))</f>
        <v/>
      </c>
      <c r="O277" s="42">
        <f>IF(N(MasterFees[[#This Row],[Total Units]])=0,"",MasterFees[[#This Row],[Fee as Printed]]/MasterFees[[#This Row],[Total Units]])</f>
        <v>55</v>
      </c>
      <c r="P277" s="43"/>
      <c r="Q277" s="46" t="s">
        <v>1013</v>
      </c>
      <c r="R277" s="46" t="s">
        <v>1385</v>
      </c>
      <c r="S277" s="37"/>
    </row>
    <row r="278" spans="1:19" x14ac:dyDescent="0.2">
      <c r="A278" s="36"/>
      <c r="B278" s="38" t="str">
        <f>IF(MasterFees[[#This Row],[RVG Code]]="","",_xlfn.XLOOKUP(MasterFees[[#This Row],[RVG Code]],RVGCodes[Code],RVGCodes[Base Units],"Code not found"))</f>
        <v/>
      </c>
      <c r="C278" s="37" t="s">
        <v>279</v>
      </c>
      <c r="D278" s="44" t="s">
        <v>1108</v>
      </c>
      <c r="E278" s="44"/>
      <c r="F278" s="44" t="s">
        <v>1109</v>
      </c>
      <c r="G278" s="39">
        <v>0</v>
      </c>
      <c r="H278" s="39">
        <v>2</v>
      </c>
      <c r="I278" s="39">
        <v>0</v>
      </c>
      <c r="J278" s="39">
        <v>2</v>
      </c>
      <c r="K278" s="40">
        <v>110</v>
      </c>
      <c r="L278" s="45" t="s">
        <v>1015</v>
      </c>
      <c r="M278" s="41" t="str">
        <f>IF(MasterFees[[#This Row],[GST Basis]]="Excl",MasterFees[[#This Row],[Fee as Printed]],IF(MasterFees[[#This Row],[GST Basis]]="Incl",MasterFees[[#This Row],[Fee as Printed]]/(1+GST_Rate),""))</f>
        <v/>
      </c>
      <c r="N278" s="41" t="str">
        <f>IF(MasterFees[[#This Row],[GST Basis]]="Incl",MasterFees[[#This Row],[Fee as Printed]],IF(MasterFees[[#This Row],[GST Basis]]="Excl",MasterFees[[#This Row],[Fee as Printed]]*(1+GST_Rate),""))</f>
        <v/>
      </c>
      <c r="O278" s="42">
        <f>IF(N(MasterFees[[#This Row],[Total Units]])=0,"",MasterFees[[#This Row],[Fee as Printed]]/MasterFees[[#This Row],[Total Units]])</f>
        <v>55</v>
      </c>
      <c r="P278" s="43"/>
      <c r="Q278" s="46" t="s">
        <v>1013</v>
      </c>
      <c r="R278" s="46" t="s">
        <v>1386</v>
      </c>
      <c r="S278" s="37"/>
    </row>
    <row r="279" spans="1:19" x14ac:dyDescent="0.2">
      <c r="A279" s="36"/>
      <c r="B279" s="38" t="str">
        <f>IF(MasterFees[[#This Row],[RVG Code]]="","",_xlfn.XLOOKUP(MasterFees[[#This Row],[RVG Code]],RVGCodes[Code],RVGCodes[Base Units],"Code not found"))</f>
        <v/>
      </c>
      <c r="C279" s="37" t="s">
        <v>280</v>
      </c>
      <c r="D279" s="44" t="s">
        <v>1108</v>
      </c>
      <c r="E279" s="44"/>
      <c r="F279" s="44" t="s">
        <v>1109</v>
      </c>
      <c r="G279" s="39">
        <v>4</v>
      </c>
      <c r="H279" s="39">
        <v>2.2000000000000002</v>
      </c>
      <c r="I279" s="39">
        <v>0.2</v>
      </c>
      <c r="J279" s="39">
        <v>6.5</v>
      </c>
      <c r="K279" s="40">
        <v>355.3</v>
      </c>
      <c r="L279" s="45" t="s">
        <v>1015</v>
      </c>
      <c r="M279" s="41" t="str">
        <f>IF(MasterFees[[#This Row],[GST Basis]]="Excl",MasterFees[[#This Row],[Fee as Printed]],IF(MasterFees[[#This Row],[GST Basis]]="Incl",MasterFees[[#This Row],[Fee as Printed]]/(1+GST_Rate),""))</f>
        <v/>
      </c>
      <c r="N279" s="41" t="str">
        <f>IF(MasterFees[[#This Row],[GST Basis]]="Incl",MasterFees[[#This Row],[Fee as Printed]],IF(MasterFees[[#This Row],[GST Basis]]="Excl",MasterFees[[#This Row],[Fee as Printed]]*(1+GST_Rate),""))</f>
        <v/>
      </c>
      <c r="O279" s="42">
        <f>IF(N(MasterFees[[#This Row],[Total Units]])=0,"",MasterFees[[#This Row],[Fee as Printed]]/MasterFees[[#This Row],[Total Units]])</f>
        <v>54.661538461538463</v>
      </c>
      <c r="P279" s="43"/>
      <c r="Q279" s="46" t="s">
        <v>1013</v>
      </c>
      <c r="R279" s="46" t="s">
        <v>1387</v>
      </c>
      <c r="S279" s="37"/>
    </row>
    <row r="280" spans="1:19" x14ac:dyDescent="0.2">
      <c r="A280" s="36"/>
      <c r="B280" s="38" t="str">
        <f>IF(MasterFees[[#This Row],[RVG Code]]="","",_xlfn.XLOOKUP(MasterFees[[#This Row],[RVG Code]],RVGCodes[Code],RVGCodes[Base Units],"Code not found"))</f>
        <v/>
      </c>
      <c r="C280" s="37" t="s">
        <v>281</v>
      </c>
      <c r="D280" s="44" t="s">
        <v>1108</v>
      </c>
      <c r="E280" s="44"/>
      <c r="F280" s="44" t="s">
        <v>1109</v>
      </c>
      <c r="G280" s="39">
        <v>4.5</v>
      </c>
      <c r="H280" s="39">
        <v>3</v>
      </c>
      <c r="I280" s="39">
        <v>0.1</v>
      </c>
      <c r="J280" s="39">
        <v>7.6</v>
      </c>
      <c r="K280" s="40">
        <v>419.1</v>
      </c>
      <c r="L280" s="45" t="s">
        <v>1015</v>
      </c>
      <c r="M280" s="41" t="str">
        <f>IF(MasterFees[[#This Row],[GST Basis]]="Excl",MasterFees[[#This Row],[Fee as Printed]],IF(MasterFees[[#This Row],[GST Basis]]="Incl",MasterFees[[#This Row],[Fee as Printed]]/(1+GST_Rate),""))</f>
        <v/>
      </c>
      <c r="N280" s="41" t="str">
        <f>IF(MasterFees[[#This Row],[GST Basis]]="Incl",MasterFees[[#This Row],[Fee as Printed]],IF(MasterFees[[#This Row],[GST Basis]]="Excl",MasterFees[[#This Row],[Fee as Printed]]*(1+GST_Rate),""))</f>
        <v/>
      </c>
      <c r="O280" s="42">
        <f>IF(N(MasterFees[[#This Row],[Total Units]])=0,"",MasterFees[[#This Row],[Fee as Printed]]/MasterFees[[#This Row],[Total Units]])</f>
        <v>55.144736842105267</v>
      </c>
      <c r="P280" s="43"/>
      <c r="Q280" s="46" t="s">
        <v>1013</v>
      </c>
      <c r="R280" s="46" t="s">
        <v>1388</v>
      </c>
      <c r="S280" s="37"/>
    </row>
    <row r="281" spans="1:19" x14ac:dyDescent="0.2">
      <c r="A281" s="36"/>
      <c r="B281" s="38" t="str">
        <f>IF(MasterFees[[#This Row],[RVG Code]]="","",_xlfn.XLOOKUP(MasterFees[[#This Row],[RVG Code]],RVGCodes[Code],RVGCodes[Base Units],"Code not found"))</f>
        <v/>
      </c>
      <c r="C281" s="37" t="s">
        <v>282</v>
      </c>
      <c r="D281" s="44" t="s">
        <v>1108</v>
      </c>
      <c r="E281" s="44"/>
      <c r="F281" s="44" t="s">
        <v>1109</v>
      </c>
      <c r="G281" s="39">
        <v>4.2</v>
      </c>
      <c r="H281" s="39">
        <v>3</v>
      </c>
      <c r="I281" s="39">
        <v>0.3</v>
      </c>
      <c r="J281" s="39">
        <v>7.6</v>
      </c>
      <c r="K281" s="40">
        <v>415.8</v>
      </c>
      <c r="L281" s="45" t="s">
        <v>1015</v>
      </c>
      <c r="M281" s="41" t="str">
        <f>IF(MasterFees[[#This Row],[GST Basis]]="Excl",MasterFees[[#This Row],[Fee as Printed]],IF(MasterFees[[#This Row],[GST Basis]]="Incl",MasterFees[[#This Row],[Fee as Printed]]/(1+GST_Rate),""))</f>
        <v/>
      </c>
      <c r="N281" s="41" t="str">
        <f>IF(MasterFees[[#This Row],[GST Basis]]="Incl",MasterFees[[#This Row],[Fee as Printed]],IF(MasterFees[[#This Row],[GST Basis]]="Excl",MasterFees[[#This Row],[Fee as Printed]]*(1+GST_Rate),""))</f>
        <v/>
      </c>
      <c r="O281" s="42">
        <f>IF(N(MasterFees[[#This Row],[Total Units]])=0,"",MasterFees[[#This Row],[Fee as Printed]]/MasterFees[[#This Row],[Total Units]])</f>
        <v>54.71052631578948</v>
      </c>
      <c r="P281" s="43"/>
      <c r="Q281" s="46" t="s">
        <v>1013</v>
      </c>
      <c r="R281" s="46" t="s">
        <v>1389</v>
      </c>
      <c r="S281" s="37"/>
    </row>
    <row r="282" spans="1:19" x14ac:dyDescent="0.2">
      <c r="A282" s="36"/>
      <c r="B282" s="38" t="str">
        <f>IF(MasterFees[[#This Row],[RVG Code]]="","",_xlfn.XLOOKUP(MasterFees[[#This Row],[RVG Code]],RVGCodes[Code],RVGCodes[Base Units],"Code not found"))</f>
        <v/>
      </c>
      <c r="C282" s="37" t="s">
        <v>283</v>
      </c>
      <c r="D282" s="44" t="s">
        <v>1108</v>
      </c>
      <c r="E282" s="44"/>
      <c r="F282" s="44" t="s">
        <v>1109</v>
      </c>
      <c r="G282" s="39">
        <v>0</v>
      </c>
      <c r="H282" s="39">
        <v>0</v>
      </c>
      <c r="I282" s="39">
        <v>1</v>
      </c>
      <c r="J282" s="39">
        <v>1</v>
      </c>
      <c r="K282" s="40">
        <v>55</v>
      </c>
      <c r="L282" s="45" t="s">
        <v>1015</v>
      </c>
      <c r="M282" s="41" t="str">
        <f>IF(MasterFees[[#This Row],[GST Basis]]="Excl",MasterFees[[#This Row],[Fee as Printed]],IF(MasterFees[[#This Row],[GST Basis]]="Incl",MasterFees[[#This Row],[Fee as Printed]]/(1+GST_Rate),""))</f>
        <v/>
      </c>
      <c r="N282" s="41" t="str">
        <f>IF(MasterFees[[#This Row],[GST Basis]]="Incl",MasterFees[[#This Row],[Fee as Printed]],IF(MasterFees[[#This Row],[GST Basis]]="Excl",MasterFees[[#This Row],[Fee as Printed]]*(1+GST_Rate),""))</f>
        <v/>
      </c>
      <c r="O282" s="42">
        <f>IF(N(MasterFees[[#This Row],[Total Units]])=0,"",MasterFees[[#This Row],[Fee as Printed]]/MasterFees[[#This Row],[Total Units]])</f>
        <v>55</v>
      </c>
      <c r="P282" s="43"/>
      <c r="Q282" s="46" t="s">
        <v>1013</v>
      </c>
      <c r="R282" s="46" t="s">
        <v>1390</v>
      </c>
      <c r="S282" s="37"/>
    </row>
    <row r="283" spans="1:19" x14ac:dyDescent="0.2">
      <c r="A283" s="36"/>
      <c r="B283" s="38" t="str">
        <f>IF(MasterFees[[#This Row],[RVG Code]]="","",_xlfn.XLOOKUP(MasterFees[[#This Row],[RVG Code]],RVGCodes[Code],RVGCodes[Base Units],"Code not found"))</f>
        <v/>
      </c>
      <c r="C283" s="37" t="s">
        <v>284</v>
      </c>
      <c r="D283" s="44" t="s">
        <v>1108</v>
      </c>
      <c r="E283" s="44"/>
      <c r="F283" s="44" t="s">
        <v>1109</v>
      </c>
      <c r="G283" s="39">
        <v>5</v>
      </c>
      <c r="H283" s="39">
        <v>3.8</v>
      </c>
      <c r="I283" s="39">
        <v>1.1000000000000001</v>
      </c>
      <c r="J283" s="39">
        <v>9.9</v>
      </c>
      <c r="K283" s="40">
        <v>545.6</v>
      </c>
      <c r="L283" s="45" t="s">
        <v>1015</v>
      </c>
      <c r="M283" s="41" t="str">
        <f>IF(MasterFees[[#This Row],[GST Basis]]="Excl",MasterFees[[#This Row],[Fee as Printed]],IF(MasterFees[[#This Row],[GST Basis]]="Incl",MasterFees[[#This Row],[Fee as Printed]]/(1+GST_Rate),""))</f>
        <v/>
      </c>
      <c r="N283" s="41" t="str">
        <f>IF(MasterFees[[#This Row],[GST Basis]]="Incl",MasterFees[[#This Row],[Fee as Printed]],IF(MasterFees[[#This Row],[GST Basis]]="Excl",MasterFees[[#This Row],[Fee as Printed]]*(1+GST_Rate),""))</f>
        <v/>
      </c>
      <c r="O283" s="42">
        <f>IF(N(MasterFees[[#This Row],[Total Units]])=0,"",MasterFees[[#This Row],[Fee as Printed]]/MasterFees[[#This Row],[Total Units]])</f>
        <v>55.111111111111114</v>
      </c>
      <c r="P283" s="43"/>
      <c r="Q283" s="46" t="s">
        <v>1013</v>
      </c>
      <c r="R283" s="46" t="s">
        <v>1391</v>
      </c>
      <c r="S283" s="37"/>
    </row>
    <row r="284" spans="1:19" x14ac:dyDescent="0.2">
      <c r="A284" s="36"/>
      <c r="B284" s="38" t="str">
        <f>IF(MasterFees[[#This Row],[RVG Code]]="","",_xlfn.XLOOKUP(MasterFees[[#This Row],[RVG Code]],RVGCodes[Code],RVGCodes[Base Units],"Code not found"))</f>
        <v/>
      </c>
      <c r="C284" s="37" t="s">
        <v>285</v>
      </c>
      <c r="D284" s="44" t="s">
        <v>1108</v>
      </c>
      <c r="E284" s="44"/>
      <c r="F284" s="44" t="s">
        <v>1109</v>
      </c>
      <c r="G284" s="39">
        <v>4</v>
      </c>
      <c r="H284" s="39">
        <v>2.1</v>
      </c>
      <c r="I284" s="39">
        <v>0.1</v>
      </c>
      <c r="J284" s="39">
        <v>6.2</v>
      </c>
      <c r="K284" s="40">
        <v>340.45</v>
      </c>
      <c r="L284" s="45" t="s">
        <v>1015</v>
      </c>
      <c r="M284" s="41" t="str">
        <f>IF(MasterFees[[#This Row],[GST Basis]]="Excl",MasterFees[[#This Row],[Fee as Printed]],IF(MasterFees[[#This Row],[GST Basis]]="Incl",MasterFees[[#This Row],[Fee as Printed]]/(1+GST_Rate),""))</f>
        <v/>
      </c>
      <c r="N284" s="41" t="str">
        <f>IF(MasterFees[[#This Row],[GST Basis]]="Incl",MasterFees[[#This Row],[Fee as Printed]],IF(MasterFees[[#This Row],[GST Basis]]="Excl",MasterFees[[#This Row],[Fee as Printed]]*(1+GST_Rate),""))</f>
        <v/>
      </c>
      <c r="O284" s="42">
        <f>IF(N(MasterFees[[#This Row],[Total Units]])=0,"",MasterFees[[#This Row],[Fee as Printed]]/MasterFees[[#This Row],[Total Units]])</f>
        <v>54.911290322580641</v>
      </c>
      <c r="P284" s="43"/>
      <c r="Q284" s="46" t="s">
        <v>1013</v>
      </c>
      <c r="R284" s="46" t="s">
        <v>1392</v>
      </c>
      <c r="S284" s="37"/>
    </row>
    <row r="285" spans="1:19" x14ac:dyDescent="0.2">
      <c r="A285" s="36"/>
      <c r="B285" s="38" t="str">
        <f>IF(MasterFees[[#This Row],[RVG Code]]="","",_xlfn.XLOOKUP(MasterFees[[#This Row],[RVG Code]],RVGCodes[Code],RVGCodes[Base Units],"Code not found"))</f>
        <v/>
      </c>
      <c r="C285" s="37" t="s">
        <v>286</v>
      </c>
      <c r="D285" s="44" t="s">
        <v>1108</v>
      </c>
      <c r="E285" s="44"/>
      <c r="F285" s="44" t="s">
        <v>1109</v>
      </c>
      <c r="G285" s="39">
        <v>4</v>
      </c>
      <c r="H285" s="39">
        <v>3</v>
      </c>
      <c r="I285" s="39">
        <v>0</v>
      </c>
      <c r="J285" s="39">
        <v>7</v>
      </c>
      <c r="K285" s="40">
        <v>385</v>
      </c>
      <c r="L285" s="45" t="s">
        <v>1015</v>
      </c>
      <c r="M285" s="41" t="str">
        <f>IF(MasterFees[[#This Row],[GST Basis]]="Excl",MasterFees[[#This Row],[Fee as Printed]],IF(MasterFees[[#This Row],[GST Basis]]="Incl",MasterFees[[#This Row],[Fee as Printed]]/(1+GST_Rate),""))</f>
        <v/>
      </c>
      <c r="N285" s="41" t="str">
        <f>IF(MasterFees[[#This Row],[GST Basis]]="Incl",MasterFees[[#This Row],[Fee as Printed]],IF(MasterFees[[#This Row],[GST Basis]]="Excl",MasterFees[[#This Row],[Fee as Printed]]*(1+GST_Rate),""))</f>
        <v/>
      </c>
      <c r="O285" s="42">
        <f>IF(N(MasterFees[[#This Row],[Total Units]])=0,"",MasterFees[[#This Row],[Fee as Printed]]/MasterFees[[#This Row],[Total Units]])</f>
        <v>55</v>
      </c>
      <c r="P285" s="43"/>
      <c r="Q285" s="46" t="s">
        <v>1013</v>
      </c>
      <c r="R285" s="46" t="s">
        <v>1393</v>
      </c>
      <c r="S285" s="37"/>
    </row>
    <row r="286" spans="1:19" x14ac:dyDescent="0.2">
      <c r="A286" s="36"/>
      <c r="B286" s="38" t="str">
        <f>IF(MasterFees[[#This Row],[RVG Code]]="","",_xlfn.XLOOKUP(MasterFees[[#This Row],[RVG Code]],RVGCodes[Code],RVGCodes[Base Units],"Code not found"))</f>
        <v/>
      </c>
      <c r="C286" s="37" t="s">
        <v>287</v>
      </c>
      <c r="D286" s="44" t="s">
        <v>1108</v>
      </c>
      <c r="E286" s="44"/>
      <c r="F286" s="44" t="s">
        <v>1109</v>
      </c>
      <c r="G286" s="39">
        <v>5.4</v>
      </c>
      <c r="H286" s="39">
        <v>4.8</v>
      </c>
      <c r="I286" s="39">
        <v>0.9</v>
      </c>
      <c r="J286" s="39">
        <v>11.2</v>
      </c>
      <c r="K286" s="40">
        <v>613.25</v>
      </c>
      <c r="L286" s="45" t="s">
        <v>1015</v>
      </c>
      <c r="M286" s="41" t="str">
        <f>IF(MasterFees[[#This Row],[GST Basis]]="Excl",MasterFees[[#This Row],[Fee as Printed]],IF(MasterFees[[#This Row],[GST Basis]]="Incl",MasterFees[[#This Row],[Fee as Printed]]/(1+GST_Rate),""))</f>
        <v/>
      </c>
      <c r="N286" s="41" t="str">
        <f>IF(MasterFees[[#This Row],[GST Basis]]="Incl",MasterFees[[#This Row],[Fee as Printed]],IF(MasterFees[[#This Row],[GST Basis]]="Excl",MasterFees[[#This Row],[Fee as Printed]]*(1+GST_Rate),""))</f>
        <v/>
      </c>
      <c r="O286" s="42">
        <f>IF(N(MasterFees[[#This Row],[Total Units]])=0,"",MasterFees[[#This Row],[Fee as Printed]]/MasterFees[[#This Row],[Total Units]])</f>
        <v>54.754464285714292</v>
      </c>
      <c r="P286" s="43"/>
      <c r="Q286" s="46" t="s">
        <v>1013</v>
      </c>
      <c r="R286" s="46" t="s">
        <v>1394</v>
      </c>
      <c r="S286" s="37"/>
    </row>
    <row r="287" spans="1:19" x14ac:dyDescent="0.2">
      <c r="A287" s="36"/>
      <c r="B287" s="38" t="str">
        <f>IF(MasterFees[[#This Row],[RVG Code]]="","",_xlfn.XLOOKUP(MasterFees[[#This Row],[RVG Code]],RVGCodes[Code],RVGCodes[Base Units],"Code not found"))</f>
        <v/>
      </c>
      <c r="C287" s="37" t="s">
        <v>288</v>
      </c>
      <c r="D287" s="44" t="s">
        <v>1108</v>
      </c>
      <c r="E287" s="44"/>
      <c r="F287" s="44" t="s">
        <v>1109</v>
      </c>
      <c r="G287" s="39">
        <v>5.9</v>
      </c>
      <c r="H287" s="39">
        <v>5.0999999999999996</v>
      </c>
      <c r="I287" s="39">
        <v>0.6</v>
      </c>
      <c r="J287" s="39">
        <v>11.6</v>
      </c>
      <c r="K287" s="40">
        <v>636.9</v>
      </c>
      <c r="L287" s="45" t="s">
        <v>1015</v>
      </c>
      <c r="M287" s="41" t="str">
        <f>IF(MasterFees[[#This Row],[GST Basis]]="Excl",MasterFees[[#This Row],[Fee as Printed]],IF(MasterFees[[#This Row],[GST Basis]]="Incl",MasterFees[[#This Row],[Fee as Printed]]/(1+GST_Rate),""))</f>
        <v/>
      </c>
      <c r="N287" s="41" t="str">
        <f>IF(MasterFees[[#This Row],[GST Basis]]="Incl",MasterFees[[#This Row],[Fee as Printed]],IF(MasterFees[[#This Row],[GST Basis]]="Excl",MasterFees[[#This Row],[Fee as Printed]]*(1+GST_Rate),""))</f>
        <v/>
      </c>
      <c r="O287" s="42">
        <f>IF(N(MasterFees[[#This Row],[Total Units]])=0,"",MasterFees[[#This Row],[Fee as Printed]]/MasterFees[[#This Row],[Total Units]])</f>
        <v>54.905172413793103</v>
      </c>
      <c r="P287" s="43"/>
      <c r="Q287" s="46" t="s">
        <v>1013</v>
      </c>
      <c r="R287" s="46" t="s">
        <v>1395</v>
      </c>
      <c r="S287" s="37"/>
    </row>
    <row r="288" spans="1:19" x14ac:dyDescent="0.2">
      <c r="A288" s="36"/>
      <c r="B288" s="38" t="str">
        <f>IF(MasterFees[[#This Row],[RVG Code]]="","",_xlfn.XLOOKUP(MasterFees[[#This Row],[RVG Code]],RVGCodes[Code],RVGCodes[Base Units],"Code not found"))</f>
        <v/>
      </c>
      <c r="C288" s="37" t="s">
        <v>289</v>
      </c>
      <c r="D288" s="44" t="s">
        <v>1108</v>
      </c>
      <c r="E288" s="44"/>
      <c r="F288" s="44" t="s">
        <v>1109</v>
      </c>
      <c r="G288" s="39">
        <v>5.8</v>
      </c>
      <c r="H288" s="39">
        <v>4.9000000000000004</v>
      </c>
      <c r="I288" s="39">
        <v>0.6</v>
      </c>
      <c r="J288" s="39">
        <v>11.4</v>
      </c>
      <c r="K288" s="40">
        <v>627</v>
      </c>
      <c r="L288" s="45" t="s">
        <v>1015</v>
      </c>
      <c r="M288" s="41" t="str">
        <f>IF(MasterFees[[#This Row],[GST Basis]]="Excl",MasterFees[[#This Row],[Fee as Printed]],IF(MasterFees[[#This Row],[GST Basis]]="Incl",MasterFees[[#This Row],[Fee as Printed]]/(1+GST_Rate),""))</f>
        <v/>
      </c>
      <c r="N288" s="41" t="str">
        <f>IF(MasterFees[[#This Row],[GST Basis]]="Incl",MasterFees[[#This Row],[Fee as Printed]],IF(MasterFees[[#This Row],[GST Basis]]="Excl",MasterFees[[#This Row],[Fee as Printed]]*(1+GST_Rate),""))</f>
        <v/>
      </c>
      <c r="O288" s="42">
        <f>IF(N(MasterFees[[#This Row],[Total Units]])=0,"",MasterFees[[#This Row],[Fee as Printed]]/MasterFees[[#This Row],[Total Units]])</f>
        <v>55</v>
      </c>
      <c r="P288" s="43"/>
      <c r="Q288" s="46" t="s">
        <v>1013</v>
      </c>
      <c r="R288" s="46" t="s">
        <v>1396</v>
      </c>
      <c r="S288" s="37"/>
    </row>
    <row r="289" spans="1:19" x14ac:dyDescent="0.2">
      <c r="A289" s="36"/>
      <c r="B289" s="38" t="str">
        <f>IF(MasterFees[[#This Row],[RVG Code]]="","",_xlfn.XLOOKUP(MasterFees[[#This Row],[RVG Code]],RVGCodes[Code],RVGCodes[Base Units],"Code not found"))</f>
        <v/>
      </c>
      <c r="C289" s="37" t="s">
        <v>290</v>
      </c>
      <c r="D289" s="44" t="s">
        <v>1108</v>
      </c>
      <c r="E289" s="44"/>
      <c r="F289" s="44" t="s">
        <v>1109</v>
      </c>
      <c r="G289" s="39">
        <v>6</v>
      </c>
      <c r="H289" s="39">
        <v>5</v>
      </c>
      <c r="I289" s="39">
        <v>0</v>
      </c>
      <c r="J289" s="39">
        <v>11</v>
      </c>
      <c r="K289" s="40">
        <v>605</v>
      </c>
      <c r="L289" s="45" t="s">
        <v>1015</v>
      </c>
      <c r="M289" s="41" t="str">
        <f>IF(MasterFees[[#This Row],[GST Basis]]="Excl",MasterFees[[#This Row],[Fee as Printed]],IF(MasterFees[[#This Row],[GST Basis]]="Incl",MasterFees[[#This Row],[Fee as Printed]]/(1+GST_Rate),""))</f>
        <v/>
      </c>
      <c r="N289" s="41" t="str">
        <f>IF(MasterFees[[#This Row],[GST Basis]]="Incl",MasterFees[[#This Row],[Fee as Printed]],IF(MasterFees[[#This Row],[GST Basis]]="Excl",MasterFees[[#This Row],[Fee as Printed]]*(1+GST_Rate),""))</f>
        <v/>
      </c>
      <c r="O289" s="42">
        <f>IF(N(MasterFees[[#This Row],[Total Units]])=0,"",MasterFees[[#This Row],[Fee as Printed]]/MasterFees[[#This Row],[Total Units]])</f>
        <v>55</v>
      </c>
      <c r="P289" s="43"/>
      <c r="Q289" s="46" t="s">
        <v>1013</v>
      </c>
      <c r="R289" s="46" t="s">
        <v>1397</v>
      </c>
      <c r="S289" s="37"/>
    </row>
    <row r="290" spans="1:19" x14ac:dyDescent="0.2">
      <c r="A290" s="36"/>
      <c r="B290" s="38" t="str">
        <f>IF(MasterFees[[#This Row],[RVG Code]]="","",_xlfn.XLOOKUP(MasterFees[[#This Row],[RVG Code]],RVGCodes[Code],RVGCodes[Base Units],"Code not found"))</f>
        <v/>
      </c>
      <c r="C290" s="37" t="s">
        <v>291</v>
      </c>
      <c r="D290" s="44" t="s">
        <v>1108</v>
      </c>
      <c r="E290" s="44"/>
      <c r="F290" s="44" t="s">
        <v>1109</v>
      </c>
      <c r="G290" s="39">
        <v>3</v>
      </c>
      <c r="H290" s="39">
        <v>2.1</v>
      </c>
      <c r="I290" s="39">
        <v>0.5</v>
      </c>
      <c r="J290" s="39">
        <v>5.7</v>
      </c>
      <c r="K290" s="40">
        <v>310.75</v>
      </c>
      <c r="L290" s="45" t="s">
        <v>1015</v>
      </c>
      <c r="M290" s="41" t="str">
        <f>IF(MasterFees[[#This Row],[GST Basis]]="Excl",MasterFees[[#This Row],[Fee as Printed]],IF(MasterFees[[#This Row],[GST Basis]]="Incl",MasterFees[[#This Row],[Fee as Printed]]/(1+GST_Rate),""))</f>
        <v/>
      </c>
      <c r="N290" s="41" t="str">
        <f>IF(MasterFees[[#This Row],[GST Basis]]="Incl",MasterFees[[#This Row],[Fee as Printed]],IF(MasterFees[[#This Row],[GST Basis]]="Excl",MasterFees[[#This Row],[Fee as Printed]]*(1+GST_Rate),""))</f>
        <v/>
      </c>
      <c r="O290" s="42">
        <f>IF(N(MasterFees[[#This Row],[Total Units]])=0,"",MasterFees[[#This Row],[Fee as Printed]]/MasterFees[[#This Row],[Total Units]])</f>
        <v>54.517543859649123</v>
      </c>
      <c r="P290" s="43"/>
      <c r="Q290" s="46" t="s">
        <v>1013</v>
      </c>
      <c r="R290" s="46" t="s">
        <v>1398</v>
      </c>
      <c r="S290" s="37"/>
    </row>
    <row r="291" spans="1:19" x14ac:dyDescent="0.2">
      <c r="A291" s="36"/>
      <c r="B291" s="38" t="str">
        <f>IF(MasterFees[[#This Row],[RVG Code]]="","",_xlfn.XLOOKUP(MasterFees[[#This Row],[RVG Code]],RVGCodes[Code],RVGCodes[Base Units],"Code not found"))</f>
        <v/>
      </c>
      <c r="C291" s="37" t="s">
        <v>292</v>
      </c>
      <c r="D291" s="44" t="s">
        <v>1108</v>
      </c>
      <c r="E291" s="44"/>
      <c r="F291" s="44" t="s">
        <v>1109</v>
      </c>
      <c r="G291" s="39">
        <v>3.8</v>
      </c>
      <c r="H291" s="39">
        <v>3</v>
      </c>
      <c r="I291" s="39">
        <v>0</v>
      </c>
      <c r="J291" s="39">
        <v>6.8</v>
      </c>
      <c r="K291" s="40">
        <v>371.25</v>
      </c>
      <c r="L291" s="45" t="s">
        <v>1015</v>
      </c>
      <c r="M291" s="41" t="str">
        <f>IF(MasterFees[[#This Row],[GST Basis]]="Excl",MasterFees[[#This Row],[Fee as Printed]],IF(MasterFees[[#This Row],[GST Basis]]="Incl",MasterFees[[#This Row],[Fee as Printed]]/(1+GST_Rate),""))</f>
        <v/>
      </c>
      <c r="N291" s="41" t="str">
        <f>IF(MasterFees[[#This Row],[GST Basis]]="Incl",MasterFees[[#This Row],[Fee as Printed]],IF(MasterFees[[#This Row],[GST Basis]]="Excl",MasterFees[[#This Row],[Fee as Printed]]*(1+GST_Rate),""))</f>
        <v/>
      </c>
      <c r="O291" s="42">
        <f>IF(N(MasterFees[[#This Row],[Total Units]])=0,"",MasterFees[[#This Row],[Fee as Printed]]/MasterFees[[#This Row],[Total Units]])</f>
        <v>54.595588235294116</v>
      </c>
      <c r="P291" s="43"/>
      <c r="Q291" s="46" t="s">
        <v>1013</v>
      </c>
      <c r="R291" s="46" t="s">
        <v>1399</v>
      </c>
      <c r="S291" s="37"/>
    </row>
    <row r="292" spans="1:19" x14ac:dyDescent="0.2">
      <c r="A292" s="36"/>
      <c r="B292" s="38" t="str">
        <f>IF(MasterFees[[#This Row],[RVG Code]]="","",_xlfn.XLOOKUP(MasterFees[[#This Row],[RVG Code]],RVGCodes[Code],RVGCodes[Base Units],"Code not found"))</f>
        <v/>
      </c>
      <c r="C292" s="37" t="s">
        <v>293</v>
      </c>
      <c r="D292" s="44" t="s">
        <v>1108</v>
      </c>
      <c r="E292" s="44"/>
      <c r="F292" s="44" t="s">
        <v>1109</v>
      </c>
      <c r="G292" s="39">
        <v>4.7</v>
      </c>
      <c r="H292" s="39">
        <v>3.7</v>
      </c>
      <c r="I292" s="39">
        <v>0</v>
      </c>
      <c r="J292" s="39">
        <v>8.3000000000000007</v>
      </c>
      <c r="K292" s="40">
        <v>457.6</v>
      </c>
      <c r="L292" s="45" t="s">
        <v>1015</v>
      </c>
      <c r="M292" s="41" t="str">
        <f>IF(MasterFees[[#This Row],[GST Basis]]="Excl",MasterFees[[#This Row],[Fee as Printed]],IF(MasterFees[[#This Row],[GST Basis]]="Incl",MasterFees[[#This Row],[Fee as Printed]]/(1+GST_Rate),""))</f>
        <v/>
      </c>
      <c r="N292" s="41" t="str">
        <f>IF(MasterFees[[#This Row],[GST Basis]]="Incl",MasterFees[[#This Row],[Fee as Printed]],IF(MasterFees[[#This Row],[GST Basis]]="Excl",MasterFees[[#This Row],[Fee as Printed]]*(1+GST_Rate),""))</f>
        <v/>
      </c>
      <c r="O292" s="42">
        <f>IF(N(MasterFees[[#This Row],[Total Units]])=0,"",MasterFees[[#This Row],[Fee as Printed]]/MasterFees[[#This Row],[Total Units]])</f>
        <v>55.132530120481924</v>
      </c>
      <c r="P292" s="43"/>
      <c r="Q292" s="46" t="s">
        <v>1013</v>
      </c>
      <c r="R292" s="46" t="s">
        <v>1400</v>
      </c>
      <c r="S292" s="37"/>
    </row>
    <row r="293" spans="1:19" x14ac:dyDescent="0.2">
      <c r="A293" s="36"/>
      <c r="B293" s="38" t="str">
        <f>IF(MasterFees[[#This Row],[RVG Code]]="","",_xlfn.XLOOKUP(MasterFees[[#This Row],[RVG Code]],RVGCodes[Code],RVGCodes[Base Units],"Code not found"))</f>
        <v/>
      </c>
      <c r="C293" s="37" t="s">
        <v>294</v>
      </c>
      <c r="D293" s="44" t="s">
        <v>1108</v>
      </c>
      <c r="E293" s="44"/>
      <c r="F293" s="44" t="s">
        <v>1109</v>
      </c>
      <c r="G293" s="39">
        <v>3.7</v>
      </c>
      <c r="H293" s="39">
        <v>2.5</v>
      </c>
      <c r="I293" s="39">
        <v>0</v>
      </c>
      <c r="J293" s="39">
        <v>6.2</v>
      </c>
      <c r="K293" s="40">
        <v>338.8</v>
      </c>
      <c r="L293" s="45" t="s">
        <v>1015</v>
      </c>
      <c r="M293" s="41" t="str">
        <f>IF(MasterFees[[#This Row],[GST Basis]]="Excl",MasterFees[[#This Row],[Fee as Printed]],IF(MasterFees[[#This Row],[GST Basis]]="Incl",MasterFees[[#This Row],[Fee as Printed]]/(1+GST_Rate),""))</f>
        <v/>
      </c>
      <c r="N293" s="41" t="str">
        <f>IF(MasterFees[[#This Row],[GST Basis]]="Incl",MasterFees[[#This Row],[Fee as Printed]],IF(MasterFees[[#This Row],[GST Basis]]="Excl",MasterFees[[#This Row],[Fee as Printed]]*(1+GST_Rate),""))</f>
        <v/>
      </c>
      <c r="O293" s="42">
        <f>IF(N(MasterFees[[#This Row],[Total Units]])=0,"",MasterFees[[#This Row],[Fee as Printed]]/MasterFees[[#This Row],[Total Units]])</f>
        <v>54.645161290322584</v>
      </c>
      <c r="P293" s="43"/>
      <c r="Q293" s="46" t="s">
        <v>1013</v>
      </c>
      <c r="R293" s="46" t="s">
        <v>1401</v>
      </c>
      <c r="S293" s="37"/>
    </row>
    <row r="294" spans="1:19" x14ac:dyDescent="0.2">
      <c r="A294" s="36"/>
      <c r="B294" s="38" t="str">
        <f>IF(MasterFees[[#This Row],[RVG Code]]="","",_xlfn.XLOOKUP(MasterFees[[#This Row],[RVG Code]],RVGCodes[Code],RVGCodes[Base Units],"Code not found"))</f>
        <v/>
      </c>
      <c r="C294" s="37" t="s">
        <v>295</v>
      </c>
      <c r="D294" s="44" t="s">
        <v>1108</v>
      </c>
      <c r="E294" s="44"/>
      <c r="F294" s="44" t="s">
        <v>1109</v>
      </c>
      <c r="G294" s="39">
        <v>4</v>
      </c>
      <c r="H294" s="39">
        <v>3</v>
      </c>
      <c r="I294" s="39">
        <v>0</v>
      </c>
      <c r="J294" s="39">
        <v>7</v>
      </c>
      <c r="K294" s="40">
        <v>385</v>
      </c>
      <c r="L294" s="45" t="s">
        <v>1015</v>
      </c>
      <c r="M294" s="41" t="str">
        <f>IF(MasterFees[[#This Row],[GST Basis]]="Excl",MasterFees[[#This Row],[Fee as Printed]],IF(MasterFees[[#This Row],[GST Basis]]="Incl",MasterFees[[#This Row],[Fee as Printed]]/(1+GST_Rate),""))</f>
        <v/>
      </c>
      <c r="N294" s="41" t="str">
        <f>IF(MasterFees[[#This Row],[GST Basis]]="Incl",MasterFees[[#This Row],[Fee as Printed]],IF(MasterFees[[#This Row],[GST Basis]]="Excl",MasterFees[[#This Row],[Fee as Printed]]*(1+GST_Rate),""))</f>
        <v/>
      </c>
      <c r="O294" s="42">
        <f>IF(N(MasterFees[[#This Row],[Total Units]])=0,"",MasterFees[[#This Row],[Fee as Printed]]/MasterFees[[#This Row],[Total Units]])</f>
        <v>55</v>
      </c>
      <c r="P294" s="43"/>
      <c r="Q294" s="46" t="s">
        <v>1013</v>
      </c>
      <c r="R294" s="46" t="s">
        <v>1402</v>
      </c>
      <c r="S294" s="37"/>
    </row>
    <row r="295" spans="1:19" x14ac:dyDescent="0.2">
      <c r="A295" s="36"/>
      <c r="B295" s="38" t="str">
        <f>IF(MasterFees[[#This Row],[RVG Code]]="","",_xlfn.XLOOKUP(MasterFees[[#This Row],[RVG Code]],RVGCodes[Code],RVGCodes[Base Units],"Code not found"))</f>
        <v/>
      </c>
      <c r="C295" s="37" t="s">
        <v>296</v>
      </c>
      <c r="D295" s="44" t="s">
        <v>1108</v>
      </c>
      <c r="E295" s="44"/>
      <c r="F295" s="44" t="s">
        <v>1109</v>
      </c>
      <c r="G295" s="39">
        <v>2.2999999999999998</v>
      </c>
      <c r="H295" s="39">
        <v>1.6</v>
      </c>
      <c r="I295" s="39">
        <v>0</v>
      </c>
      <c r="J295" s="39">
        <v>3.9</v>
      </c>
      <c r="K295" s="40">
        <v>211.75</v>
      </c>
      <c r="L295" s="45" t="s">
        <v>1015</v>
      </c>
      <c r="M295" s="41" t="str">
        <f>IF(MasterFees[[#This Row],[GST Basis]]="Excl",MasterFees[[#This Row],[Fee as Printed]],IF(MasterFees[[#This Row],[GST Basis]]="Incl",MasterFees[[#This Row],[Fee as Printed]]/(1+GST_Rate),""))</f>
        <v/>
      </c>
      <c r="N295" s="41" t="str">
        <f>IF(MasterFees[[#This Row],[GST Basis]]="Incl",MasterFees[[#This Row],[Fee as Printed]],IF(MasterFees[[#This Row],[GST Basis]]="Excl",MasterFees[[#This Row],[Fee as Printed]]*(1+GST_Rate),""))</f>
        <v/>
      </c>
      <c r="O295" s="42">
        <f>IF(N(MasterFees[[#This Row],[Total Units]])=0,"",MasterFees[[#This Row],[Fee as Printed]]/MasterFees[[#This Row],[Total Units]])</f>
        <v>54.294871794871796</v>
      </c>
      <c r="P295" s="43"/>
      <c r="Q295" s="46" t="s">
        <v>1013</v>
      </c>
      <c r="R295" s="46" t="s">
        <v>1403</v>
      </c>
      <c r="S295" s="37"/>
    </row>
    <row r="296" spans="1:19" x14ac:dyDescent="0.2">
      <c r="A296" s="36"/>
      <c r="B296" s="38" t="str">
        <f>IF(MasterFees[[#This Row],[RVG Code]]="","",_xlfn.XLOOKUP(MasterFees[[#This Row],[RVG Code]],RVGCodes[Code],RVGCodes[Base Units],"Code not found"))</f>
        <v/>
      </c>
      <c r="C296" s="37" t="s">
        <v>297</v>
      </c>
      <c r="D296" s="44" t="s">
        <v>1108</v>
      </c>
      <c r="E296" s="44"/>
      <c r="F296" s="44" t="s">
        <v>1109</v>
      </c>
      <c r="G296" s="39">
        <v>5</v>
      </c>
      <c r="H296" s="39">
        <v>3</v>
      </c>
      <c r="I296" s="39">
        <v>0</v>
      </c>
      <c r="J296" s="39">
        <v>8</v>
      </c>
      <c r="K296" s="40">
        <v>440</v>
      </c>
      <c r="L296" s="45" t="s">
        <v>1015</v>
      </c>
      <c r="M296" s="41" t="str">
        <f>IF(MasterFees[[#This Row],[GST Basis]]="Excl",MasterFees[[#This Row],[Fee as Printed]],IF(MasterFees[[#This Row],[GST Basis]]="Incl",MasterFees[[#This Row],[Fee as Printed]]/(1+GST_Rate),""))</f>
        <v/>
      </c>
      <c r="N296" s="41" t="str">
        <f>IF(MasterFees[[#This Row],[GST Basis]]="Incl",MasterFees[[#This Row],[Fee as Printed]],IF(MasterFees[[#This Row],[GST Basis]]="Excl",MasterFees[[#This Row],[Fee as Printed]]*(1+GST_Rate),""))</f>
        <v/>
      </c>
      <c r="O296" s="42">
        <f>IF(N(MasterFees[[#This Row],[Total Units]])=0,"",MasterFees[[#This Row],[Fee as Printed]]/MasterFees[[#This Row],[Total Units]])</f>
        <v>55</v>
      </c>
      <c r="P296" s="43"/>
      <c r="Q296" s="46" t="s">
        <v>1013</v>
      </c>
      <c r="R296" s="46" t="s">
        <v>1404</v>
      </c>
      <c r="S296" s="37"/>
    </row>
    <row r="297" spans="1:19" x14ac:dyDescent="0.2">
      <c r="A297" s="36"/>
      <c r="B297" s="38" t="str">
        <f>IF(MasterFees[[#This Row],[RVG Code]]="","",_xlfn.XLOOKUP(MasterFees[[#This Row],[RVG Code]],RVGCodes[Code],RVGCodes[Base Units],"Code not found"))</f>
        <v/>
      </c>
      <c r="C297" s="37" t="s">
        <v>298</v>
      </c>
      <c r="D297" s="44" t="s">
        <v>1108</v>
      </c>
      <c r="E297" s="44"/>
      <c r="F297" s="44" t="s">
        <v>1109</v>
      </c>
      <c r="G297" s="39">
        <v>4</v>
      </c>
      <c r="H297" s="39">
        <v>4</v>
      </c>
      <c r="I297" s="39">
        <v>2</v>
      </c>
      <c r="J297" s="39">
        <v>10</v>
      </c>
      <c r="K297" s="40">
        <v>550</v>
      </c>
      <c r="L297" s="45" t="s">
        <v>1015</v>
      </c>
      <c r="M297" s="41" t="str">
        <f>IF(MasterFees[[#This Row],[GST Basis]]="Excl",MasterFees[[#This Row],[Fee as Printed]],IF(MasterFees[[#This Row],[GST Basis]]="Incl",MasterFees[[#This Row],[Fee as Printed]]/(1+GST_Rate),""))</f>
        <v/>
      </c>
      <c r="N297" s="41" t="str">
        <f>IF(MasterFees[[#This Row],[GST Basis]]="Incl",MasterFees[[#This Row],[Fee as Printed]],IF(MasterFees[[#This Row],[GST Basis]]="Excl",MasterFees[[#This Row],[Fee as Printed]]*(1+GST_Rate),""))</f>
        <v/>
      </c>
      <c r="O297" s="42">
        <f>IF(N(MasterFees[[#This Row],[Total Units]])=0,"",MasterFees[[#This Row],[Fee as Printed]]/MasterFees[[#This Row],[Total Units]])</f>
        <v>55</v>
      </c>
      <c r="P297" s="43"/>
      <c r="Q297" s="46" t="s">
        <v>1013</v>
      </c>
      <c r="R297" s="46" t="s">
        <v>1405</v>
      </c>
      <c r="S297" s="37"/>
    </row>
    <row r="298" spans="1:19" x14ac:dyDescent="0.2">
      <c r="A298" s="36"/>
      <c r="B298" s="38" t="str">
        <f>IF(MasterFees[[#This Row],[RVG Code]]="","",_xlfn.XLOOKUP(MasterFees[[#This Row],[RVG Code]],RVGCodes[Code],RVGCodes[Base Units],"Code not found"))</f>
        <v/>
      </c>
      <c r="C298" s="37" t="s">
        <v>299</v>
      </c>
      <c r="D298" s="44" t="s">
        <v>1108</v>
      </c>
      <c r="E298" s="44"/>
      <c r="F298" s="44" t="s">
        <v>1109</v>
      </c>
      <c r="G298" s="39">
        <v>4</v>
      </c>
      <c r="H298" s="39">
        <v>2.7</v>
      </c>
      <c r="I298" s="39">
        <v>0.8</v>
      </c>
      <c r="J298" s="39">
        <v>7.5</v>
      </c>
      <c r="K298" s="40">
        <v>411.95</v>
      </c>
      <c r="L298" s="45" t="s">
        <v>1015</v>
      </c>
      <c r="M298" s="41" t="str">
        <f>IF(MasterFees[[#This Row],[GST Basis]]="Excl",MasterFees[[#This Row],[Fee as Printed]],IF(MasterFees[[#This Row],[GST Basis]]="Incl",MasterFees[[#This Row],[Fee as Printed]]/(1+GST_Rate),""))</f>
        <v/>
      </c>
      <c r="N298" s="41" t="str">
        <f>IF(MasterFees[[#This Row],[GST Basis]]="Incl",MasterFees[[#This Row],[Fee as Printed]],IF(MasterFees[[#This Row],[GST Basis]]="Excl",MasterFees[[#This Row],[Fee as Printed]]*(1+GST_Rate),""))</f>
        <v/>
      </c>
      <c r="O298" s="42">
        <f>IF(N(MasterFees[[#This Row],[Total Units]])=0,"",MasterFees[[#This Row],[Fee as Printed]]/MasterFees[[#This Row],[Total Units]])</f>
        <v>54.926666666666662</v>
      </c>
      <c r="P298" s="43"/>
      <c r="Q298" s="46" t="s">
        <v>1013</v>
      </c>
      <c r="R298" s="46" t="s">
        <v>1406</v>
      </c>
      <c r="S298" s="37"/>
    </row>
    <row r="299" spans="1:19" x14ac:dyDescent="0.2">
      <c r="A299" s="36"/>
      <c r="B299" s="38" t="str">
        <f>IF(MasterFees[[#This Row],[RVG Code]]="","",_xlfn.XLOOKUP(MasterFees[[#This Row],[RVG Code]],RVGCodes[Code],RVGCodes[Base Units],"Code not found"))</f>
        <v/>
      </c>
      <c r="C299" s="37" t="s">
        <v>300</v>
      </c>
      <c r="D299" s="44" t="s">
        <v>1108</v>
      </c>
      <c r="E299" s="44"/>
      <c r="F299" s="44" t="s">
        <v>1109</v>
      </c>
      <c r="G299" s="39">
        <v>0</v>
      </c>
      <c r="H299" s="39">
        <v>1</v>
      </c>
      <c r="I299" s="39">
        <v>0</v>
      </c>
      <c r="J299" s="39">
        <v>1</v>
      </c>
      <c r="K299" s="40">
        <v>55</v>
      </c>
      <c r="L299" s="45" t="s">
        <v>1015</v>
      </c>
      <c r="M299" s="41" t="str">
        <f>IF(MasterFees[[#This Row],[GST Basis]]="Excl",MasterFees[[#This Row],[Fee as Printed]],IF(MasterFees[[#This Row],[GST Basis]]="Incl",MasterFees[[#This Row],[Fee as Printed]]/(1+GST_Rate),""))</f>
        <v/>
      </c>
      <c r="N299" s="41" t="str">
        <f>IF(MasterFees[[#This Row],[GST Basis]]="Incl",MasterFees[[#This Row],[Fee as Printed]],IF(MasterFees[[#This Row],[GST Basis]]="Excl",MasterFees[[#This Row],[Fee as Printed]]*(1+GST_Rate),""))</f>
        <v/>
      </c>
      <c r="O299" s="42">
        <f>IF(N(MasterFees[[#This Row],[Total Units]])=0,"",MasterFees[[#This Row],[Fee as Printed]]/MasterFees[[#This Row],[Total Units]])</f>
        <v>55</v>
      </c>
      <c r="P299" s="43"/>
      <c r="Q299" s="46" t="s">
        <v>1013</v>
      </c>
      <c r="R299" s="46" t="s">
        <v>1407</v>
      </c>
      <c r="S299" s="37"/>
    </row>
    <row r="300" spans="1:19" x14ac:dyDescent="0.2">
      <c r="A300" s="36"/>
      <c r="B300" s="38" t="str">
        <f>IF(MasterFees[[#This Row],[RVG Code]]="","",_xlfn.XLOOKUP(MasterFees[[#This Row],[RVG Code]],RVGCodes[Code],RVGCodes[Base Units],"Code not found"))</f>
        <v/>
      </c>
      <c r="C300" s="37" t="s">
        <v>301</v>
      </c>
      <c r="D300" s="44" t="s">
        <v>1108</v>
      </c>
      <c r="E300" s="44"/>
      <c r="F300" s="44" t="s">
        <v>1109</v>
      </c>
      <c r="G300" s="39">
        <v>0</v>
      </c>
      <c r="H300" s="39">
        <v>1</v>
      </c>
      <c r="I300" s="39">
        <v>0</v>
      </c>
      <c r="J300" s="39">
        <v>1</v>
      </c>
      <c r="K300" s="40">
        <v>55</v>
      </c>
      <c r="L300" s="45" t="s">
        <v>1015</v>
      </c>
      <c r="M300" s="41" t="str">
        <f>IF(MasterFees[[#This Row],[GST Basis]]="Excl",MasterFees[[#This Row],[Fee as Printed]],IF(MasterFees[[#This Row],[GST Basis]]="Incl",MasterFees[[#This Row],[Fee as Printed]]/(1+GST_Rate),""))</f>
        <v/>
      </c>
      <c r="N300" s="41" t="str">
        <f>IF(MasterFees[[#This Row],[GST Basis]]="Incl",MasterFees[[#This Row],[Fee as Printed]],IF(MasterFees[[#This Row],[GST Basis]]="Excl",MasterFees[[#This Row],[Fee as Printed]]*(1+GST_Rate),""))</f>
        <v/>
      </c>
      <c r="O300" s="42">
        <f>IF(N(MasterFees[[#This Row],[Total Units]])=0,"",MasterFees[[#This Row],[Fee as Printed]]/MasterFees[[#This Row],[Total Units]])</f>
        <v>55</v>
      </c>
      <c r="P300" s="43"/>
      <c r="Q300" s="46" t="s">
        <v>1013</v>
      </c>
      <c r="R300" s="46" t="s">
        <v>1408</v>
      </c>
      <c r="S300" s="37"/>
    </row>
    <row r="301" spans="1:19" x14ac:dyDescent="0.2">
      <c r="A301" s="36"/>
      <c r="B301" s="38" t="str">
        <f>IF(MasterFees[[#This Row],[RVG Code]]="","",_xlfn.XLOOKUP(MasterFees[[#This Row],[RVG Code]],RVGCodes[Code],RVGCodes[Base Units],"Code not found"))</f>
        <v/>
      </c>
      <c r="C301" s="37" t="s">
        <v>302</v>
      </c>
      <c r="D301" s="44" t="s">
        <v>1108</v>
      </c>
      <c r="E301" s="44"/>
      <c r="F301" s="44" t="s">
        <v>1109</v>
      </c>
      <c r="G301" s="39">
        <v>4</v>
      </c>
      <c r="H301" s="39">
        <v>3.7</v>
      </c>
      <c r="I301" s="39">
        <v>1</v>
      </c>
      <c r="J301" s="39">
        <v>8.6999999999999993</v>
      </c>
      <c r="K301" s="40">
        <v>476.3</v>
      </c>
      <c r="L301" s="45" t="s">
        <v>1015</v>
      </c>
      <c r="M301" s="41" t="str">
        <f>IF(MasterFees[[#This Row],[GST Basis]]="Excl",MasterFees[[#This Row],[Fee as Printed]],IF(MasterFees[[#This Row],[GST Basis]]="Incl",MasterFees[[#This Row],[Fee as Printed]]/(1+GST_Rate),""))</f>
        <v/>
      </c>
      <c r="N301" s="41" t="str">
        <f>IF(MasterFees[[#This Row],[GST Basis]]="Incl",MasterFees[[#This Row],[Fee as Printed]],IF(MasterFees[[#This Row],[GST Basis]]="Excl",MasterFees[[#This Row],[Fee as Printed]]*(1+GST_Rate),""))</f>
        <v/>
      </c>
      <c r="O301" s="42">
        <f>IF(N(MasterFees[[#This Row],[Total Units]])=0,"",MasterFees[[#This Row],[Fee as Printed]]/MasterFees[[#This Row],[Total Units]])</f>
        <v>54.747126436781613</v>
      </c>
      <c r="P301" s="43"/>
      <c r="Q301" s="46" t="s">
        <v>1013</v>
      </c>
      <c r="R301" s="46" t="s">
        <v>1409</v>
      </c>
      <c r="S301" s="37"/>
    </row>
    <row r="302" spans="1:19" x14ac:dyDescent="0.2">
      <c r="A302" s="36"/>
      <c r="B302" s="38" t="str">
        <f>IF(MasterFees[[#This Row],[RVG Code]]="","",_xlfn.XLOOKUP(MasterFees[[#This Row],[RVG Code]],RVGCodes[Code],RVGCodes[Base Units],"Code not found"))</f>
        <v/>
      </c>
      <c r="C302" s="37" t="s">
        <v>303</v>
      </c>
      <c r="D302" s="44" t="s">
        <v>1108</v>
      </c>
      <c r="E302" s="44"/>
      <c r="F302" s="44" t="s">
        <v>1109</v>
      </c>
      <c r="G302" s="39">
        <v>3.7</v>
      </c>
      <c r="H302" s="39">
        <v>2.1</v>
      </c>
      <c r="I302" s="39">
        <v>0.1</v>
      </c>
      <c r="J302" s="39">
        <v>5.8</v>
      </c>
      <c r="K302" s="40">
        <v>320.64999999999998</v>
      </c>
      <c r="L302" s="45" t="s">
        <v>1015</v>
      </c>
      <c r="M302" s="41" t="str">
        <f>IF(MasterFees[[#This Row],[GST Basis]]="Excl",MasterFees[[#This Row],[Fee as Printed]],IF(MasterFees[[#This Row],[GST Basis]]="Incl",MasterFees[[#This Row],[Fee as Printed]]/(1+GST_Rate),""))</f>
        <v/>
      </c>
      <c r="N302" s="41" t="str">
        <f>IF(MasterFees[[#This Row],[GST Basis]]="Incl",MasterFees[[#This Row],[Fee as Printed]],IF(MasterFees[[#This Row],[GST Basis]]="Excl",MasterFees[[#This Row],[Fee as Printed]]*(1+GST_Rate),""))</f>
        <v/>
      </c>
      <c r="O302" s="42">
        <f>IF(N(MasterFees[[#This Row],[Total Units]])=0,"",MasterFees[[#This Row],[Fee as Printed]]/MasterFees[[#This Row],[Total Units]])</f>
        <v>55.28448275862069</v>
      </c>
      <c r="P302" s="43"/>
      <c r="Q302" s="46" t="s">
        <v>1013</v>
      </c>
      <c r="R302" s="46" t="s">
        <v>1410</v>
      </c>
      <c r="S302" s="37"/>
    </row>
    <row r="303" spans="1:19" x14ac:dyDescent="0.2">
      <c r="A303" s="36"/>
      <c r="B303" s="38" t="str">
        <f>IF(MasterFees[[#This Row],[RVG Code]]="","",_xlfn.XLOOKUP(MasterFees[[#This Row],[RVG Code]],RVGCodes[Code],RVGCodes[Base Units],"Code not found"))</f>
        <v/>
      </c>
      <c r="C303" s="37" t="s">
        <v>304</v>
      </c>
      <c r="D303" s="44" t="s">
        <v>1108</v>
      </c>
      <c r="E303" s="44"/>
      <c r="F303" s="44" t="s">
        <v>1109</v>
      </c>
      <c r="G303" s="39">
        <v>4</v>
      </c>
      <c r="H303" s="39">
        <v>6</v>
      </c>
      <c r="I303" s="39">
        <v>3</v>
      </c>
      <c r="J303" s="39">
        <v>13</v>
      </c>
      <c r="K303" s="40">
        <v>715</v>
      </c>
      <c r="L303" s="45" t="s">
        <v>1015</v>
      </c>
      <c r="M303" s="41" t="str">
        <f>IF(MasterFees[[#This Row],[GST Basis]]="Excl",MasterFees[[#This Row],[Fee as Printed]],IF(MasterFees[[#This Row],[GST Basis]]="Incl",MasterFees[[#This Row],[Fee as Printed]]/(1+GST_Rate),""))</f>
        <v/>
      </c>
      <c r="N303" s="41" t="str">
        <f>IF(MasterFees[[#This Row],[GST Basis]]="Incl",MasterFees[[#This Row],[Fee as Printed]],IF(MasterFees[[#This Row],[GST Basis]]="Excl",MasterFees[[#This Row],[Fee as Printed]]*(1+GST_Rate),""))</f>
        <v/>
      </c>
      <c r="O303" s="42">
        <f>IF(N(MasterFees[[#This Row],[Total Units]])=0,"",MasterFees[[#This Row],[Fee as Printed]]/MasterFees[[#This Row],[Total Units]])</f>
        <v>55</v>
      </c>
      <c r="P303" s="43"/>
      <c r="Q303" s="46" t="s">
        <v>1013</v>
      </c>
      <c r="R303" s="46" t="s">
        <v>1411</v>
      </c>
      <c r="S303" s="37"/>
    </row>
    <row r="304" spans="1:19" x14ac:dyDescent="0.2">
      <c r="A304" s="36"/>
      <c r="B304" s="38" t="str">
        <f>IF(MasterFees[[#This Row],[RVG Code]]="","",_xlfn.XLOOKUP(MasterFees[[#This Row],[RVG Code]],RVGCodes[Code],RVGCodes[Base Units],"Code not found"))</f>
        <v/>
      </c>
      <c r="C304" s="37" t="s">
        <v>305</v>
      </c>
      <c r="D304" s="44" t="s">
        <v>1108</v>
      </c>
      <c r="E304" s="44"/>
      <c r="F304" s="44" t="s">
        <v>1109</v>
      </c>
      <c r="G304" s="39">
        <v>5</v>
      </c>
      <c r="H304" s="39">
        <v>5</v>
      </c>
      <c r="I304" s="39">
        <v>1</v>
      </c>
      <c r="J304" s="39">
        <v>11</v>
      </c>
      <c r="K304" s="40">
        <v>605</v>
      </c>
      <c r="L304" s="45" t="s">
        <v>1015</v>
      </c>
      <c r="M304" s="41" t="str">
        <f>IF(MasterFees[[#This Row],[GST Basis]]="Excl",MasterFees[[#This Row],[Fee as Printed]],IF(MasterFees[[#This Row],[GST Basis]]="Incl",MasterFees[[#This Row],[Fee as Printed]]/(1+GST_Rate),""))</f>
        <v/>
      </c>
      <c r="N304" s="41" t="str">
        <f>IF(MasterFees[[#This Row],[GST Basis]]="Incl",MasterFees[[#This Row],[Fee as Printed]],IF(MasterFees[[#This Row],[GST Basis]]="Excl",MasterFees[[#This Row],[Fee as Printed]]*(1+GST_Rate),""))</f>
        <v/>
      </c>
      <c r="O304" s="42">
        <f>IF(N(MasterFees[[#This Row],[Total Units]])=0,"",MasterFees[[#This Row],[Fee as Printed]]/MasterFees[[#This Row],[Total Units]])</f>
        <v>55</v>
      </c>
      <c r="P304" s="43"/>
      <c r="Q304" s="46" t="s">
        <v>1013</v>
      </c>
      <c r="R304" s="46" t="s">
        <v>1412</v>
      </c>
      <c r="S304" s="37"/>
    </row>
    <row r="305" spans="1:19" x14ac:dyDescent="0.2">
      <c r="A305" s="36"/>
      <c r="B305" s="38" t="str">
        <f>IF(MasterFees[[#This Row],[RVG Code]]="","",_xlfn.XLOOKUP(MasterFees[[#This Row],[RVG Code]],RVGCodes[Code],RVGCodes[Base Units],"Code not found"))</f>
        <v/>
      </c>
      <c r="C305" s="37" t="s">
        <v>306</v>
      </c>
      <c r="D305" s="44" t="s">
        <v>1108</v>
      </c>
      <c r="E305" s="44"/>
      <c r="F305" s="44" t="s">
        <v>1109</v>
      </c>
      <c r="G305" s="39">
        <v>4</v>
      </c>
      <c r="H305" s="39">
        <v>3</v>
      </c>
      <c r="I305" s="39">
        <v>0.5</v>
      </c>
      <c r="J305" s="39">
        <v>7.5</v>
      </c>
      <c r="K305" s="40">
        <v>412.5</v>
      </c>
      <c r="L305" s="45" t="s">
        <v>1015</v>
      </c>
      <c r="M305" s="41" t="str">
        <f>IF(MasterFees[[#This Row],[GST Basis]]="Excl",MasterFees[[#This Row],[Fee as Printed]],IF(MasterFees[[#This Row],[GST Basis]]="Incl",MasterFees[[#This Row],[Fee as Printed]]/(1+GST_Rate),""))</f>
        <v/>
      </c>
      <c r="N305" s="41" t="str">
        <f>IF(MasterFees[[#This Row],[GST Basis]]="Incl",MasterFees[[#This Row],[Fee as Printed]],IF(MasterFees[[#This Row],[GST Basis]]="Excl",MasterFees[[#This Row],[Fee as Printed]]*(1+GST_Rate),""))</f>
        <v/>
      </c>
      <c r="O305" s="42">
        <f>IF(N(MasterFees[[#This Row],[Total Units]])=0,"",MasterFees[[#This Row],[Fee as Printed]]/MasterFees[[#This Row],[Total Units]])</f>
        <v>55</v>
      </c>
      <c r="P305" s="43"/>
      <c r="Q305" s="46" t="s">
        <v>1013</v>
      </c>
      <c r="R305" s="46" t="s">
        <v>1413</v>
      </c>
      <c r="S305" s="37"/>
    </row>
    <row r="306" spans="1:19" x14ac:dyDescent="0.2">
      <c r="A306" s="36"/>
      <c r="B306" s="38" t="str">
        <f>IF(MasterFees[[#This Row],[RVG Code]]="","",_xlfn.XLOOKUP(MasterFees[[#This Row],[RVG Code]],RVGCodes[Code],RVGCodes[Base Units],"Code not found"))</f>
        <v/>
      </c>
      <c r="C306" s="37" t="s">
        <v>307</v>
      </c>
      <c r="D306" s="44" t="s">
        <v>1108</v>
      </c>
      <c r="E306" s="44"/>
      <c r="F306" s="44" t="s">
        <v>1109</v>
      </c>
      <c r="G306" s="39">
        <v>4</v>
      </c>
      <c r="H306" s="39">
        <v>4</v>
      </c>
      <c r="I306" s="39">
        <v>0</v>
      </c>
      <c r="J306" s="39">
        <v>8</v>
      </c>
      <c r="K306" s="40">
        <v>440</v>
      </c>
      <c r="L306" s="45" t="s">
        <v>1015</v>
      </c>
      <c r="M306" s="41" t="str">
        <f>IF(MasterFees[[#This Row],[GST Basis]]="Excl",MasterFees[[#This Row],[Fee as Printed]],IF(MasterFees[[#This Row],[GST Basis]]="Incl",MasterFees[[#This Row],[Fee as Printed]]/(1+GST_Rate),""))</f>
        <v/>
      </c>
      <c r="N306" s="41" t="str">
        <f>IF(MasterFees[[#This Row],[GST Basis]]="Incl",MasterFees[[#This Row],[Fee as Printed]],IF(MasterFees[[#This Row],[GST Basis]]="Excl",MasterFees[[#This Row],[Fee as Printed]]*(1+GST_Rate),""))</f>
        <v/>
      </c>
      <c r="O306" s="42">
        <f>IF(N(MasterFees[[#This Row],[Total Units]])=0,"",MasterFees[[#This Row],[Fee as Printed]]/MasterFees[[#This Row],[Total Units]])</f>
        <v>55</v>
      </c>
      <c r="P306" s="43"/>
      <c r="Q306" s="46" t="s">
        <v>1013</v>
      </c>
      <c r="R306" s="46" t="s">
        <v>1414</v>
      </c>
      <c r="S306" s="37"/>
    </row>
    <row r="307" spans="1:19" x14ac:dyDescent="0.2">
      <c r="A307" s="36"/>
      <c r="B307" s="38" t="str">
        <f>IF(MasterFees[[#This Row],[RVG Code]]="","",_xlfn.XLOOKUP(MasterFees[[#This Row],[RVG Code]],RVGCodes[Code],RVGCodes[Base Units],"Code not found"))</f>
        <v/>
      </c>
      <c r="C307" s="37" t="s">
        <v>308</v>
      </c>
      <c r="D307" s="44" t="s">
        <v>1108</v>
      </c>
      <c r="E307" s="44"/>
      <c r="F307" s="44" t="s">
        <v>1109</v>
      </c>
      <c r="G307" s="39">
        <v>4</v>
      </c>
      <c r="H307" s="39">
        <v>2.9</v>
      </c>
      <c r="I307" s="39">
        <v>0.5</v>
      </c>
      <c r="J307" s="39">
        <v>7.4</v>
      </c>
      <c r="K307" s="40">
        <v>408.65</v>
      </c>
      <c r="L307" s="45" t="s">
        <v>1015</v>
      </c>
      <c r="M307" s="41" t="str">
        <f>IF(MasterFees[[#This Row],[GST Basis]]="Excl",MasterFees[[#This Row],[Fee as Printed]],IF(MasterFees[[#This Row],[GST Basis]]="Incl",MasterFees[[#This Row],[Fee as Printed]]/(1+GST_Rate),""))</f>
        <v/>
      </c>
      <c r="N307" s="41" t="str">
        <f>IF(MasterFees[[#This Row],[GST Basis]]="Incl",MasterFees[[#This Row],[Fee as Printed]],IF(MasterFees[[#This Row],[GST Basis]]="Excl",MasterFees[[#This Row],[Fee as Printed]]*(1+GST_Rate),""))</f>
        <v/>
      </c>
      <c r="O307" s="42">
        <f>IF(N(MasterFees[[#This Row],[Total Units]])=0,"",MasterFees[[#This Row],[Fee as Printed]]/MasterFees[[#This Row],[Total Units]])</f>
        <v>55.222972972972968</v>
      </c>
      <c r="P307" s="43"/>
      <c r="Q307" s="46" t="s">
        <v>1013</v>
      </c>
      <c r="R307" s="46" t="s">
        <v>1415</v>
      </c>
      <c r="S307" s="37"/>
    </row>
    <row r="308" spans="1:19" x14ac:dyDescent="0.2">
      <c r="A308" s="36"/>
      <c r="B308" s="38" t="str">
        <f>IF(MasterFees[[#This Row],[RVG Code]]="","",_xlfn.XLOOKUP(MasterFees[[#This Row],[RVG Code]],RVGCodes[Code],RVGCodes[Base Units],"Code not found"))</f>
        <v/>
      </c>
      <c r="C308" s="37" t="s">
        <v>309</v>
      </c>
      <c r="D308" s="44" t="s">
        <v>1108</v>
      </c>
      <c r="E308" s="44"/>
      <c r="F308" s="44" t="s">
        <v>1109</v>
      </c>
      <c r="G308" s="39">
        <v>4.2</v>
      </c>
      <c r="H308" s="39">
        <v>3.6</v>
      </c>
      <c r="I308" s="39">
        <v>0.6</v>
      </c>
      <c r="J308" s="39">
        <v>8.4</v>
      </c>
      <c r="K308" s="40">
        <v>462</v>
      </c>
      <c r="L308" s="45" t="s">
        <v>1015</v>
      </c>
      <c r="M308" s="41" t="str">
        <f>IF(MasterFees[[#This Row],[GST Basis]]="Excl",MasterFees[[#This Row],[Fee as Printed]],IF(MasterFees[[#This Row],[GST Basis]]="Incl",MasterFees[[#This Row],[Fee as Printed]]/(1+GST_Rate),""))</f>
        <v/>
      </c>
      <c r="N308" s="41" t="str">
        <f>IF(MasterFees[[#This Row],[GST Basis]]="Incl",MasterFees[[#This Row],[Fee as Printed]],IF(MasterFees[[#This Row],[GST Basis]]="Excl",MasterFees[[#This Row],[Fee as Printed]]*(1+GST_Rate),""))</f>
        <v/>
      </c>
      <c r="O308" s="42">
        <f>IF(N(MasterFees[[#This Row],[Total Units]])=0,"",MasterFees[[#This Row],[Fee as Printed]]/MasterFees[[#This Row],[Total Units]])</f>
        <v>55</v>
      </c>
      <c r="P308" s="43"/>
      <c r="Q308" s="46" t="s">
        <v>1013</v>
      </c>
      <c r="R308" s="46" t="s">
        <v>1416</v>
      </c>
      <c r="S308" s="37"/>
    </row>
    <row r="309" spans="1:19" x14ac:dyDescent="0.2">
      <c r="A309" s="36"/>
      <c r="B309" s="38" t="str">
        <f>IF(MasterFees[[#This Row],[RVG Code]]="","",_xlfn.XLOOKUP(MasterFees[[#This Row],[RVG Code]],RVGCodes[Code],RVGCodes[Base Units],"Code not found"))</f>
        <v/>
      </c>
      <c r="C309" s="37" t="s">
        <v>310</v>
      </c>
      <c r="D309" s="44" t="s">
        <v>1108</v>
      </c>
      <c r="E309" s="44"/>
      <c r="F309" s="44" t="s">
        <v>1109</v>
      </c>
      <c r="G309" s="39">
        <v>6</v>
      </c>
      <c r="H309" s="39">
        <v>8</v>
      </c>
      <c r="I309" s="39">
        <v>0</v>
      </c>
      <c r="J309" s="39">
        <v>14</v>
      </c>
      <c r="K309" s="40">
        <v>770</v>
      </c>
      <c r="L309" s="45" t="s">
        <v>1015</v>
      </c>
      <c r="M309" s="41" t="str">
        <f>IF(MasterFees[[#This Row],[GST Basis]]="Excl",MasterFees[[#This Row],[Fee as Printed]],IF(MasterFees[[#This Row],[GST Basis]]="Incl",MasterFees[[#This Row],[Fee as Printed]]/(1+GST_Rate),""))</f>
        <v/>
      </c>
      <c r="N309" s="41" t="str">
        <f>IF(MasterFees[[#This Row],[GST Basis]]="Incl",MasterFees[[#This Row],[Fee as Printed]],IF(MasterFees[[#This Row],[GST Basis]]="Excl",MasterFees[[#This Row],[Fee as Printed]]*(1+GST_Rate),""))</f>
        <v/>
      </c>
      <c r="O309" s="42">
        <f>IF(N(MasterFees[[#This Row],[Total Units]])=0,"",MasterFees[[#This Row],[Fee as Printed]]/MasterFees[[#This Row],[Total Units]])</f>
        <v>55</v>
      </c>
      <c r="P309" s="43"/>
      <c r="Q309" s="46" t="s">
        <v>1013</v>
      </c>
      <c r="R309" s="46" t="s">
        <v>1417</v>
      </c>
      <c r="S309" s="37"/>
    </row>
    <row r="310" spans="1:19" x14ac:dyDescent="0.2">
      <c r="A310" s="36"/>
      <c r="B310" s="38" t="str">
        <f>IF(MasterFees[[#This Row],[RVG Code]]="","",_xlfn.XLOOKUP(MasterFees[[#This Row],[RVG Code]],RVGCodes[Code],RVGCodes[Base Units],"Code not found"))</f>
        <v/>
      </c>
      <c r="C310" s="37" t="s">
        <v>311</v>
      </c>
      <c r="D310" s="44" t="s">
        <v>1108</v>
      </c>
      <c r="E310" s="44"/>
      <c r="F310" s="44" t="s">
        <v>1109</v>
      </c>
      <c r="G310" s="39">
        <v>3.9</v>
      </c>
      <c r="H310" s="39">
        <v>3.7</v>
      </c>
      <c r="I310" s="39">
        <v>0.3</v>
      </c>
      <c r="J310" s="39">
        <v>7.9</v>
      </c>
      <c r="K310" s="40">
        <v>434.5</v>
      </c>
      <c r="L310" s="45" t="s">
        <v>1015</v>
      </c>
      <c r="M310" s="41" t="str">
        <f>IF(MasterFees[[#This Row],[GST Basis]]="Excl",MasterFees[[#This Row],[Fee as Printed]],IF(MasterFees[[#This Row],[GST Basis]]="Incl",MasterFees[[#This Row],[Fee as Printed]]/(1+GST_Rate),""))</f>
        <v/>
      </c>
      <c r="N310" s="41" t="str">
        <f>IF(MasterFees[[#This Row],[GST Basis]]="Incl",MasterFees[[#This Row],[Fee as Printed]],IF(MasterFees[[#This Row],[GST Basis]]="Excl",MasterFees[[#This Row],[Fee as Printed]]*(1+GST_Rate),""))</f>
        <v/>
      </c>
      <c r="O310" s="42">
        <f>IF(N(MasterFees[[#This Row],[Total Units]])=0,"",MasterFees[[#This Row],[Fee as Printed]]/MasterFees[[#This Row],[Total Units]])</f>
        <v>55</v>
      </c>
      <c r="P310" s="43"/>
      <c r="Q310" s="46" t="s">
        <v>1013</v>
      </c>
      <c r="R310" s="46" t="s">
        <v>1418</v>
      </c>
      <c r="S310" s="37"/>
    </row>
    <row r="311" spans="1:19" x14ac:dyDescent="0.2">
      <c r="A311" s="36"/>
      <c r="B311" s="38" t="str">
        <f>IF(MasterFees[[#This Row],[RVG Code]]="","",_xlfn.XLOOKUP(MasterFees[[#This Row],[RVG Code]],RVGCodes[Code],RVGCodes[Base Units],"Code not found"))</f>
        <v/>
      </c>
      <c r="C311" s="37" t="s">
        <v>312</v>
      </c>
      <c r="D311" s="44" t="s">
        <v>1108</v>
      </c>
      <c r="E311" s="44"/>
      <c r="F311" s="44" t="s">
        <v>1109</v>
      </c>
      <c r="G311" s="39">
        <v>4</v>
      </c>
      <c r="H311" s="39">
        <v>4</v>
      </c>
      <c r="I311" s="39">
        <v>0.3</v>
      </c>
      <c r="J311" s="39">
        <v>8.3000000000000007</v>
      </c>
      <c r="K311" s="40">
        <v>458.15</v>
      </c>
      <c r="L311" s="45" t="s">
        <v>1015</v>
      </c>
      <c r="M311" s="41" t="str">
        <f>IF(MasterFees[[#This Row],[GST Basis]]="Excl",MasterFees[[#This Row],[Fee as Printed]],IF(MasterFees[[#This Row],[GST Basis]]="Incl",MasterFees[[#This Row],[Fee as Printed]]/(1+GST_Rate),""))</f>
        <v/>
      </c>
      <c r="N311" s="41" t="str">
        <f>IF(MasterFees[[#This Row],[GST Basis]]="Incl",MasterFees[[#This Row],[Fee as Printed]],IF(MasterFees[[#This Row],[GST Basis]]="Excl",MasterFees[[#This Row],[Fee as Printed]]*(1+GST_Rate),""))</f>
        <v/>
      </c>
      <c r="O311" s="42">
        <f>IF(N(MasterFees[[#This Row],[Total Units]])=0,"",MasterFees[[#This Row],[Fee as Printed]]/MasterFees[[#This Row],[Total Units]])</f>
        <v>55.198795180722882</v>
      </c>
      <c r="P311" s="43"/>
      <c r="Q311" s="46" t="s">
        <v>1013</v>
      </c>
      <c r="R311" s="46" t="s">
        <v>1419</v>
      </c>
      <c r="S311" s="37"/>
    </row>
    <row r="312" spans="1:19" x14ac:dyDescent="0.2">
      <c r="A312" s="36"/>
      <c r="B312" s="38" t="str">
        <f>IF(MasterFees[[#This Row],[RVG Code]]="","",_xlfn.XLOOKUP(MasterFees[[#This Row],[RVG Code]],RVGCodes[Code],RVGCodes[Base Units],"Code not found"))</f>
        <v/>
      </c>
      <c r="C312" s="37" t="s">
        <v>313</v>
      </c>
      <c r="D312" s="44" t="s">
        <v>1108</v>
      </c>
      <c r="E312" s="44"/>
      <c r="F312" s="44" t="s">
        <v>1109</v>
      </c>
      <c r="G312" s="39">
        <v>4</v>
      </c>
      <c r="H312" s="39">
        <v>3.7</v>
      </c>
      <c r="I312" s="39">
        <v>0.3</v>
      </c>
      <c r="J312" s="39">
        <v>8.1</v>
      </c>
      <c r="K312" s="40">
        <v>443.3</v>
      </c>
      <c r="L312" s="45" t="s">
        <v>1015</v>
      </c>
      <c r="M312" s="41" t="str">
        <f>IF(MasterFees[[#This Row],[GST Basis]]="Excl",MasterFees[[#This Row],[Fee as Printed]],IF(MasterFees[[#This Row],[GST Basis]]="Incl",MasterFees[[#This Row],[Fee as Printed]]/(1+GST_Rate),""))</f>
        <v/>
      </c>
      <c r="N312" s="41" t="str">
        <f>IF(MasterFees[[#This Row],[GST Basis]]="Incl",MasterFees[[#This Row],[Fee as Printed]],IF(MasterFees[[#This Row],[GST Basis]]="Excl",MasterFees[[#This Row],[Fee as Printed]]*(1+GST_Rate),""))</f>
        <v/>
      </c>
      <c r="O312" s="42">
        <f>IF(N(MasterFees[[#This Row],[Total Units]])=0,"",MasterFees[[#This Row],[Fee as Printed]]/MasterFees[[#This Row],[Total Units]])</f>
        <v>54.728395061728399</v>
      </c>
      <c r="P312" s="43"/>
      <c r="Q312" s="46" t="s">
        <v>1013</v>
      </c>
      <c r="R312" s="46" t="s">
        <v>1420</v>
      </c>
      <c r="S312" s="37"/>
    </row>
    <row r="313" spans="1:19" x14ac:dyDescent="0.2">
      <c r="A313" s="36"/>
      <c r="B313" s="38" t="str">
        <f>IF(MasterFees[[#This Row],[RVG Code]]="","",_xlfn.XLOOKUP(MasterFees[[#This Row],[RVG Code]],RVGCodes[Code],RVGCodes[Base Units],"Code not found"))</f>
        <v/>
      </c>
      <c r="C313" s="37" t="s">
        <v>314</v>
      </c>
      <c r="D313" s="44" t="s">
        <v>1108</v>
      </c>
      <c r="E313" s="44"/>
      <c r="F313" s="44" t="s">
        <v>1109</v>
      </c>
      <c r="G313" s="39">
        <v>2</v>
      </c>
      <c r="H313" s="39">
        <v>2.2999999999999998</v>
      </c>
      <c r="I313" s="39">
        <v>0.5</v>
      </c>
      <c r="J313" s="39">
        <v>4.8</v>
      </c>
      <c r="K313" s="40">
        <v>261.25</v>
      </c>
      <c r="L313" s="45" t="s">
        <v>1015</v>
      </c>
      <c r="M313" s="41" t="str">
        <f>IF(MasterFees[[#This Row],[GST Basis]]="Excl",MasterFees[[#This Row],[Fee as Printed]],IF(MasterFees[[#This Row],[GST Basis]]="Incl",MasterFees[[#This Row],[Fee as Printed]]/(1+GST_Rate),""))</f>
        <v/>
      </c>
      <c r="N313" s="41" t="str">
        <f>IF(MasterFees[[#This Row],[GST Basis]]="Incl",MasterFees[[#This Row],[Fee as Printed]],IF(MasterFees[[#This Row],[GST Basis]]="Excl",MasterFees[[#This Row],[Fee as Printed]]*(1+GST_Rate),""))</f>
        <v/>
      </c>
      <c r="O313" s="42">
        <f>IF(N(MasterFees[[#This Row],[Total Units]])=0,"",MasterFees[[#This Row],[Fee as Printed]]/MasterFees[[#This Row],[Total Units]])</f>
        <v>54.427083333333336</v>
      </c>
      <c r="P313" s="43"/>
      <c r="Q313" s="46" t="s">
        <v>1013</v>
      </c>
      <c r="R313" s="46" t="s">
        <v>1421</v>
      </c>
      <c r="S313" s="37"/>
    </row>
    <row r="314" spans="1:19" x14ac:dyDescent="0.2">
      <c r="A314" s="36"/>
      <c r="B314" s="38" t="str">
        <f>IF(MasterFees[[#This Row],[RVG Code]]="","",_xlfn.XLOOKUP(MasterFees[[#This Row],[RVG Code]],RVGCodes[Code],RVGCodes[Base Units],"Code not found"))</f>
        <v/>
      </c>
      <c r="C314" s="37" t="s">
        <v>315</v>
      </c>
      <c r="D314" s="44" t="s">
        <v>1108</v>
      </c>
      <c r="E314" s="44"/>
      <c r="F314" s="44" t="s">
        <v>1109</v>
      </c>
      <c r="G314" s="39">
        <v>3.6</v>
      </c>
      <c r="H314" s="39">
        <v>4.7</v>
      </c>
      <c r="I314" s="39">
        <v>0.7</v>
      </c>
      <c r="J314" s="39">
        <v>8.9</v>
      </c>
      <c r="K314" s="40">
        <v>489.5</v>
      </c>
      <c r="L314" s="45" t="s">
        <v>1015</v>
      </c>
      <c r="M314" s="41" t="str">
        <f>IF(MasterFees[[#This Row],[GST Basis]]="Excl",MasterFees[[#This Row],[Fee as Printed]],IF(MasterFees[[#This Row],[GST Basis]]="Incl",MasterFees[[#This Row],[Fee as Printed]]/(1+GST_Rate),""))</f>
        <v/>
      </c>
      <c r="N314" s="41" t="str">
        <f>IF(MasterFees[[#This Row],[GST Basis]]="Incl",MasterFees[[#This Row],[Fee as Printed]],IF(MasterFees[[#This Row],[GST Basis]]="Excl",MasterFees[[#This Row],[Fee as Printed]]*(1+GST_Rate),""))</f>
        <v/>
      </c>
      <c r="O314" s="42">
        <f>IF(N(MasterFees[[#This Row],[Total Units]])=0,"",MasterFees[[#This Row],[Fee as Printed]]/MasterFees[[#This Row],[Total Units]])</f>
        <v>55</v>
      </c>
      <c r="P314" s="43"/>
      <c r="Q314" s="46" t="s">
        <v>1013</v>
      </c>
      <c r="R314" s="46" t="s">
        <v>1422</v>
      </c>
      <c r="S314" s="37"/>
    </row>
    <row r="315" spans="1:19" x14ac:dyDescent="0.2">
      <c r="A315" s="36"/>
      <c r="B315" s="38" t="str">
        <f>IF(MasterFees[[#This Row],[RVG Code]]="","",_xlfn.XLOOKUP(MasterFees[[#This Row],[RVG Code]],RVGCodes[Code],RVGCodes[Base Units],"Code not found"))</f>
        <v/>
      </c>
      <c r="C315" s="37" t="s">
        <v>316</v>
      </c>
      <c r="D315" s="44" t="s">
        <v>1108</v>
      </c>
      <c r="E315" s="44"/>
      <c r="F315" s="44" t="s">
        <v>1109</v>
      </c>
      <c r="G315" s="39">
        <v>6</v>
      </c>
      <c r="H315" s="39">
        <v>4</v>
      </c>
      <c r="I315" s="39">
        <v>2</v>
      </c>
      <c r="J315" s="39">
        <v>12</v>
      </c>
      <c r="K315" s="40">
        <v>660</v>
      </c>
      <c r="L315" s="45" t="s">
        <v>1015</v>
      </c>
      <c r="M315" s="41" t="str">
        <f>IF(MasterFees[[#This Row],[GST Basis]]="Excl",MasterFees[[#This Row],[Fee as Printed]],IF(MasterFees[[#This Row],[GST Basis]]="Incl",MasterFees[[#This Row],[Fee as Printed]]/(1+GST_Rate),""))</f>
        <v/>
      </c>
      <c r="N315" s="41" t="str">
        <f>IF(MasterFees[[#This Row],[GST Basis]]="Incl",MasterFees[[#This Row],[Fee as Printed]],IF(MasterFees[[#This Row],[GST Basis]]="Excl",MasterFees[[#This Row],[Fee as Printed]]*(1+GST_Rate),""))</f>
        <v/>
      </c>
      <c r="O315" s="42">
        <f>IF(N(MasterFees[[#This Row],[Total Units]])=0,"",MasterFees[[#This Row],[Fee as Printed]]/MasterFees[[#This Row],[Total Units]])</f>
        <v>55</v>
      </c>
      <c r="P315" s="43"/>
      <c r="Q315" s="46" t="s">
        <v>1013</v>
      </c>
      <c r="R315" s="46" t="s">
        <v>1423</v>
      </c>
      <c r="S315" s="37"/>
    </row>
    <row r="316" spans="1:19" x14ac:dyDescent="0.2">
      <c r="A316" s="36"/>
      <c r="B316" s="38" t="str">
        <f>IF(MasterFees[[#This Row],[RVG Code]]="","",_xlfn.XLOOKUP(MasterFees[[#This Row],[RVG Code]],RVGCodes[Code],RVGCodes[Base Units],"Code not found"))</f>
        <v/>
      </c>
      <c r="C316" s="37" t="s">
        <v>317</v>
      </c>
      <c r="D316" s="44" t="s">
        <v>1108</v>
      </c>
      <c r="E316" s="44"/>
      <c r="F316" s="44" t="s">
        <v>1109</v>
      </c>
      <c r="G316" s="39">
        <v>4</v>
      </c>
      <c r="H316" s="39">
        <v>4</v>
      </c>
      <c r="I316" s="39">
        <v>0.7</v>
      </c>
      <c r="J316" s="39">
        <v>8.6999999999999993</v>
      </c>
      <c r="K316" s="40">
        <v>476.3</v>
      </c>
      <c r="L316" s="45" t="s">
        <v>1015</v>
      </c>
      <c r="M316" s="41" t="str">
        <f>IF(MasterFees[[#This Row],[GST Basis]]="Excl",MasterFees[[#This Row],[Fee as Printed]],IF(MasterFees[[#This Row],[GST Basis]]="Incl",MasterFees[[#This Row],[Fee as Printed]]/(1+GST_Rate),""))</f>
        <v/>
      </c>
      <c r="N316" s="41" t="str">
        <f>IF(MasterFees[[#This Row],[GST Basis]]="Incl",MasterFees[[#This Row],[Fee as Printed]],IF(MasterFees[[#This Row],[GST Basis]]="Excl",MasterFees[[#This Row],[Fee as Printed]]*(1+GST_Rate),""))</f>
        <v/>
      </c>
      <c r="O316" s="42">
        <f>IF(N(MasterFees[[#This Row],[Total Units]])=0,"",MasterFees[[#This Row],[Fee as Printed]]/MasterFees[[#This Row],[Total Units]])</f>
        <v>54.747126436781613</v>
      </c>
      <c r="P316" s="43"/>
      <c r="Q316" s="46" t="s">
        <v>1013</v>
      </c>
      <c r="R316" s="46" t="s">
        <v>1424</v>
      </c>
      <c r="S316" s="37"/>
    </row>
    <row r="317" spans="1:19" x14ac:dyDescent="0.2">
      <c r="A317" s="36"/>
      <c r="B317" s="38" t="str">
        <f>IF(MasterFees[[#This Row],[RVG Code]]="","",_xlfn.XLOOKUP(MasterFees[[#This Row],[RVG Code]],RVGCodes[Code],RVGCodes[Base Units],"Code not found"))</f>
        <v/>
      </c>
      <c r="C317" s="37" t="s">
        <v>318</v>
      </c>
      <c r="D317" s="44" t="s">
        <v>1108</v>
      </c>
      <c r="E317" s="44"/>
      <c r="F317" s="44" t="s">
        <v>1109</v>
      </c>
      <c r="G317" s="39">
        <v>6.9</v>
      </c>
      <c r="H317" s="39">
        <v>3.9</v>
      </c>
      <c r="I317" s="39">
        <v>0.7</v>
      </c>
      <c r="J317" s="39">
        <v>11.5</v>
      </c>
      <c r="K317" s="40">
        <v>634.15</v>
      </c>
      <c r="L317" s="45" t="s">
        <v>1015</v>
      </c>
      <c r="M317" s="41" t="str">
        <f>IF(MasterFees[[#This Row],[GST Basis]]="Excl",MasterFees[[#This Row],[Fee as Printed]],IF(MasterFees[[#This Row],[GST Basis]]="Incl",MasterFees[[#This Row],[Fee as Printed]]/(1+GST_Rate),""))</f>
        <v/>
      </c>
      <c r="N317" s="41" t="str">
        <f>IF(MasterFees[[#This Row],[GST Basis]]="Incl",MasterFees[[#This Row],[Fee as Printed]],IF(MasterFees[[#This Row],[GST Basis]]="Excl",MasterFees[[#This Row],[Fee as Printed]]*(1+GST_Rate),""))</f>
        <v/>
      </c>
      <c r="O317" s="42">
        <f>IF(N(MasterFees[[#This Row],[Total Units]])=0,"",MasterFees[[#This Row],[Fee as Printed]]/MasterFees[[#This Row],[Total Units]])</f>
        <v>55.143478260869564</v>
      </c>
      <c r="P317" s="43"/>
      <c r="Q317" s="46" t="s">
        <v>1013</v>
      </c>
      <c r="R317" s="46" t="s">
        <v>1425</v>
      </c>
      <c r="S317" s="37"/>
    </row>
    <row r="318" spans="1:19" x14ac:dyDescent="0.2">
      <c r="A318" s="36"/>
      <c r="B318" s="38" t="str">
        <f>IF(MasterFees[[#This Row],[RVG Code]]="","",_xlfn.XLOOKUP(MasterFees[[#This Row],[RVG Code]],RVGCodes[Code],RVGCodes[Base Units],"Code not found"))</f>
        <v/>
      </c>
      <c r="C318" s="37" t="s">
        <v>319</v>
      </c>
      <c r="D318" s="44" t="s">
        <v>1108</v>
      </c>
      <c r="E318" s="44"/>
      <c r="F318" s="44" t="s">
        <v>1109</v>
      </c>
      <c r="G318" s="39">
        <v>6</v>
      </c>
      <c r="H318" s="39">
        <v>4</v>
      </c>
      <c r="I318" s="39">
        <v>2</v>
      </c>
      <c r="J318" s="39">
        <v>12</v>
      </c>
      <c r="K318" s="40">
        <v>660</v>
      </c>
      <c r="L318" s="45" t="s">
        <v>1015</v>
      </c>
      <c r="M318" s="41" t="str">
        <f>IF(MasterFees[[#This Row],[GST Basis]]="Excl",MasterFees[[#This Row],[Fee as Printed]],IF(MasterFees[[#This Row],[GST Basis]]="Incl",MasterFees[[#This Row],[Fee as Printed]]/(1+GST_Rate),""))</f>
        <v/>
      </c>
      <c r="N318" s="41" t="str">
        <f>IF(MasterFees[[#This Row],[GST Basis]]="Incl",MasterFees[[#This Row],[Fee as Printed]],IF(MasterFees[[#This Row],[GST Basis]]="Excl",MasterFees[[#This Row],[Fee as Printed]]*(1+GST_Rate),""))</f>
        <v/>
      </c>
      <c r="O318" s="42">
        <f>IF(N(MasterFees[[#This Row],[Total Units]])=0,"",MasterFees[[#This Row],[Fee as Printed]]/MasterFees[[#This Row],[Total Units]])</f>
        <v>55</v>
      </c>
      <c r="P318" s="43"/>
      <c r="Q318" s="46" t="s">
        <v>1013</v>
      </c>
      <c r="R318" s="46" t="s">
        <v>1426</v>
      </c>
      <c r="S318" s="37"/>
    </row>
    <row r="319" spans="1:19" x14ac:dyDescent="0.2">
      <c r="A319" s="36"/>
      <c r="B319" s="38" t="str">
        <f>IF(MasterFees[[#This Row],[RVG Code]]="","",_xlfn.XLOOKUP(MasterFees[[#This Row],[RVG Code]],RVGCodes[Code],RVGCodes[Base Units],"Code not found"))</f>
        <v/>
      </c>
      <c r="C319" s="37" t="s">
        <v>320</v>
      </c>
      <c r="D319" s="44" t="s">
        <v>1108</v>
      </c>
      <c r="E319" s="44"/>
      <c r="F319" s="44" t="s">
        <v>1109</v>
      </c>
      <c r="G319" s="39">
        <v>4</v>
      </c>
      <c r="H319" s="39">
        <v>3</v>
      </c>
      <c r="I319" s="39">
        <v>0</v>
      </c>
      <c r="J319" s="39">
        <v>7</v>
      </c>
      <c r="K319" s="40">
        <v>385</v>
      </c>
      <c r="L319" s="45" t="s">
        <v>1015</v>
      </c>
      <c r="M319" s="41" t="str">
        <f>IF(MasterFees[[#This Row],[GST Basis]]="Excl",MasterFees[[#This Row],[Fee as Printed]],IF(MasterFees[[#This Row],[GST Basis]]="Incl",MasterFees[[#This Row],[Fee as Printed]]/(1+GST_Rate),""))</f>
        <v/>
      </c>
      <c r="N319" s="41" t="str">
        <f>IF(MasterFees[[#This Row],[GST Basis]]="Incl",MasterFees[[#This Row],[Fee as Printed]],IF(MasterFees[[#This Row],[GST Basis]]="Excl",MasterFees[[#This Row],[Fee as Printed]]*(1+GST_Rate),""))</f>
        <v/>
      </c>
      <c r="O319" s="42">
        <f>IF(N(MasterFees[[#This Row],[Total Units]])=0,"",MasterFees[[#This Row],[Fee as Printed]]/MasterFees[[#This Row],[Total Units]])</f>
        <v>55</v>
      </c>
      <c r="P319" s="43"/>
      <c r="Q319" s="46" t="s">
        <v>1013</v>
      </c>
      <c r="R319" s="46" t="s">
        <v>1427</v>
      </c>
      <c r="S319" s="37"/>
    </row>
    <row r="320" spans="1:19" x14ac:dyDescent="0.2">
      <c r="A320" s="36"/>
      <c r="B320" s="38" t="str">
        <f>IF(MasterFees[[#This Row],[RVG Code]]="","",_xlfn.XLOOKUP(MasterFees[[#This Row],[RVG Code]],RVGCodes[Code],RVGCodes[Base Units],"Code not found"))</f>
        <v/>
      </c>
      <c r="C320" s="37" t="s">
        <v>321</v>
      </c>
      <c r="D320" s="44" t="s">
        <v>1108</v>
      </c>
      <c r="E320" s="44"/>
      <c r="F320" s="44" t="s">
        <v>1109</v>
      </c>
      <c r="G320" s="39">
        <v>4</v>
      </c>
      <c r="H320" s="39">
        <v>5</v>
      </c>
      <c r="I320" s="39">
        <v>1</v>
      </c>
      <c r="J320" s="39">
        <v>10</v>
      </c>
      <c r="K320" s="40">
        <v>550</v>
      </c>
      <c r="L320" s="45" t="s">
        <v>1015</v>
      </c>
      <c r="M320" s="41" t="str">
        <f>IF(MasterFees[[#This Row],[GST Basis]]="Excl",MasterFees[[#This Row],[Fee as Printed]],IF(MasterFees[[#This Row],[GST Basis]]="Incl",MasterFees[[#This Row],[Fee as Printed]]/(1+GST_Rate),""))</f>
        <v/>
      </c>
      <c r="N320" s="41" t="str">
        <f>IF(MasterFees[[#This Row],[GST Basis]]="Incl",MasterFees[[#This Row],[Fee as Printed]],IF(MasterFees[[#This Row],[GST Basis]]="Excl",MasterFees[[#This Row],[Fee as Printed]]*(1+GST_Rate),""))</f>
        <v/>
      </c>
      <c r="O320" s="42">
        <f>IF(N(MasterFees[[#This Row],[Total Units]])=0,"",MasterFees[[#This Row],[Fee as Printed]]/MasterFees[[#This Row],[Total Units]])</f>
        <v>55</v>
      </c>
      <c r="P320" s="43"/>
      <c r="Q320" s="46" t="s">
        <v>1013</v>
      </c>
      <c r="R320" s="46" t="s">
        <v>1428</v>
      </c>
      <c r="S320" s="37"/>
    </row>
    <row r="321" spans="1:19" x14ac:dyDescent="0.2">
      <c r="A321" s="36"/>
      <c r="B321" s="38" t="str">
        <f>IF(MasterFees[[#This Row],[RVG Code]]="","",_xlfn.XLOOKUP(MasterFees[[#This Row],[RVG Code]],RVGCodes[Code],RVGCodes[Base Units],"Code not found"))</f>
        <v/>
      </c>
      <c r="C321" s="37" t="s">
        <v>322</v>
      </c>
      <c r="D321" s="44" t="s">
        <v>1108</v>
      </c>
      <c r="E321" s="44"/>
      <c r="F321" s="44" t="s">
        <v>1109</v>
      </c>
      <c r="G321" s="39">
        <v>0</v>
      </c>
      <c r="H321" s="39">
        <v>0</v>
      </c>
      <c r="I321" s="39">
        <v>0</v>
      </c>
      <c r="J321" s="39">
        <v>0</v>
      </c>
      <c r="K321" s="40">
        <v>0</v>
      </c>
      <c r="L321" s="45" t="s">
        <v>1015</v>
      </c>
      <c r="M321" s="41" t="str">
        <f>IF(MasterFees[[#This Row],[GST Basis]]="Excl",MasterFees[[#This Row],[Fee as Printed]],IF(MasterFees[[#This Row],[GST Basis]]="Incl",MasterFees[[#This Row],[Fee as Printed]]/(1+GST_Rate),""))</f>
        <v/>
      </c>
      <c r="N321" s="41" t="str">
        <f>IF(MasterFees[[#This Row],[GST Basis]]="Incl",MasterFees[[#This Row],[Fee as Printed]],IF(MasterFees[[#This Row],[GST Basis]]="Excl",MasterFees[[#This Row],[Fee as Printed]]*(1+GST_Rate),""))</f>
        <v/>
      </c>
      <c r="O321" s="42" t="str">
        <f>IF(N(MasterFees[[#This Row],[Total Units]])=0,"",MasterFees[[#This Row],[Fee as Printed]]/MasterFees[[#This Row],[Total Units]])</f>
        <v/>
      </c>
      <c r="P321" s="43"/>
      <c r="Q321" s="46" t="s">
        <v>1013</v>
      </c>
      <c r="R321" s="46" t="s">
        <v>1429</v>
      </c>
      <c r="S321" s="37"/>
    </row>
    <row r="322" spans="1:19" x14ac:dyDescent="0.2">
      <c r="A322" s="36"/>
      <c r="B322" s="38" t="str">
        <f>IF(MasterFees[[#This Row],[RVG Code]]="","",_xlfn.XLOOKUP(MasterFees[[#This Row],[RVG Code]],RVGCodes[Code],RVGCodes[Base Units],"Code not found"))</f>
        <v/>
      </c>
      <c r="C322" s="37" t="s">
        <v>323</v>
      </c>
      <c r="D322" s="44" t="s">
        <v>1108</v>
      </c>
      <c r="E322" s="44"/>
      <c r="F322" s="44" t="s">
        <v>1109</v>
      </c>
      <c r="G322" s="39">
        <v>4.5</v>
      </c>
      <c r="H322" s="39">
        <v>3.3</v>
      </c>
      <c r="I322" s="39">
        <v>1</v>
      </c>
      <c r="J322" s="39">
        <v>8.8000000000000007</v>
      </c>
      <c r="K322" s="40">
        <v>481.25</v>
      </c>
      <c r="L322" s="45" t="s">
        <v>1015</v>
      </c>
      <c r="M322" s="41" t="str">
        <f>IF(MasterFees[[#This Row],[GST Basis]]="Excl",MasterFees[[#This Row],[Fee as Printed]],IF(MasterFees[[#This Row],[GST Basis]]="Incl",MasterFees[[#This Row],[Fee as Printed]]/(1+GST_Rate),""))</f>
        <v/>
      </c>
      <c r="N322" s="41" t="str">
        <f>IF(MasterFees[[#This Row],[GST Basis]]="Incl",MasterFees[[#This Row],[Fee as Printed]],IF(MasterFees[[#This Row],[GST Basis]]="Excl",MasterFees[[#This Row],[Fee as Printed]]*(1+GST_Rate),""))</f>
        <v/>
      </c>
      <c r="O322" s="42">
        <f>IF(N(MasterFees[[#This Row],[Total Units]])=0,"",MasterFees[[#This Row],[Fee as Printed]]/MasterFees[[#This Row],[Total Units]])</f>
        <v>54.687499999999993</v>
      </c>
      <c r="P322" s="43"/>
      <c r="Q322" s="46" t="s">
        <v>1013</v>
      </c>
      <c r="R322" s="46" t="s">
        <v>1430</v>
      </c>
      <c r="S322" s="37"/>
    </row>
    <row r="323" spans="1:19" x14ac:dyDescent="0.2">
      <c r="A323" s="36"/>
      <c r="B323" s="38" t="str">
        <f>IF(MasterFees[[#This Row],[RVG Code]]="","",_xlfn.XLOOKUP(MasterFees[[#This Row],[RVG Code]],RVGCodes[Code],RVGCodes[Base Units],"Code not found"))</f>
        <v/>
      </c>
      <c r="C323" s="37" t="s">
        <v>324</v>
      </c>
      <c r="D323" s="44" t="s">
        <v>1108</v>
      </c>
      <c r="E323" s="44"/>
      <c r="F323" s="44" t="s">
        <v>1109</v>
      </c>
      <c r="G323" s="39">
        <v>3.3</v>
      </c>
      <c r="H323" s="39">
        <v>2.6</v>
      </c>
      <c r="I323" s="39">
        <v>0.3</v>
      </c>
      <c r="J323" s="39">
        <v>6.2</v>
      </c>
      <c r="K323" s="40">
        <v>341</v>
      </c>
      <c r="L323" s="45" t="s">
        <v>1015</v>
      </c>
      <c r="M323" s="41" t="str">
        <f>IF(MasterFees[[#This Row],[GST Basis]]="Excl",MasterFees[[#This Row],[Fee as Printed]],IF(MasterFees[[#This Row],[GST Basis]]="Incl",MasterFees[[#This Row],[Fee as Printed]]/(1+GST_Rate),""))</f>
        <v/>
      </c>
      <c r="N323" s="41" t="str">
        <f>IF(MasterFees[[#This Row],[GST Basis]]="Incl",MasterFees[[#This Row],[Fee as Printed]],IF(MasterFees[[#This Row],[GST Basis]]="Excl",MasterFees[[#This Row],[Fee as Printed]]*(1+GST_Rate),""))</f>
        <v/>
      </c>
      <c r="O323" s="42">
        <f>IF(N(MasterFees[[#This Row],[Total Units]])=0,"",MasterFees[[#This Row],[Fee as Printed]]/MasterFees[[#This Row],[Total Units]])</f>
        <v>55</v>
      </c>
      <c r="P323" s="43"/>
      <c r="Q323" s="46" t="s">
        <v>1013</v>
      </c>
      <c r="R323" s="46" t="s">
        <v>1431</v>
      </c>
      <c r="S323" s="37"/>
    </row>
    <row r="324" spans="1:19" x14ac:dyDescent="0.2">
      <c r="A324" s="36"/>
      <c r="B324" s="38" t="str">
        <f>IF(MasterFees[[#This Row],[RVG Code]]="","",_xlfn.XLOOKUP(MasterFees[[#This Row],[RVG Code]],RVGCodes[Code],RVGCodes[Base Units],"Code not found"))</f>
        <v/>
      </c>
      <c r="C324" s="37" t="s">
        <v>325</v>
      </c>
      <c r="D324" s="44" t="s">
        <v>1108</v>
      </c>
      <c r="E324" s="44"/>
      <c r="F324" s="44" t="s">
        <v>1109</v>
      </c>
      <c r="G324" s="39">
        <v>2</v>
      </c>
      <c r="H324" s="39">
        <v>2</v>
      </c>
      <c r="I324" s="39">
        <v>0</v>
      </c>
      <c r="J324" s="39">
        <v>4</v>
      </c>
      <c r="K324" s="40">
        <v>220</v>
      </c>
      <c r="L324" s="45" t="s">
        <v>1015</v>
      </c>
      <c r="M324" s="41" t="str">
        <f>IF(MasterFees[[#This Row],[GST Basis]]="Excl",MasterFees[[#This Row],[Fee as Printed]],IF(MasterFees[[#This Row],[GST Basis]]="Incl",MasterFees[[#This Row],[Fee as Printed]]/(1+GST_Rate),""))</f>
        <v/>
      </c>
      <c r="N324" s="41" t="str">
        <f>IF(MasterFees[[#This Row],[GST Basis]]="Incl",MasterFees[[#This Row],[Fee as Printed]],IF(MasterFees[[#This Row],[GST Basis]]="Excl",MasterFees[[#This Row],[Fee as Printed]]*(1+GST_Rate),""))</f>
        <v/>
      </c>
      <c r="O324" s="42">
        <f>IF(N(MasterFees[[#This Row],[Total Units]])=0,"",MasterFees[[#This Row],[Fee as Printed]]/MasterFees[[#This Row],[Total Units]])</f>
        <v>55</v>
      </c>
      <c r="P324" s="43"/>
      <c r="Q324" s="46" t="s">
        <v>1013</v>
      </c>
      <c r="R324" s="46" t="s">
        <v>1432</v>
      </c>
      <c r="S324" s="37"/>
    </row>
    <row r="325" spans="1:19" x14ac:dyDescent="0.2">
      <c r="A325" s="36"/>
      <c r="B325" s="38" t="str">
        <f>IF(MasterFees[[#This Row],[RVG Code]]="","",_xlfn.XLOOKUP(MasterFees[[#This Row],[RVG Code]],RVGCodes[Code],RVGCodes[Base Units],"Code not found"))</f>
        <v/>
      </c>
      <c r="C325" s="37" t="s">
        <v>326</v>
      </c>
      <c r="D325" s="44" t="s">
        <v>1108</v>
      </c>
      <c r="E325" s="44"/>
      <c r="F325" s="44" t="s">
        <v>1109</v>
      </c>
      <c r="G325" s="39">
        <v>0</v>
      </c>
      <c r="H325" s="39">
        <v>2</v>
      </c>
      <c r="I325" s="39">
        <v>0</v>
      </c>
      <c r="J325" s="39">
        <v>2</v>
      </c>
      <c r="K325" s="40">
        <v>110</v>
      </c>
      <c r="L325" s="45" t="s">
        <v>1015</v>
      </c>
      <c r="M325" s="41" t="str">
        <f>IF(MasterFees[[#This Row],[GST Basis]]="Excl",MasterFees[[#This Row],[Fee as Printed]],IF(MasterFees[[#This Row],[GST Basis]]="Incl",MasterFees[[#This Row],[Fee as Printed]]/(1+GST_Rate),""))</f>
        <v/>
      </c>
      <c r="N325" s="41" t="str">
        <f>IF(MasterFees[[#This Row],[GST Basis]]="Incl",MasterFees[[#This Row],[Fee as Printed]],IF(MasterFees[[#This Row],[GST Basis]]="Excl",MasterFees[[#This Row],[Fee as Printed]]*(1+GST_Rate),""))</f>
        <v/>
      </c>
      <c r="O325" s="42">
        <f>IF(N(MasterFees[[#This Row],[Total Units]])=0,"",MasterFees[[#This Row],[Fee as Printed]]/MasterFees[[#This Row],[Total Units]])</f>
        <v>55</v>
      </c>
      <c r="P325" s="43"/>
      <c r="Q325" s="46" t="s">
        <v>1013</v>
      </c>
      <c r="R325" s="46" t="s">
        <v>1433</v>
      </c>
      <c r="S325" s="37"/>
    </row>
    <row r="326" spans="1:19" x14ac:dyDescent="0.2">
      <c r="A326" s="36"/>
      <c r="B326" s="38" t="str">
        <f>IF(MasterFees[[#This Row],[RVG Code]]="","",_xlfn.XLOOKUP(MasterFees[[#This Row],[RVG Code]],RVGCodes[Code],RVGCodes[Base Units],"Code not found"))</f>
        <v/>
      </c>
      <c r="C326" s="37" t="s">
        <v>327</v>
      </c>
      <c r="D326" s="44" t="s">
        <v>1108</v>
      </c>
      <c r="E326" s="44"/>
      <c r="F326" s="44" t="s">
        <v>1109</v>
      </c>
      <c r="G326" s="39">
        <v>0</v>
      </c>
      <c r="H326" s="39">
        <v>0</v>
      </c>
      <c r="I326" s="39">
        <v>0</v>
      </c>
      <c r="J326" s="39">
        <v>0</v>
      </c>
      <c r="K326" s="40">
        <v>0</v>
      </c>
      <c r="L326" s="45" t="s">
        <v>1015</v>
      </c>
      <c r="M326" s="41" t="str">
        <f>IF(MasterFees[[#This Row],[GST Basis]]="Excl",MasterFees[[#This Row],[Fee as Printed]],IF(MasterFees[[#This Row],[GST Basis]]="Incl",MasterFees[[#This Row],[Fee as Printed]]/(1+GST_Rate),""))</f>
        <v/>
      </c>
      <c r="N326" s="41" t="str">
        <f>IF(MasterFees[[#This Row],[GST Basis]]="Incl",MasterFees[[#This Row],[Fee as Printed]],IF(MasterFees[[#This Row],[GST Basis]]="Excl",MasterFees[[#This Row],[Fee as Printed]]*(1+GST_Rate),""))</f>
        <v/>
      </c>
      <c r="O326" s="42" t="str">
        <f>IF(N(MasterFees[[#This Row],[Total Units]])=0,"",MasterFees[[#This Row],[Fee as Printed]]/MasterFees[[#This Row],[Total Units]])</f>
        <v/>
      </c>
      <c r="P326" s="43"/>
      <c r="Q326" s="46" t="s">
        <v>1013</v>
      </c>
      <c r="R326" s="46" t="s">
        <v>1434</v>
      </c>
      <c r="S326" s="37"/>
    </row>
    <row r="327" spans="1:19" x14ac:dyDescent="0.2">
      <c r="A327" s="36"/>
      <c r="B327" s="38" t="str">
        <f>IF(MasterFees[[#This Row],[RVG Code]]="","",_xlfn.XLOOKUP(MasterFees[[#This Row],[RVG Code]],RVGCodes[Code],RVGCodes[Base Units],"Code not found"))</f>
        <v/>
      </c>
      <c r="C327" s="37" t="s">
        <v>328</v>
      </c>
      <c r="D327" s="44" t="s">
        <v>1108</v>
      </c>
      <c r="E327" s="44"/>
      <c r="F327" s="44" t="s">
        <v>1109</v>
      </c>
      <c r="G327" s="39">
        <v>0</v>
      </c>
      <c r="H327" s="39">
        <v>1</v>
      </c>
      <c r="I327" s="39">
        <v>0</v>
      </c>
      <c r="J327" s="39">
        <v>1</v>
      </c>
      <c r="K327" s="40">
        <v>55</v>
      </c>
      <c r="L327" s="45" t="s">
        <v>1015</v>
      </c>
      <c r="M327" s="41" t="str">
        <f>IF(MasterFees[[#This Row],[GST Basis]]="Excl",MasterFees[[#This Row],[Fee as Printed]],IF(MasterFees[[#This Row],[GST Basis]]="Incl",MasterFees[[#This Row],[Fee as Printed]]/(1+GST_Rate),""))</f>
        <v/>
      </c>
      <c r="N327" s="41" t="str">
        <f>IF(MasterFees[[#This Row],[GST Basis]]="Incl",MasterFees[[#This Row],[Fee as Printed]],IF(MasterFees[[#This Row],[GST Basis]]="Excl",MasterFees[[#This Row],[Fee as Printed]]*(1+GST_Rate),""))</f>
        <v/>
      </c>
      <c r="O327" s="42">
        <f>IF(N(MasterFees[[#This Row],[Total Units]])=0,"",MasterFees[[#This Row],[Fee as Printed]]/MasterFees[[#This Row],[Total Units]])</f>
        <v>55</v>
      </c>
      <c r="P327" s="43"/>
      <c r="Q327" s="46" t="s">
        <v>1013</v>
      </c>
      <c r="R327" s="46" t="s">
        <v>1435</v>
      </c>
      <c r="S327" s="37"/>
    </row>
    <row r="328" spans="1:19" x14ac:dyDescent="0.2">
      <c r="A328" s="36"/>
      <c r="B328" s="38" t="str">
        <f>IF(MasterFees[[#This Row],[RVG Code]]="","",_xlfn.XLOOKUP(MasterFees[[#This Row],[RVG Code]],RVGCodes[Code],RVGCodes[Base Units],"Code not found"))</f>
        <v/>
      </c>
      <c r="C328" s="37" t="s">
        <v>329</v>
      </c>
      <c r="D328" s="44" t="s">
        <v>1108</v>
      </c>
      <c r="E328" s="44"/>
      <c r="F328" s="44" t="s">
        <v>1109</v>
      </c>
      <c r="G328" s="39">
        <v>8.1</v>
      </c>
      <c r="H328" s="39">
        <v>24.6</v>
      </c>
      <c r="I328" s="39">
        <v>2</v>
      </c>
      <c r="J328" s="39">
        <v>34.700000000000003</v>
      </c>
      <c r="K328" s="40">
        <v>1909.05</v>
      </c>
      <c r="L328" s="45" t="s">
        <v>1015</v>
      </c>
      <c r="M328" s="41" t="str">
        <f>IF(MasterFees[[#This Row],[GST Basis]]="Excl",MasterFees[[#This Row],[Fee as Printed]],IF(MasterFees[[#This Row],[GST Basis]]="Incl",MasterFees[[#This Row],[Fee as Printed]]/(1+GST_Rate),""))</f>
        <v/>
      </c>
      <c r="N328" s="41" t="str">
        <f>IF(MasterFees[[#This Row],[GST Basis]]="Incl",MasterFees[[#This Row],[Fee as Printed]],IF(MasterFees[[#This Row],[GST Basis]]="Excl",MasterFees[[#This Row],[Fee as Printed]]*(1+GST_Rate),""))</f>
        <v/>
      </c>
      <c r="O328" s="42">
        <f>IF(N(MasterFees[[#This Row],[Total Units]])=0,"",MasterFees[[#This Row],[Fee as Printed]]/MasterFees[[#This Row],[Total Units]])</f>
        <v>55.015850144092212</v>
      </c>
      <c r="P328" s="43"/>
      <c r="Q328" s="46" t="s">
        <v>1013</v>
      </c>
      <c r="R328" s="46" t="s">
        <v>1436</v>
      </c>
      <c r="S328" s="37"/>
    </row>
    <row r="329" spans="1:19" x14ac:dyDescent="0.2">
      <c r="A329" s="36"/>
      <c r="B329" s="38" t="str">
        <f>IF(MasterFees[[#This Row],[RVG Code]]="","",_xlfn.XLOOKUP(MasterFees[[#This Row],[RVG Code]],RVGCodes[Code],RVGCodes[Base Units],"Code not found"))</f>
        <v/>
      </c>
      <c r="C329" s="37" t="s">
        <v>330</v>
      </c>
      <c r="D329" s="44" t="s">
        <v>1108</v>
      </c>
      <c r="E329" s="44"/>
      <c r="F329" s="44" t="s">
        <v>1109</v>
      </c>
      <c r="G329" s="39">
        <v>2.7</v>
      </c>
      <c r="H329" s="39">
        <v>8.8000000000000007</v>
      </c>
      <c r="I329" s="39">
        <v>0.2</v>
      </c>
      <c r="J329" s="39">
        <v>11.7</v>
      </c>
      <c r="K329" s="40">
        <v>640.75</v>
      </c>
      <c r="L329" s="45" t="s">
        <v>1015</v>
      </c>
      <c r="M329" s="41" t="str">
        <f>IF(MasterFees[[#This Row],[GST Basis]]="Excl",MasterFees[[#This Row],[Fee as Printed]],IF(MasterFees[[#This Row],[GST Basis]]="Incl",MasterFees[[#This Row],[Fee as Printed]]/(1+GST_Rate),""))</f>
        <v/>
      </c>
      <c r="N329" s="41" t="str">
        <f>IF(MasterFees[[#This Row],[GST Basis]]="Incl",MasterFees[[#This Row],[Fee as Printed]],IF(MasterFees[[#This Row],[GST Basis]]="Excl",MasterFees[[#This Row],[Fee as Printed]]*(1+GST_Rate),""))</f>
        <v/>
      </c>
      <c r="O329" s="42">
        <f>IF(N(MasterFees[[#This Row],[Total Units]])=0,"",MasterFees[[#This Row],[Fee as Printed]]/MasterFees[[#This Row],[Total Units]])</f>
        <v>54.764957264957268</v>
      </c>
      <c r="P329" s="43"/>
      <c r="Q329" s="46" t="s">
        <v>1013</v>
      </c>
      <c r="R329" s="46" t="s">
        <v>1437</v>
      </c>
      <c r="S329" s="37"/>
    </row>
    <row r="330" spans="1:19" x14ac:dyDescent="0.2">
      <c r="A330" s="36"/>
      <c r="B330" s="38" t="str">
        <f>IF(MasterFees[[#This Row],[RVG Code]]="","",_xlfn.XLOOKUP(MasterFees[[#This Row],[RVG Code]],RVGCodes[Code],RVGCodes[Base Units],"Code not found"))</f>
        <v/>
      </c>
      <c r="C330" s="37" t="s">
        <v>331</v>
      </c>
      <c r="D330" s="44" t="s">
        <v>1108</v>
      </c>
      <c r="E330" s="44"/>
      <c r="F330" s="44" t="s">
        <v>1109</v>
      </c>
      <c r="G330" s="39">
        <v>5.8</v>
      </c>
      <c r="H330" s="39">
        <v>10.6</v>
      </c>
      <c r="I330" s="39">
        <v>0.2</v>
      </c>
      <c r="J330" s="39">
        <v>16.5</v>
      </c>
      <c r="K330" s="40">
        <v>908.6</v>
      </c>
      <c r="L330" s="45" t="s">
        <v>1015</v>
      </c>
      <c r="M330" s="41" t="str">
        <f>IF(MasterFees[[#This Row],[GST Basis]]="Excl",MasterFees[[#This Row],[Fee as Printed]],IF(MasterFees[[#This Row],[GST Basis]]="Incl",MasterFees[[#This Row],[Fee as Printed]]/(1+GST_Rate),""))</f>
        <v/>
      </c>
      <c r="N330" s="41" t="str">
        <f>IF(MasterFees[[#This Row],[GST Basis]]="Incl",MasterFees[[#This Row],[Fee as Printed]],IF(MasterFees[[#This Row],[GST Basis]]="Excl",MasterFees[[#This Row],[Fee as Printed]]*(1+GST_Rate),""))</f>
        <v/>
      </c>
      <c r="O330" s="42">
        <f>IF(N(MasterFees[[#This Row],[Total Units]])=0,"",MasterFees[[#This Row],[Fee as Printed]]/MasterFees[[#This Row],[Total Units]])</f>
        <v>55.06666666666667</v>
      </c>
      <c r="P330" s="43"/>
      <c r="Q330" s="46" t="s">
        <v>1013</v>
      </c>
      <c r="R330" s="46" t="s">
        <v>1438</v>
      </c>
      <c r="S330" s="37"/>
    </row>
    <row r="331" spans="1:19" x14ac:dyDescent="0.2">
      <c r="A331" s="36"/>
      <c r="B331" s="38" t="str">
        <f>IF(MasterFees[[#This Row],[RVG Code]]="","",_xlfn.XLOOKUP(MasterFees[[#This Row],[RVG Code]],RVGCodes[Code],RVGCodes[Base Units],"Code not found"))</f>
        <v/>
      </c>
      <c r="C331" s="37" t="s">
        <v>331</v>
      </c>
      <c r="D331" s="44" t="s">
        <v>1108</v>
      </c>
      <c r="E331" s="44"/>
      <c r="F331" s="44" t="s">
        <v>1109</v>
      </c>
      <c r="G331" s="39">
        <v>5.8</v>
      </c>
      <c r="H331" s="39">
        <v>10.6</v>
      </c>
      <c r="I331" s="39">
        <v>0.2</v>
      </c>
      <c r="J331" s="39">
        <v>16.5</v>
      </c>
      <c r="K331" s="40">
        <v>908.6</v>
      </c>
      <c r="L331" s="45" t="s">
        <v>1015</v>
      </c>
      <c r="M331" s="41" t="str">
        <f>IF(MasterFees[[#This Row],[GST Basis]]="Excl",MasterFees[[#This Row],[Fee as Printed]],IF(MasterFees[[#This Row],[GST Basis]]="Incl",MasterFees[[#This Row],[Fee as Printed]]/(1+GST_Rate),""))</f>
        <v/>
      </c>
      <c r="N331" s="41" t="str">
        <f>IF(MasterFees[[#This Row],[GST Basis]]="Incl",MasterFees[[#This Row],[Fee as Printed]],IF(MasterFees[[#This Row],[GST Basis]]="Excl",MasterFees[[#This Row],[Fee as Printed]]*(1+GST_Rate),""))</f>
        <v/>
      </c>
      <c r="O331" s="42">
        <f>IF(N(MasterFees[[#This Row],[Total Units]])=0,"",MasterFees[[#This Row],[Fee as Printed]]/MasterFees[[#This Row],[Total Units]])</f>
        <v>55.06666666666667</v>
      </c>
      <c r="P331" s="43"/>
      <c r="Q331" s="46" t="s">
        <v>1013</v>
      </c>
      <c r="R331" s="46" t="s">
        <v>1439</v>
      </c>
      <c r="S331" s="37"/>
    </row>
    <row r="332" spans="1:19" x14ac:dyDescent="0.2">
      <c r="A332" s="36"/>
      <c r="B332" s="38" t="str">
        <f>IF(MasterFees[[#This Row],[RVG Code]]="","",_xlfn.XLOOKUP(MasterFees[[#This Row],[RVG Code]],RVGCodes[Code],RVGCodes[Base Units],"Code not found"))</f>
        <v/>
      </c>
      <c r="C332" s="37" t="s">
        <v>332</v>
      </c>
      <c r="D332" s="44" t="s">
        <v>1108</v>
      </c>
      <c r="E332" s="44"/>
      <c r="F332" s="44" t="s">
        <v>1109</v>
      </c>
      <c r="G332" s="39">
        <v>6</v>
      </c>
      <c r="H332" s="39">
        <v>9</v>
      </c>
      <c r="I332" s="39">
        <v>0.4</v>
      </c>
      <c r="J332" s="39">
        <v>15.4</v>
      </c>
      <c r="K332" s="40">
        <v>847</v>
      </c>
      <c r="L332" s="45" t="s">
        <v>1015</v>
      </c>
      <c r="M332" s="41" t="str">
        <f>IF(MasterFees[[#This Row],[GST Basis]]="Excl",MasterFees[[#This Row],[Fee as Printed]],IF(MasterFees[[#This Row],[GST Basis]]="Incl",MasterFees[[#This Row],[Fee as Printed]]/(1+GST_Rate),""))</f>
        <v/>
      </c>
      <c r="N332" s="41" t="str">
        <f>IF(MasterFees[[#This Row],[GST Basis]]="Incl",MasterFees[[#This Row],[Fee as Printed]],IF(MasterFees[[#This Row],[GST Basis]]="Excl",MasterFees[[#This Row],[Fee as Printed]]*(1+GST_Rate),""))</f>
        <v/>
      </c>
      <c r="O332" s="42">
        <f>IF(N(MasterFees[[#This Row],[Total Units]])=0,"",MasterFees[[#This Row],[Fee as Printed]]/MasterFees[[#This Row],[Total Units]])</f>
        <v>55</v>
      </c>
      <c r="P332" s="43"/>
      <c r="Q332" s="46" t="s">
        <v>1013</v>
      </c>
      <c r="R332" s="46" t="s">
        <v>1440</v>
      </c>
      <c r="S332" s="37"/>
    </row>
    <row r="333" spans="1:19" x14ac:dyDescent="0.2">
      <c r="A333" s="36"/>
      <c r="B333" s="38" t="str">
        <f>IF(MasterFees[[#This Row],[RVG Code]]="","",_xlfn.XLOOKUP(MasterFees[[#This Row],[RVG Code]],RVGCodes[Code],RVGCodes[Base Units],"Code not found"))</f>
        <v/>
      </c>
      <c r="C333" s="37" t="s">
        <v>333</v>
      </c>
      <c r="D333" s="44" t="s">
        <v>1108</v>
      </c>
      <c r="E333" s="44"/>
      <c r="F333" s="44" t="s">
        <v>1109</v>
      </c>
      <c r="G333" s="39">
        <v>0</v>
      </c>
      <c r="H333" s="39">
        <v>0</v>
      </c>
      <c r="I333" s="39">
        <v>0</v>
      </c>
      <c r="J333" s="39">
        <v>0</v>
      </c>
      <c r="K333" s="40">
        <v>0</v>
      </c>
      <c r="L333" s="45" t="s">
        <v>1015</v>
      </c>
      <c r="M333" s="41" t="str">
        <f>IF(MasterFees[[#This Row],[GST Basis]]="Excl",MasterFees[[#This Row],[Fee as Printed]],IF(MasterFees[[#This Row],[GST Basis]]="Incl",MasterFees[[#This Row],[Fee as Printed]]/(1+GST_Rate),""))</f>
        <v/>
      </c>
      <c r="N333" s="41" t="str">
        <f>IF(MasterFees[[#This Row],[GST Basis]]="Incl",MasterFees[[#This Row],[Fee as Printed]],IF(MasterFees[[#This Row],[GST Basis]]="Excl",MasterFees[[#This Row],[Fee as Printed]]*(1+GST_Rate),""))</f>
        <v/>
      </c>
      <c r="O333" s="42" t="str">
        <f>IF(N(MasterFees[[#This Row],[Total Units]])=0,"",MasterFees[[#This Row],[Fee as Printed]]/MasterFees[[#This Row],[Total Units]])</f>
        <v/>
      </c>
      <c r="P333" s="43"/>
      <c r="Q333" s="46" t="s">
        <v>1013</v>
      </c>
      <c r="R333" s="46" t="s">
        <v>1441</v>
      </c>
      <c r="S333" s="37"/>
    </row>
    <row r="334" spans="1:19" x14ac:dyDescent="0.2">
      <c r="A334" s="36"/>
      <c r="B334" s="38" t="str">
        <f>IF(MasterFees[[#This Row],[RVG Code]]="","",_xlfn.XLOOKUP(MasterFees[[#This Row],[RVG Code]],RVGCodes[Code],RVGCodes[Base Units],"Code not found"))</f>
        <v/>
      </c>
      <c r="C334" s="37" t="s">
        <v>334</v>
      </c>
      <c r="D334" s="44" t="s">
        <v>1108</v>
      </c>
      <c r="E334" s="44"/>
      <c r="F334" s="44" t="s">
        <v>1109</v>
      </c>
      <c r="G334" s="39">
        <v>5.3</v>
      </c>
      <c r="H334" s="39">
        <v>8.5</v>
      </c>
      <c r="I334" s="39">
        <v>0.4</v>
      </c>
      <c r="J334" s="39">
        <v>14.1</v>
      </c>
      <c r="K334" s="40">
        <v>774.4</v>
      </c>
      <c r="L334" s="45" t="s">
        <v>1015</v>
      </c>
      <c r="M334" s="41" t="str">
        <f>IF(MasterFees[[#This Row],[GST Basis]]="Excl",MasterFees[[#This Row],[Fee as Printed]],IF(MasterFees[[#This Row],[GST Basis]]="Incl",MasterFees[[#This Row],[Fee as Printed]]/(1+GST_Rate),""))</f>
        <v/>
      </c>
      <c r="N334" s="41" t="str">
        <f>IF(MasterFees[[#This Row],[GST Basis]]="Incl",MasterFees[[#This Row],[Fee as Printed]],IF(MasterFees[[#This Row],[GST Basis]]="Excl",MasterFees[[#This Row],[Fee as Printed]]*(1+GST_Rate),""))</f>
        <v/>
      </c>
      <c r="O334" s="42">
        <f>IF(N(MasterFees[[#This Row],[Total Units]])=0,"",MasterFees[[#This Row],[Fee as Printed]]/MasterFees[[#This Row],[Total Units]])</f>
        <v>54.921985815602838</v>
      </c>
      <c r="P334" s="43"/>
      <c r="Q334" s="46" t="s">
        <v>1013</v>
      </c>
      <c r="R334" s="46" t="s">
        <v>1442</v>
      </c>
      <c r="S334" s="37"/>
    </row>
    <row r="335" spans="1:19" x14ac:dyDescent="0.2">
      <c r="A335" s="36"/>
      <c r="B335" s="38" t="str">
        <f>IF(MasterFees[[#This Row],[RVG Code]]="","",_xlfn.XLOOKUP(MasterFees[[#This Row],[RVG Code]],RVGCodes[Code],RVGCodes[Base Units],"Code not found"))</f>
        <v/>
      </c>
      <c r="C335" s="37" t="s">
        <v>335</v>
      </c>
      <c r="D335" s="44" t="s">
        <v>1108</v>
      </c>
      <c r="E335" s="44"/>
      <c r="F335" s="44" t="s">
        <v>1109</v>
      </c>
      <c r="G335" s="39">
        <v>4.4000000000000004</v>
      </c>
      <c r="H335" s="39">
        <v>2.7</v>
      </c>
      <c r="I335" s="39">
        <v>0.1</v>
      </c>
      <c r="J335" s="39">
        <v>7.2</v>
      </c>
      <c r="K335" s="40">
        <v>396.55</v>
      </c>
      <c r="L335" s="45" t="s">
        <v>1015</v>
      </c>
      <c r="M335" s="41" t="str">
        <f>IF(MasterFees[[#This Row],[GST Basis]]="Excl",MasterFees[[#This Row],[Fee as Printed]],IF(MasterFees[[#This Row],[GST Basis]]="Incl",MasterFees[[#This Row],[Fee as Printed]]/(1+GST_Rate),""))</f>
        <v/>
      </c>
      <c r="N335" s="41" t="str">
        <f>IF(MasterFees[[#This Row],[GST Basis]]="Incl",MasterFees[[#This Row],[Fee as Printed]],IF(MasterFees[[#This Row],[GST Basis]]="Excl",MasterFees[[#This Row],[Fee as Printed]]*(1+GST_Rate),""))</f>
        <v/>
      </c>
      <c r="O335" s="42">
        <f>IF(N(MasterFees[[#This Row],[Total Units]])=0,"",MasterFees[[#This Row],[Fee as Printed]]/MasterFees[[#This Row],[Total Units]])</f>
        <v>55.076388888888886</v>
      </c>
      <c r="P335" s="43"/>
      <c r="Q335" s="46" t="s">
        <v>1013</v>
      </c>
      <c r="R335" s="46" t="s">
        <v>1443</v>
      </c>
      <c r="S335" s="37"/>
    </row>
    <row r="336" spans="1:19" x14ac:dyDescent="0.2">
      <c r="A336" s="36"/>
      <c r="B336" s="38" t="str">
        <f>IF(MasterFees[[#This Row],[RVG Code]]="","",_xlfn.XLOOKUP(MasterFees[[#This Row],[RVG Code]],RVGCodes[Code],RVGCodes[Base Units],"Code not found"))</f>
        <v/>
      </c>
      <c r="C336" s="37" t="s">
        <v>336</v>
      </c>
      <c r="D336" s="44" t="s">
        <v>1108</v>
      </c>
      <c r="E336" s="44"/>
      <c r="F336" s="44" t="s">
        <v>1109</v>
      </c>
      <c r="G336" s="39">
        <v>8.5</v>
      </c>
      <c r="H336" s="39">
        <v>3</v>
      </c>
      <c r="I336" s="39">
        <v>0</v>
      </c>
      <c r="J336" s="39">
        <v>11.5</v>
      </c>
      <c r="K336" s="40">
        <v>632.5</v>
      </c>
      <c r="L336" s="45" t="s">
        <v>1015</v>
      </c>
      <c r="M336" s="41" t="str">
        <f>IF(MasterFees[[#This Row],[GST Basis]]="Excl",MasterFees[[#This Row],[Fee as Printed]],IF(MasterFees[[#This Row],[GST Basis]]="Incl",MasterFees[[#This Row],[Fee as Printed]]/(1+GST_Rate),""))</f>
        <v/>
      </c>
      <c r="N336" s="41" t="str">
        <f>IF(MasterFees[[#This Row],[GST Basis]]="Incl",MasterFees[[#This Row],[Fee as Printed]],IF(MasterFees[[#This Row],[GST Basis]]="Excl",MasterFees[[#This Row],[Fee as Printed]]*(1+GST_Rate),""))</f>
        <v/>
      </c>
      <c r="O336" s="42">
        <f>IF(N(MasterFees[[#This Row],[Total Units]])=0,"",MasterFees[[#This Row],[Fee as Printed]]/MasterFees[[#This Row],[Total Units]])</f>
        <v>55</v>
      </c>
      <c r="P336" s="43"/>
      <c r="Q336" s="46" t="s">
        <v>1013</v>
      </c>
      <c r="R336" s="46" t="s">
        <v>1444</v>
      </c>
      <c r="S336" s="37"/>
    </row>
    <row r="337" spans="1:19" x14ac:dyDescent="0.2">
      <c r="A337" s="36"/>
      <c r="B337" s="38" t="str">
        <f>IF(MasterFees[[#This Row],[RVG Code]]="","",_xlfn.XLOOKUP(MasterFees[[#This Row],[RVG Code]],RVGCodes[Code],RVGCodes[Base Units],"Code not found"))</f>
        <v/>
      </c>
      <c r="C337" s="37" t="s">
        <v>337</v>
      </c>
      <c r="D337" s="44" t="s">
        <v>1108</v>
      </c>
      <c r="E337" s="44"/>
      <c r="F337" s="44" t="s">
        <v>1109</v>
      </c>
      <c r="G337" s="39">
        <v>0</v>
      </c>
      <c r="H337" s="39">
        <v>0</v>
      </c>
      <c r="I337" s="39">
        <v>0</v>
      </c>
      <c r="J337" s="39">
        <v>0</v>
      </c>
      <c r="K337" s="40">
        <v>0</v>
      </c>
      <c r="L337" s="45" t="s">
        <v>1015</v>
      </c>
      <c r="M337" s="41" t="str">
        <f>IF(MasterFees[[#This Row],[GST Basis]]="Excl",MasterFees[[#This Row],[Fee as Printed]],IF(MasterFees[[#This Row],[GST Basis]]="Incl",MasterFees[[#This Row],[Fee as Printed]]/(1+GST_Rate),""))</f>
        <v/>
      </c>
      <c r="N337" s="41" t="str">
        <f>IF(MasterFees[[#This Row],[GST Basis]]="Incl",MasterFees[[#This Row],[Fee as Printed]],IF(MasterFees[[#This Row],[GST Basis]]="Excl",MasterFees[[#This Row],[Fee as Printed]]*(1+GST_Rate),""))</f>
        <v/>
      </c>
      <c r="O337" s="42" t="str">
        <f>IF(N(MasterFees[[#This Row],[Total Units]])=0,"",MasterFees[[#This Row],[Fee as Printed]]/MasterFees[[#This Row],[Total Units]])</f>
        <v/>
      </c>
      <c r="P337" s="43"/>
      <c r="Q337" s="46" t="s">
        <v>1013</v>
      </c>
      <c r="R337" s="46" t="s">
        <v>1445</v>
      </c>
      <c r="S337" s="37"/>
    </row>
    <row r="338" spans="1:19" x14ac:dyDescent="0.2">
      <c r="A338" s="36"/>
      <c r="B338" s="38" t="str">
        <f>IF(MasterFees[[#This Row],[RVG Code]]="","",_xlfn.XLOOKUP(MasterFees[[#This Row],[RVG Code]],RVGCodes[Code],RVGCodes[Base Units],"Code not found"))</f>
        <v/>
      </c>
      <c r="C338" s="37" t="s">
        <v>338</v>
      </c>
      <c r="D338" s="44" t="s">
        <v>1108</v>
      </c>
      <c r="E338" s="44"/>
      <c r="F338" s="44" t="s">
        <v>1109</v>
      </c>
      <c r="G338" s="39">
        <v>5</v>
      </c>
      <c r="H338" s="39">
        <v>3</v>
      </c>
      <c r="I338" s="39">
        <v>0</v>
      </c>
      <c r="J338" s="39">
        <v>8</v>
      </c>
      <c r="K338" s="40">
        <v>440</v>
      </c>
      <c r="L338" s="45" t="s">
        <v>1015</v>
      </c>
      <c r="M338" s="41" t="str">
        <f>IF(MasterFees[[#This Row],[GST Basis]]="Excl",MasterFees[[#This Row],[Fee as Printed]],IF(MasterFees[[#This Row],[GST Basis]]="Incl",MasterFees[[#This Row],[Fee as Printed]]/(1+GST_Rate),""))</f>
        <v/>
      </c>
      <c r="N338" s="41" t="str">
        <f>IF(MasterFees[[#This Row],[GST Basis]]="Incl",MasterFees[[#This Row],[Fee as Printed]],IF(MasterFees[[#This Row],[GST Basis]]="Excl",MasterFees[[#This Row],[Fee as Printed]]*(1+GST_Rate),""))</f>
        <v/>
      </c>
      <c r="O338" s="42">
        <f>IF(N(MasterFees[[#This Row],[Total Units]])=0,"",MasterFees[[#This Row],[Fee as Printed]]/MasterFees[[#This Row],[Total Units]])</f>
        <v>55</v>
      </c>
      <c r="P338" s="43"/>
      <c r="Q338" s="46" t="s">
        <v>1013</v>
      </c>
      <c r="R338" s="46" t="s">
        <v>1446</v>
      </c>
      <c r="S338" s="37"/>
    </row>
    <row r="339" spans="1:19" x14ac:dyDescent="0.2">
      <c r="A339" s="36"/>
      <c r="B339" s="38" t="str">
        <f>IF(MasterFees[[#This Row],[RVG Code]]="","",_xlfn.XLOOKUP(MasterFees[[#This Row],[RVG Code]],RVGCodes[Code],RVGCodes[Base Units],"Code not found"))</f>
        <v/>
      </c>
      <c r="C339" s="37" t="s">
        <v>339</v>
      </c>
      <c r="D339" s="44" t="s">
        <v>1108</v>
      </c>
      <c r="E339" s="44"/>
      <c r="F339" s="44" t="s">
        <v>1109</v>
      </c>
      <c r="G339" s="39">
        <v>0</v>
      </c>
      <c r="H339" s="39">
        <v>0</v>
      </c>
      <c r="I339" s="39">
        <v>0</v>
      </c>
      <c r="J339" s="39">
        <v>0</v>
      </c>
      <c r="K339" s="40">
        <v>0</v>
      </c>
      <c r="L339" s="45" t="s">
        <v>1015</v>
      </c>
      <c r="M339" s="41" t="str">
        <f>IF(MasterFees[[#This Row],[GST Basis]]="Excl",MasterFees[[#This Row],[Fee as Printed]],IF(MasterFees[[#This Row],[GST Basis]]="Incl",MasterFees[[#This Row],[Fee as Printed]]/(1+GST_Rate),""))</f>
        <v/>
      </c>
      <c r="N339" s="41" t="str">
        <f>IF(MasterFees[[#This Row],[GST Basis]]="Incl",MasterFees[[#This Row],[Fee as Printed]],IF(MasterFees[[#This Row],[GST Basis]]="Excl",MasterFees[[#This Row],[Fee as Printed]]*(1+GST_Rate),""))</f>
        <v/>
      </c>
      <c r="O339" s="42" t="str">
        <f>IF(N(MasterFees[[#This Row],[Total Units]])=0,"",MasterFees[[#This Row],[Fee as Printed]]/MasterFees[[#This Row],[Total Units]])</f>
        <v/>
      </c>
      <c r="P339" s="43"/>
      <c r="Q339" s="46" t="s">
        <v>1013</v>
      </c>
      <c r="R339" s="46" t="s">
        <v>1447</v>
      </c>
      <c r="S339" s="37"/>
    </row>
    <row r="340" spans="1:19" x14ac:dyDescent="0.2">
      <c r="A340" s="36"/>
      <c r="B340" s="38" t="str">
        <f>IF(MasterFees[[#This Row],[RVG Code]]="","",_xlfn.XLOOKUP(MasterFees[[#This Row],[RVG Code]],RVGCodes[Code],RVGCodes[Base Units],"Code not found"))</f>
        <v/>
      </c>
      <c r="C340" s="37" t="s">
        <v>340</v>
      </c>
      <c r="D340" s="44" t="s">
        <v>1108</v>
      </c>
      <c r="E340" s="44"/>
      <c r="F340" s="44" t="s">
        <v>1109</v>
      </c>
      <c r="G340" s="39">
        <v>2.7</v>
      </c>
      <c r="H340" s="39">
        <v>1.5</v>
      </c>
      <c r="I340" s="39">
        <v>0</v>
      </c>
      <c r="J340" s="39">
        <v>4.2</v>
      </c>
      <c r="K340" s="40">
        <v>232.1</v>
      </c>
      <c r="L340" s="45" t="s">
        <v>1015</v>
      </c>
      <c r="M340" s="41" t="str">
        <f>IF(MasterFees[[#This Row],[GST Basis]]="Excl",MasterFees[[#This Row],[Fee as Printed]],IF(MasterFees[[#This Row],[GST Basis]]="Incl",MasterFees[[#This Row],[Fee as Printed]]/(1+GST_Rate),""))</f>
        <v/>
      </c>
      <c r="N340" s="41" t="str">
        <f>IF(MasterFees[[#This Row],[GST Basis]]="Incl",MasterFees[[#This Row],[Fee as Printed]],IF(MasterFees[[#This Row],[GST Basis]]="Excl",MasterFees[[#This Row],[Fee as Printed]]*(1+GST_Rate),""))</f>
        <v/>
      </c>
      <c r="O340" s="42">
        <f>IF(N(MasterFees[[#This Row],[Total Units]])=0,"",MasterFees[[#This Row],[Fee as Printed]]/MasterFees[[#This Row],[Total Units]])</f>
        <v>55.261904761904759</v>
      </c>
      <c r="P340" s="43"/>
      <c r="Q340" s="46" t="s">
        <v>1013</v>
      </c>
      <c r="R340" s="46" t="s">
        <v>1448</v>
      </c>
      <c r="S340" s="37"/>
    </row>
    <row r="341" spans="1:19" x14ac:dyDescent="0.2">
      <c r="A341" s="36"/>
      <c r="B341" s="38" t="str">
        <f>IF(MasterFees[[#This Row],[RVG Code]]="","",_xlfn.XLOOKUP(MasterFees[[#This Row],[RVG Code]],RVGCodes[Code],RVGCodes[Base Units],"Code not found"))</f>
        <v/>
      </c>
      <c r="C341" s="37" t="s">
        <v>341</v>
      </c>
      <c r="D341" s="44" t="s">
        <v>1108</v>
      </c>
      <c r="E341" s="44"/>
      <c r="F341" s="44" t="s">
        <v>1109</v>
      </c>
      <c r="G341" s="39">
        <v>4.3</v>
      </c>
      <c r="H341" s="39">
        <v>2.9</v>
      </c>
      <c r="I341" s="39">
        <v>0.1</v>
      </c>
      <c r="J341" s="39">
        <v>7.3</v>
      </c>
      <c r="K341" s="40">
        <v>402.05</v>
      </c>
      <c r="L341" s="45" t="s">
        <v>1015</v>
      </c>
      <c r="M341" s="41" t="str">
        <f>IF(MasterFees[[#This Row],[GST Basis]]="Excl",MasterFees[[#This Row],[Fee as Printed]],IF(MasterFees[[#This Row],[GST Basis]]="Incl",MasterFees[[#This Row],[Fee as Printed]]/(1+GST_Rate),""))</f>
        <v/>
      </c>
      <c r="N341" s="41" t="str">
        <f>IF(MasterFees[[#This Row],[GST Basis]]="Incl",MasterFees[[#This Row],[Fee as Printed]],IF(MasterFees[[#This Row],[GST Basis]]="Excl",MasterFees[[#This Row],[Fee as Printed]]*(1+GST_Rate),""))</f>
        <v/>
      </c>
      <c r="O341" s="42">
        <f>IF(N(MasterFees[[#This Row],[Total Units]])=0,"",MasterFees[[#This Row],[Fee as Printed]]/MasterFees[[#This Row],[Total Units]])</f>
        <v>55.07534246575343</v>
      </c>
      <c r="P341" s="43"/>
      <c r="Q341" s="46" t="s">
        <v>1013</v>
      </c>
      <c r="R341" s="46" t="s">
        <v>1449</v>
      </c>
      <c r="S341" s="37"/>
    </row>
    <row r="342" spans="1:19" x14ac:dyDescent="0.2">
      <c r="A342" s="36"/>
      <c r="B342" s="38" t="str">
        <f>IF(MasterFees[[#This Row],[RVG Code]]="","",_xlfn.XLOOKUP(MasterFees[[#This Row],[RVG Code]],RVGCodes[Code],RVGCodes[Base Units],"Code not found"))</f>
        <v/>
      </c>
      <c r="C342" s="37" t="s">
        <v>342</v>
      </c>
      <c r="D342" s="44" t="s">
        <v>1108</v>
      </c>
      <c r="E342" s="44"/>
      <c r="F342" s="44" t="s">
        <v>1109</v>
      </c>
      <c r="G342" s="39">
        <v>5</v>
      </c>
      <c r="H342" s="39">
        <v>3</v>
      </c>
      <c r="I342" s="39">
        <v>0.5</v>
      </c>
      <c r="J342" s="39">
        <v>8.5</v>
      </c>
      <c r="K342" s="40">
        <v>467.5</v>
      </c>
      <c r="L342" s="45" t="s">
        <v>1015</v>
      </c>
      <c r="M342" s="41" t="str">
        <f>IF(MasterFees[[#This Row],[GST Basis]]="Excl",MasterFees[[#This Row],[Fee as Printed]],IF(MasterFees[[#This Row],[GST Basis]]="Incl",MasterFees[[#This Row],[Fee as Printed]]/(1+GST_Rate),""))</f>
        <v/>
      </c>
      <c r="N342" s="41" t="str">
        <f>IF(MasterFees[[#This Row],[GST Basis]]="Incl",MasterFees[[#This Row],[Fee as Printed]],IF(MasterFees[[#This Row],[GST Basis]]="Excl",MasterFees[[#This Row],[Fee as Printed]]*(1+GST_Rate),""))</f>
        <v/>
      </c>
      <c r="O342" s="42">
        <f>IF(N(MasterFees[[#This Row],[Total Units]])=0,"",MasterFees[[#This Row],[Fee as Printed]]/MasterFees[[#This Row],[Total Units]])</f>
        <v>55</v>
      </c>
      <c r="P342" s="43"/>
      <c r="Q342" s="46" t="s">
        <v>1013</v>
      </c>
      <c r="R342" s="46" t="s">
        <v>1450</v>
      </c>
      <c r="S342" s="37"/>
    </row>
    <row r="343" spans="1:19" x14ac:dyDescent="0.2">
      <c r="A343" s="36"/>
      <c r="B343" s="38" t="str">
        <f>IF(MasterFees[[#This Row],[RVG Code]]="","",_xlfn.XLOOKUP(MasterFees[[#This Row],[RVG Code]],RVGCodes[Code],RVGCodes[Base Units],"Code not found"))</f>
        <v/>
      </c>
      <c r="C343" s="37" t="s">
        <v>343</v>
      </c>
      <c r="D343" s="44" t="s">
        <v>1108</v>
      </c>
      <c r="E343" s="44"/>
      <c r="F343" s="44" t="s">
        <v>1109</v>
      </c>
      <c r="G343" s="39">
        <v>5</v>
      </c>
      <c r="H343" s="39">
        <v>3.1</v>
      </c>
      <c r="I343" s="39">
        <v>0.2</v>
      </c>
      <c r="J343" s="39">
        <v>8.1999999999999993</v>
      </c>
      <c r="K343" s="40">
        <v>453.2</v>
      </c>
      <c r="L343" s="45" t="s">
        <v>1015</v>
      </c>
      <c r="M343" s="41" t="str">
        <f>IF(MasterFees[[#This Row],[GST Basis]]="Excl",MasterFees[[#This Row],[Fee as Printed]],IF(MasterFees[[#This Row],[GST Basis]]="Incl",MasterFees[[#This Row],[Fee as Printed]]/(1+GST_Rate),""))</f>
        <v/>
      </c>
      <c r="N343" s="41" t="str">
        <f>IF(MasterFees[[#This Row],[GST Basis]]="Incl",MasterFees[[#This Row],[Fee as Printed]],IF(MasterFees[[#This Row],[GST Basis]]="Excl",MasterFees[[#This Row],[Fee as Printed]]*(1+GST_Rate),""))</f>
        <v/>
      </c>
      <c r="O343" s="42">
        <f>IF(N(MasterFees[[#This Row],[Total Units]])=0,"",MasterFees[[#This Row],[Fee as Printed]]/MasterFees[[#This Row],[Total Units]])</f>
        <v>55.268292682926834</v>
      </c>
      <c r="P343" s="43"/>
      <c r="Q343" s="46" t="s">
        <v>1013</v>
      </c>
      <c r="R343" s="46" t="s">
        <v>1451</v>
      </c>
      <c r="S343" s="37"/>
    </row>
    <row r="344" spans="1:19" x14ac:dyDescent="0.2">
      <c r="A344" s="36"/>
      <c r="B344" s="38" t="str">
        <f>IF(MasterFees[[#This Row],[RVG Code]]="","",_xlfn.XLOOKUP(MasterFees[[#This Row],[RVG Code]],RVGCodes[Code],RVGCodes[Base Units],"Code not found"))</f>
        <v/>
      </c>
      <c r="C344" s="37" t="s">
        <v>344</v>
      </c>
      <c r="D344" s="44" t="s">
        <v>1108</v>
      </c>
      <c r="E344" s="44"/>
      <c r="F344" s="44" t="s">
        <v>1109</v>
      </c>
      <c r="G344" s="39">
        <v>5</v>
      </c>
      <c r="H344" s="39">
        <v>2</v>
      </c>
      <c r="I344" s="39">
        <v>0.5</v>
      </c>
      <c r="J344" s="39">
        <v>7.5</v>
      </c>
      <c r="K344" s="40">
        <v>412.5</v>
      </c>
      <c r="L344" s="45" t="s">
        <v>1015</v>
      </c>
      <c r="M344" s="41" t="str">
        <f>IF(MasterFees[[#This Row],[GST Basis]]="Excl",MasterFees[[#This Row],[Fee as Printed]],IF(MasterFees[[#This Row],[GST Basis]]="Incl",MasterFees[[#This Row],[Fee as Printed]]/(1+GST_Rate),""))</f>
        <v/>
      </c>
      <c r="N344" s="41" t="str">
        <f>IF(MasterFees[[#This Row],[GST Basis]]="Incl",MasterFees[[#This Row],[Fee as Printed]],IF(MasterFees[[#This Row],[GST Basis]]="Excl",MasterFees[[#This Row],[Fee as Printed]]*(1+GST_Rate),""))</f>
        <v/>
      </c>
      <c r="O344" s="42">
        <f>IF(N(MasterFees[[#This Row],[Total Units]])=0,"",MasterFees[[#This Row],[Fee as Printed]]/MasterFees[[#This Row],[Total Units]])</f>
        <v>55</v>
      </c>
      <c r="P344" s="43"/>
      <c r="Q344" s="46" t="s">
        <v>1013</v>
      </c>
      <c r="R344" s="46" t="s">
        <v>1452</v>
      </c>
      <c r="S344" s="37"/>
    </row>
    <row r="345" spans="1:19" x14ac:dyDescent="0.2">
      <c r="A345" s="36"/>
      <c r="B345" s="38" t="str">
        <f>IF(MasterFees[[#This Row],[RVG Code]]="","",_xlfn.XLOOKUP(MasterFees[[#This Row],[RVG Code]],RVGCodes[Code],RVGCodes[Base Units],"Code not found"))</f>
        <v/>
      </c>
      <c r="C345" s="37" t="s">
        <v>345</v>
      </c>
      <c r="D345" s="44" t="s">
        <v>1108</v>
      </c>
      <c r="E345" s="44"/>
      <c r="F345" s="44" t="s">
        <v>1109</v>
      </c>
      <c r="G345" s="39">
        <v>3.5</v>
      </c>
      <c r="H345" s="39">
        <v>2.6</v>
      </c>
      <c r="I345" s="39">
        <v>0.3</v>
      </c>
      <c r="J345" s="39">
        <v>6.4</v>
      </c>
      <c r="K345" s="40">
        <v>352</v>
      </c>
      <c r="L345" s="45" t="s">
        <v>1015</v>
      </c>
      <c r="M345" s="41" t="str">
        <f>IF(MasterFees[[#This Row],[GST Basis]]="Excl",MasterFees[[#This Row],[Fee as Printed]],IF(MasterFees[[#This Row],[GST Basis]]="Incl",MasterFees[[#This Row],[Fee as Printed]]/(1+GST_Rate),""))</f>
        <v/>
      </c>
      <c r="N345" s="41" t="str">
        <f>IF(MasterFees[[#This Row],[GST Basis]]="Incl",MasterFees[[#This Row],[Fee as Printed]],IF(MasterFees[[#This Row],[GST Basis]]="Excl",MasterFees[[#This Row],[Fee as Printed]]*(1+GST_Rate),""))</f>
        <v/>
      </c>
      <c r="O345" s="42">
        <f>IF(N(MasterFees[[#This Row],[Total Units]])=0,"",MasterFees[[#This Row],[Fee as Printed]]/MasterFees[[#This Row],[Total Units]])</f>
        <v>55</v>
      </c>
      <c r="P345" s="43"/>
      <c r="Q345" s="46" t="s">
        <v>1013</v>
      </c>
      <c r="R345" s="46" t="s">
        <v>1453</v>
      </c>
      <c r="S345" s="37"/>
    </row>
    <row r="346" spans="1:19" x14ac:dyDescent="0.2">
      <c r="A346" s="36"/>
      <c r="B346" s="38" t="str">
        <f>IF(MasterFees[[#This Row],[RVG Code]]="","",_xlfn.XLOOKUP(MasterFees[[#This Row],[RVG Code]],RVGCodes[Code],RVGCodes[Base Units],"Code not found"))</f>
        <v/>
      </c>
      <c r="C346" s="37" t="s">
        <v>346</v>
      </c>
      <c r="D346" s="44" t="s">
        <v>1108</v>
      </c>
      <c r="E346" s="44"/>
      <c r="F346" s="44" t="s">
        <v>1109</v>
      </c>
      <c r="G346" s="39">
        <v>0</v>
      </c>
      <c r="H346" s="39">
        <v>1</v>
      </c>
      <c r="I346" s="39">
        <v>0</v>
      </c>
      <c r="J346" s="39">
        <v>1</v>
      </c>
      <c r="K346" s="40">
        <v>55</v>
      </c>
      <c r="L346" s="45" t="s">
        <v>1015</v>
      </c>
      <c r="M346" s="41" t="str">
        <f>IF(MasterFees[[#This Row],[GST Basis]]="Excl",MasterFees[[#This Row],[Fee as Printed]],IF(MasterFees[[#This Row],[GST Basis]]="Incl",MasterFees[[#This Row],[Fee as Printed]]/(1+GST_Rate),""))</f>
        <v/>
      </c>
      <c r="N346" s="41" t="str">
        <f>IF(MasterFees[[#This Row],[GST Basis]]="Incl",MasterFees[[#This Row],[Fee as Printed]],IF(MasterFees[[#This Row],[GST Basis]]="Excl",MasterFees[[#This Row],[Fee as Printed]]*(1+GST_Rate),""))</f>
        <v/>
      </c>
      <c r="O346" s="42">
        <f>IF(N(MasterFees[[#This Row],[Total Units]])=0,"",MasterFees[[#This Row],[Fee as Printed]]/MasterFees[[#This Row],[Total Units]])</f>
        <v>55</v>
      </c>
      <c r="P346" s="43"/>
      <c r="Q346" s="46" t="s">
        <v>1013</v>
      </c>
      <c r="R346" s="46" t="s">
        <v>1454</v>
      </c>
      <c r="S346" s="37"/>
    </row>
    <row r="347" spans="1:19" x14ac:dyDescent="0.2">
      <c r="A347" s="36"/>
      <c r="B347" s="38" t="str">
        <f>IF(MasterFees[[#This Row],[RVG Code]]="","",_xlfn.XLOOKUP(MasterFees[[#This Row],[RVG Code]],RVGCodes[Code],RVGCodes[Base Units],"Code not found"))</f>
        <v/>
      </c>
      <c r="C347" s="37" t="s">
        <v>347</v>
      </c>
      <c r="D347" s="44" t="s">
        <v>1108</v>
      </c>
      <c r="E347" s="44"/>
      <c r="F347" s="44" t="s">
        <v>1109</v>
      </c>
      <c r="G347" s="39">
        <v>5</v>
      </c>
      <c r="H347" s="39">
        <v>2.8</v>
      </c>
      <c r="I347" s="39">
        <v>0.3</v>
      </c>
      <c r="J347" s="39">
        <v>8.1999999999999993</v>
      </c>
      <c r="K347" s="40">
        <v>448.8</v>
      </c>
      <c r="L347" s="45" t="s">
        <v>1015</v>
      </c>
      <c r="M347" s="41" t="str">
        <f>IF(MasterFees[[#This Row],[GST Basis]]="Excl",MasterFees[[#This Row],[Fee as Printed]],IF(MasterFees[[#This Row],[GST Basis]]="Incl",MasterFees[[#This Row],[Fee as Printed]]/(1+GST_Rate),""))</f>
        <v/>
      </c>
      <c r="N347" s="41" t="str">
        <f>IF(MasterFees[[#This Row],[GST Basis]]="Incl",MasterFees[[#This Row],[Fee as Printed]],IF(MasterFees[[#This Row],[GST Basis]]="Excl",MasterFees[[#This Row],[Fee as Printed]]*(1+GST_Rate),""))</f>
        <v/>
      </c>
      <c r="O347" s="42">
        <f>IF(N(MasterFees[[#This Row],[Total Units]])=0,"",MasterFees[[#This Row],[Fee as Printed]]/MasterFees[[#This Row],[Total Units]])</f>
        <v>54.73170731707318</v>
      </c>
      <c r="P347" s="43"/>
      <c r="Q347" s="46" t="s">
        <v>1013</v>
      </c>
      <c r="R347" s="46" t="s">
        <v>1455</v>
      </c>
      <c r="S347" s="37"/>
    </row>
    <row r="348" spans="1:19" x14ac:dyDescent="0.2">
      <c r="A348" s="36"/>
      <c r="B348" s="38" t="str">
        <f>IF(MasterFees[[#This Row],[RVG Code]]="","",_xlfn.XLOOKUP(MasterFees[[#This Row],[RVG Code]],RVGCodes[Code],RVGCodes[Base Units],"Code not found"))</f>
        <v/>
      </c>
      <c r="C348" s="37" t="s">
        <v>348</v>
      </c>
      <c r="D348" s="44" t="s">
        <v>1108</v>
      </c>
      <c r="E348" s="44"/>
      <c r="F348" s="44" t="s">
        <v>1109</v>
      </c>
      <c r="G348" s="39">
        <v>5</v>
      </c>
      <c r="H348" s="39">
        <v>5</v>
      </c>
      <c r="I348" s="39">
        <v>1</v>
      </c>
      <c r="J348" s="39">
        <v>11</v>
      </c>
      <c r="K348" s="40">
        <v>605</v>
      </c>
      <c r="L348" s="45" t="s">
        <v>1015</v>
      </c>
      <c r="M348" s="41" t="str">
        <f>IF(MasterFees[[#This Row],[GST Basis]]="Excl",MasterFees[[#This Row],[Fee as Printed]],IF(MasterFees[[#This Row],[GST Basis]]="Incl",MasterFees[[#This Row],[Fee as Printed]]/(1+GST_Rate),""))</f>
        <v/>
      </c>
      <c r="N348" s="41" t="str">
        <f>IF(MasterFees[[#This Row],[GST Basis]]="Incl",MasterFees[[#This Row],[Fee as Printed]],IF(MasterFees[[#This Row],[GST Basis]]="Excl",MasterFees[[#This Row],[Fee as Printed]]*(1+GST_Rate),""))</f>
        <v/>
      </c>
      <c r="O348" s="42">
        <f>IF(N(MasterFees[[#This Row],[Total Units]])=0,"",MasterFees[[#This Row],[Fee as Printed]]/MasterFees[[#This Row],[Total Units]])</f>
        <v>55</v>
      </c>
      <c r="P348" s="43"/>
      <c r="Q348" s="46" t="s">
        <v>1013</v>
      </c>
      <c r="R348" s="46" t="s">
        <v>1456</v>
      </c>
      <c r="S348" s="37"/>
    </row>
    <row r="349" spans="1:19" x14ac:dyDescent="0.2">
      <c r="A349" s="36"/>
      <c r="B349" s="38" t="str">
        <f>IF(MasterFees[[#This Row],[RVG Code]]="","",_xlfn.XLOOKUP(MasterFees[[#This Row],[RVG Code]],RVGCodes[Code],RVGCodes[Base Units],"Code not found"))</f>
        <v/>
      </c>
      <c r="C349" s="37" t="s">
        <v>349</v>
      </c>
      <c r="D349" s="44" t="s">
        <v>1108</v>
      </c>
      <c r="E349" s="44"/>
      <c r="F349" s="44" t="s">
        <v>1109</v>
      </c>
      <c r="G349" s="39">
        <v>3.6</v>
      </c>
      <c r="H349" s="39">
        <v>1.9</v>
      </c>
      <c r="I349" s="39">
        <v>0</v>
      </c>
      <c r="J349" s="39">
        <v>5.4</v>
      </c>
      <c r="K349" s="40">
        <v>298.10000000000002</v>
      </c>
      <c r="L349" s="45" t="s">
        <v>1015</v>
      </c>
      <c r="M349" s="41" t="str">
        <f>IF(MasterFees[[#This Row],[GST Basis]]="Excl",MasterFees[[#This Row],[Fee as Printed]],IF(MasterFees[[#This Row],[GST Basis]]="Incl",MasterFees[[#This Row],[Fee as Printed]]/(1+GST_Rate),""))</f>
        <v/>
      </c>
      <c r="N349" s="41" t="str">
        <f>IF(MasterFees[[#This Row],[GST Basis]]="Incl",MasterFees[[#This Row],[Fee as Printed]],IF(MasterFees[[#This Row],[GST Basis]]="Excl",MasterFees[[#This Row],[Fee as Printed]]*(1+GST_Rate),""))</f>
        <v/>
      </c>
      <c r="O349" s="42">
        <f>IF(N(MasterFees[[#This Row],[Total Units]])=0,"",MasterFees[[#This Row],[Fee as Printed]]/MasterFees[[#This Row],[Total Units]])</f>
        <v>55.203703703703702</v>
      </c>
      <c r="P349" s="43"/>
      <c r="Q349" s="46" t="s">
        <v>1013</v>
      </c>
      <c r="R349" s="46" t="s">
        <v>1457</v>
      </c>
      <c r="S349" s="37"/>
    </row>
    <row r="350" spans="1:19" x14ac:dyDescent="0.2">
      <c r="A350" s="36"/>
      <c r="B350" s="38" t="str">
        <f>IF(MasterFees[[#This Row],[RVG Code]]="","",_xlfn.XLOOKUP(MasterFees[[#This Row],[RVG Code]],RVGCodes[Code],RVGCodes[Base Units],"Code not found"))</f>
        <v/>
      </c>
      <c r="C350" s="37" t="s">
        <v>350</v>
      </c>
      <c r="D350" s="44" t="s">
        <v>1108</v>
      </c>
      <c r="E350" s="44"/>
      <c r="F350" s="44" t="s">
        <v>1109</v>
      </c>
      <c r="G350" s="39">
        <v>5</v>
      </c>
      <c r="H350" s="39">
        <v>3.1</v>
      </c>
      <c r="I350" s="39">
        <v>0.4</v>
      </c>
      <c r="J350" s="39">
        <v>8.5</v>
      </c>
      <c r="K350" s="40">
        <v>466.95</v>
      </c>
      <c r="L350" s="45" t="s">
        <v>1015</v>
      </c>
      <c r="M350" s="41" t="str">
        <f>IF(MasterFees[[#This Row],[GST Basis]]="Excl",MasterFees[[#This Row],[Fee as Printed]],IF(MasterFees[[#This Row],[GST Basis]]="Incl",MasterFees[[#This Row],[Fee as Printed]]/(1+GST_Rate),""))</f>
        <v/>
      </c>
      <c r="N350" s="41" t="str">
        <f>IF(MasterFees[[#This Row],[GST Basis]]="Incl",MasterFees[[#This Row],[Fee as Printed]],IF(MasterFees[[#This Row],[GST Basis]]="Excl",MasterFees[[#This Row],[Fee as Printed]]*(1+GST_Rate),""))</f>
        <v/>
      </c>
      <c r="O350" s="42">
        <f>IF(N(MasterFees[[#This Row],[Total Units]])=0,"",MasterFees[[#This Row],[Fee as Printed]]/MasterFees[[#This Row],[Total Units]])</f>
        <v>54.935294117647061</v>
      </c>
      <c r="P350" s="43"/>
      <c r="Q350" s="46" t="s">
        <v>1013</v>
      </c>
      <c r="R350" s="46" t="s">
        <v>1458</v>
      </c>
      <c r="S350" s="37"/>
    </row>
    <row r="351" spans="1:19" x14ac:dyDescent="0.2">
      <c r="A351" s="36"/>
      <c r="B351" s="38" t="str">
        <f>IF(MasterFees[[#This Row],[RVG Code]]="","",_xlfn.XLOOKUP(MasterFees[[#This Row],[RVG Code]],RVGCodes[Code],RVGCodes[Base Units],"Code not found"))</f>
        <v/>
      </c>
      <c r="C351" s="37" t="s">
        <v>351</v>
      </c>
      <c r="D351" s="44" t="s">
        <v>1108</v>
      </c>
      <c r="E351" s="44"/>
      <c r="F351" s="44" t="s">
        <v>1109</v>
      </c>
      <c r="G351" s="39">
        <v>5</v>
      </c>
      <c r="H351" s="39">
        <v>3</v>
      </c>
      <c r="I351" s="39">
        <v>0</v>
      </c>
      <c r="J351" s="39">
        <v>8</v>
      </c>
      <c r="K351" s="40">
        <v>440</v>
      </c>
      <c r="L351" s="45" t="s">
        <v>1015</v>
      </c>
      <c r="M351" s="41" t="str">
        <f>IF(MasterFees[[#This Row],[GST Basis]]="Excl",MasterFees[[#This Row],[Fee as Printed]],IF(MasterFees[[#This Row],[GST Basis]]="Incl",MasterFees[[#This Row],[Fee as Printed]]/(1+GST_Rate),""))</f>
        <v/>
      </c>
      <c r="N351" s="41" t="str">
        <f>IF(MasterFees[[#This Row],[GST Basis]]="Incl",MasterFees[[#This Row],[Fee as Printed]],IF(MasterFees[[#This Row],[GST Basis]]="Excl",MasterFees[[#This Row],[Fee as Printed]]*(1+GST_Rate),""))</f>
        <v/>
      </c>
      <c r="O351" s="42">
        <f>IF(N(MasterFees[[#This Row],[Total Units]])=0,"",MasterFees[[#This Row],[Fee as Printed]]/MasterFees[[#This Row],[Total Units]])</f>
        <v>55</v>
      </c>
      <c r="P351" s="43"/>
      <c r="Q351" s="46" t="s">
        <v>1013</v>
      </c>
      <c r="R351" s="46" t="s">
        <v>1459</v>
      </c>
      <c r="S351" s="37"/>
    </row>
    <row r="352" spans="1:19" x14ac:dyDescent="0.2">
      <c r="A352" s="36"/>
      <c r="B352" s="38" t="str">
        <f>IF(MasterFees[[#This Row],[RVG Code]]="","",_xlfn.XLOOKUP(MasterFees[[#This Row],[RVG Code]],RVGCodes[Code],RVGCodes[Base Units],"Code not found"))</f>
        <v/>
      </c>
      <c r="C352" s="37" t="s">
        <v>352</v>
      </c>
      <c r="D352" s="44" t="s">
        <v>1108</v>
      </c>
      <c r="E352" s="44"/>
      <c r="F352" s="44" t="s">
        <v>1109</v>
      </c>
      <c r="G352" s="39">
        <v>0</v>
      </c>
      <c r="H352" s="39">
        <v>1</v>
      </c>
      <c r="I352" s="39">
        <v>0</v>
      </c>
      <c r="J352" s="39">
        <v>1</v>
      </c>
      <c r="K352" s="40">
        <v>55</v>
      </c>
      <c r="L352" s="45" t="s">
        <v>1015</v>
      </c>
      <c r="M352" s="41" t="str">
        <f>IF(MasterFees[[#This Row],[GST Basis]]="Excl",MasterFees[[#This Row],[Fee as Printed]],IF(MasterFees[[#This Row],[GST Basis]]="Incl",MasterFees[[#This Row],[Fee as Printed]]/(1+GST_Rate),""))</f>
        <v/>
      </c>
      <c r="N352" s="41" t="str">
        <f>IF(MasterFees[[#This Row],[GST Basis]]="Incl",MasterFees[[#This Row],[Fee as Printed]],IF(MasterFees[[#This Row],[GST Basis]]="Excl",MasterFees[[#This Row],[Fee as Printed]]*(1+GST_Rate),""))</f>
        <v/>
      </c>
      <c r="O352" s="42">
        <f>IF(N(MasterFees[[#This Row],[Total Units]])=0,"",MasterFees[[#This Row],[Fee as Printed]]/MasterFees[[#This Row],[Total Units]])</f>
        <v>55</v>
      </c>
      <c r="P352" s="43"/>
      <c r="Q352" s="46" t="s">
        <v>1013</v>
      </c>
      <c r="R352" s="46" t="s">
        <v>1460</v>
      </c>
      <c r="S352" s="37"/>
    </row>
    <row r="353" spans="1:19" x14ac:dyDescent="0.2">
      <c r="A353" s="36"/>
      <c r="B353" s="38" t="str">
        <f>IF(MasterFees[[#This Row],[RVG Code]]="","",_xlfn.XLOOKUP(MasterFees[[#This Row],[RVG Code]],RVGCodes[Code],RVGCodes[Base Units],"Code not found"))</f>
        <v/>
      </c>
      <c r="C353" s="37" t="s">
        <v>353</v>
      </c>
      <c r="D353" s="44" t="s">
        <v>1108</v>
      </c>
      <c r="E353" s="44"/>
      <c r="F353" s="44" t="s">
        <v>1109</v>
      </c>
      <c r="G353" s="39">
        <v>5</v>
      </c>
      <c r="H353" s="39">
        <v>4.2</v>
      </c>
      <c r="I353" s="39">
        <v>0.1</v>
      </c>
      <c r="J353" s="39">
        <v>9.1999999999999993</v>
      </c>
      <c r="K353" s="40">
        <v>507.1</v>
      </c>
      <c r="L353" s="45" t="s">
        <v>1015</v>
      </c>
      <c r="M353" s="41" t="str">
        <f>IF(MasterFees[[#This Row],[GST Basis]]="Excl",MasterFees[[#This Row],[Fee as Printed]],IF(MasterFees[[#This Row],[GST Basis]]="Incl",MasterFees[[#This Row],[Fee as Printed]]/(1+GST_Rate),""))</f>
        <v/>
      </c>
      <c r="N353" s="41" t="str">
        <f>IF(MasterFees[[#This Row],[GST Basis]]="Incl",MasterFees[[#This Row],[Fee as Printed]],IF(MasterFees[[#This Row],[GST Basis]]="Excl",MasterFees[[#This Row],[Fee as Printed]]*(1+GST_Rate),""))</f>
        <v/>
      </c>
      <c r="O353" s="42">
        <f>IF(N(MasterFees[[#This Row],[Total Units]])=0,"",MasterFees[[#This Row],[Fee as Printed]]/MasterFees[[#This Row],[Total Units]])</f>
        <v>55.119565217391312</v>
      </c>
      <c r="P353" s="43"/>
      <c r="Q353" s="46" t="s">
        <v>1013</v>
      </c>
      <c r="R353" s="46" t="s">
        <v>1461</v>
      </c>
      <c r="S353" s="37"/>
    </row>
    <row r="354" spans="1:19" x14ac:dyDescent="0.2">
      <c r="A354" s="36"/>
      <c r="B354" s="38" t="str">
        <f>IF(MasterFees[[#This Row],[RVG Code]]="","",_xlfn.XLOOKUP(MasterFees[[#This Row],[RVG Code]],RVGCodes[Code],RVGCodes[Base Units],"Code not found"))</f>
        <v/>
      </c>
      <c r="C354" s="37" t="s">
        <v>354</v>
      </c>
      <c r="D354" s="44" t="s">
        <v>1108</v>
      </c>
      <c r="E354" s="44"/>
      <c r="F354" s="44" t="s">
        <v>1109</v>
      </c>
      <c r="G354" s="39">
        <v>0</v>
      </c>
      <c r="H354" s="39">
        <v>0</v>
      </c>
      <c r="I354" s="39">
        <v>0</v>
      </c>
      <c r="J354" s="39">
        <v>0</v>
      </c>
      <c r="K354" s="40">
        <v>0</v>
      </c>
      <c r="L354" s="45" t="s">
        <v>1015</v>
      </c>
      <c r="M354" s="41" t="str">
        <f>IF(MasterFees[[#This Row],[GST Basis]]="Excl",MasterFees[[#This Row],[Fee as Printed]],IF(MasterFees[[#This Row],[GST Basis]]="Incl",MasterFees[[#This Row],[Fee as Printed]]/(1+GST_Rate),""))</f>
        <v/>
      </c>
      <c r="N354" s="41" t="str">
        <f>IF(MasterFees[[#This Row],[GST Basis]]="Incl",MasterFees[[#This Row],[Fee as Printed]],IF(MasterFees[[#This Row],[GST Basis]]="Excl",MasterFees[[#This Row],[Fee as Printed]]*(1+GST_Rate),""))</f>
        <v/>
      </c>
      <c r="O354" s="42" t="str">
        <f>IF(N(MasterFees[[#This Row],[Total Units]])=0,"",MasterFees[[#This Row],[Fee as Printed]]/MasterFees[[#This Row],[Total Units]])</f>
        <v/>
      </c>
      <c r="P354" s="43"/>
      <c r="Q354" s="46" t="s">
        <v>1013</v>
      </c>
      <c r="R354" s="46" t="s">
        <v>1462</v>
      </c>
      <c r="S354" s="37"/>
    </row>
    <row r="355" spans="1:19" x14ac:dyDescent="0.2">
      <c r="A355" s="36"/>
      <c r="B355" s="38" t="str">
        <f>IF(MasterFees[[#This Row],[RVG Code]]="","",_xlfn.XLOOKUP(MasterFees[[#This Row],[RVG Code]],RVGCodes[Code],RVGCodes[Base Units],"Code not found"))</f>
        <v/>
      </c>
      <c r="C355" s="37" t="s">
        <v>355</v>
      </c>
      <c r="D355" s="44" t="s">
        <v>1108</v>
      </c>
      <c r="E355" s="44"/>
      <c r="F355" s="44" t="s">
        <v>1109</v>
      </c>
      <c r="G355" s="39">
        <v>0</v>
      </c>
      <c r="H355" s="39">
        <v>0</v>
      </c>
      <c r="I355" s="39">
        <v>0</v>
      </c>
      <c r="J355" s="39">
        <v>0</v>
      </c>
      <c r="K355" s="40">
        <v>0</v>
      </c>
      <c r="L355" s="45" t="s">
        <v>1015</v>
      </c>
      <c r="M355" s="41" t="str">
        <f>IF(MasterFees[[#This Row],[GST Basis]]="Excl",MasterFees[[#This Row],[Fee as Printed]],IF(MasterFees[[#This Row],[GST Basis]]="Incl",MasterFees[[#This Row],[Fee as Printed]]/(1+GST_Rate),""))</f>
        <v/>
      </c>
      <c r="N355" s="41" t="str">
        <f>IF(MasterFees[[#This Row],[GST Basis]]="Incl",MasterFees[[#This Row],[Fee as Printed]],IF(MasterFees[[#This Row],[GST Basis]]="Excl",MasterFees[[#This Row],[Fee as Printed]]*(1+GST_Rate),""))</f>
        <v/>
      </c>
      <c r="O355" s="42" t="str">
        <f>IF(N(MasterFees[[#This Row],[Total Units]])=0,"",MasterFees[[#This Row],[Fee as Printed]]/MasterFees[[#This Row],[Total Units]])</f>
        <v/>
      </c>
      <c r="P355" s="43"/>
      <c r="Q355" s="46" t="s">
        <v>1013</v>
      </c>
      <c r="R355" s="46" t="s">
        <v>1463</v>
      </c>
      <c r="S355" s="37"/>
    </row>
    <row r="356" spans="1:19" x14ac:dyDescent="0.2">
      <c r="A356" s="36"/>
      <c r="B356" s="38" t="str">
        <f>IF(MasterFees[[#This Row],[RVG Code]]="","",_xlfn.XLOOKUP(MasterFees[[#This Row],[RVG Code]],RVGCodes[Code],RVGCodes[Base Units],"Code not found"))</f>
        <v/>
      </c>
      <c r="C356" s="37" t="s">
        <v>356</v>
      </c>
      <c r="D356" s="44" t="s">
        <v>1108</v>
      </c>
      <c r="E356" s="44"/>
      <c r="F356" s="44" t="s">
        <v>1109</v>
      </c>
      <c r="G356" s="39">
        <v>7.5</v>
      </c>
      <c r="H356" s="39">
        <v>25</v>
      </c>
      <c r="I356" s="39">
        <v>2</v>
      </c>
      <c r="J356" s="39">
        <v>34.5</v>
      </c>
      <c r="K356" s="40">
        <v>1897.5</v>
      </c>
      <c r="L356" s="45" t="s">
        <v>1015</v>
      </c>
      <c r="M356" s="41" t="str">
        <f>IF(MasterFees[[#This Row],[GST Basis]]="Excl",MasterFees[[#This Row],[Fee as Printed]],IF(MasterFees[[#This Row],[GST Basis]]="Incl",MasterFees[[#This Row],[Fee as Printed]]/(1+GST_Rate),""))</f>
        <v/>
      </c>
      <c r="N356" s="41" t="str">
        <f>IF(MasterFees[[#This Row],[GST Basis]]="Incl",MasterFees[[#This Row],[Fee as Printed]],IF(MasterFees[[#This Row],[GST Basis]]="Excl",MasterFees[[#This Row],[Fee as Printed]]*(1+GST_Rate),""))</f>
        <v/>
      </c>
      <c r="O356" s="42">
        <f>IF(N(MasterFees[[#This Row],[Total Units]])=0,"",MasterFees[[#This Row],[Fee as Printed]]/MasterFees[[#This Row],[Total Units]])</f>
        <v>55</v>
      </c>
      <c r="P356" s="43"/>
      <c r="Q356" s="46" t="s">
        <v>1013</v>
      </c>
      <c r="R356" s="46" t="s">
        <v>1464</v>
      </c>
      <c r="S356" s="37"/>
    </row>
    <row r="357" spans="1:19" x14ac:dyDescent="0.2">
      <c r="A357" s="36"/>
      <c r="B357" s="38" t="str">
        <f>IF(MasterFees[[#This Row],[RVG Code]]="","",_xlfn.XLOOKUP(MasterFees[[#This Row],[RVG Code]],RVGCodes[Code],RVGCodes[Base Units],"Code not found"))</f>
        <v/>
      </c>
      <c r="C357" s="37" t="s">
        <v>357</v>
      </c>
      <c r="D357" s="44" t="s">
        <v>1108</v>
      </c>
      <c r="E357" s="44"/>
      <c r="F357" s="44" t="s">
        <v>1109</v>
      </c>
      <c r="G357" s="39">
        <v>7.1</v>
      </c>
      <c r="H357" s="39">
        <v>23.9</v>
      </c>
      <c r="I357" s="39">
        <v>1.7</v>
      </c>
      <c r="J357" s="39">
        <v>32.6</v>
      </c>
      <c r="K357" s="40">
        <v>1794.1</v>
      </c>
      <c r="L357" s="45" t="s">
        <v>1015</v>
      </c>
      <c r="M357" s="41" t="str">
        <f>IF(MasterFees[[#This Row],[GST Basis]]="Excl",MasterFees[[#This Row],[Fee as Printed]],IF(MasterFees[[#This Row],[GST Basis]]="Incl",MasterFees[[#This Row],[Fee as Printed]]/(1+GST_Rate),""))</f>
        <v/>
      </c>
      <c r="N357" s="41" t="str">
        <f>IF(MasterFees[[#This Row],[GST Basis]]="Incl",MasterFees[[#This Row],[Fee as Printed]],IF(MasterFees[[#This Row],[GST Basis]]="Excl",MasterFees[[#This Row],[Fee as Printed]]*(1+GST_Rate),""))</f>
        <v/>
      </c>
      <c r="O357" s="42">
        <f>IF(N(MasterFees[[#This Row],[Total Units]])=0,"",MasterFees[[#This Row],[Fee as Printed]]/MasterFees[[#This Row],[Total Units]])</f>
        <v>55.033742331288337</v>
      </c>
      <c r="P357" s="43"/>
      <c r="Q357" s="46" t="s">
        <v>1013</v>
      </c>
      <c r="R357" s="46" t="s">
        <v>1465</v>
      </c>
      <c r="S357" s="37"/>
    </row>
    <row r="358" spans="1:19" x14ac:dyDescent="0.2">
      <c r="A358" s="36"/>
      <c r="B358" s="38" t="str">
        <f>IF(MasterFees[[#This Row],[RVG Code]]="","",_xlfn.XLOOKUP(MasterFees[[#This Row],[RVG Code]],RVGCodes[Code],RVGCodes[Base Units],"Code not found"))</f>
        <v/>
      </c>
      <c r="C358" s="37" t="s">
        <v>358</v>
      </c>
      <c r="D358" s="44" t="s">
        <v>1108</v>
      </c>
      <c r="E358" s="44"/>
      <c r="F358" s="44" t="s">
        <v>1109</v>
      </c>
      <c r="G358" s="39">
        <v>5.9</v>
      </c>
      <c r="H358" s="39">
        <v>20</v>
      </c>
      <c r="I358" s="39">
        <v>1</v>
      </c>
      <c r="J358" s="39">
        <v>26.8</v>
      </c>
      <c r="K358" s="40">
        <v>1474</v>
      </c>
      <c r="L358" s="45" t="s">
        <v>1015</v>
      </c>
      <c r="M358" s="41" t="str">
        <f>IF(MasterFees[[#This Row],[GST Basis]]="Excl",MasterFees[[#This Row],[Fee as Printed]],IF(MasterFees[[#This Row],[GST Basis]]="Incl",MasterFees[[#This Row],[Fee as Printed]]/(1+GST_Rate),""))</f>
        <v/>
      </c>
      <c r="N358" s="41" t="str">
        <f>IF(MasterFees[[#This Row],[GST Basis]]="Incl",MasterFees[[#This Row],[Fee as Printed]],IF(MasterFees[[#This Row],[GST Basis]]="Excl",MasterFees[[#This Row],[Fee as Printed]]*(1+GST_Rate),""))</f>
        <v/>
      </c>
      <c r="O358" s="42">
        <f>IF(N(MasterFees[[#This Row],[Total Units]])=0,"",MasterFees[[#This Row],[Fee as Printed]]/MasterFees[[#This Row],[Total Units]])</f>
        <v>55</v>
      </c>
      <c r="P358" s="43"/>
      <c r="Q358" s="46" t="s">
        <v>1013</v>
      </c>
      <c r="R358" s="46" t="s">
        <v>1466</v>
      </c>
      <c r="S358" s="37"/>
    </row>
    <row r="359" spans="1:19" x14ac:dyDescent="0.2">
      <c r="A359" s="36"/>
      <c r="B359" s="38" t="str">
        <f>IF(MasterFees[[#This Row],[RVG Code]]="","",_xlfn.XLOOKUP(MasterFees[[#This Row],[RVG Code]],RVGCodes[Code],RVGCodes[Base Units],"Code not found"))</f>
        <v/>
      </c>
      <c r="C359" s="37" t="s">
        <v>359</v>
      </c>
      <c r="D359" s="44" t="s">
        <v>1108</v>
      </c>
      <c r="E359" s="44"/>
      <c r="F359" s="44" t="s">
        <v>1109</v>
      </c>
      <c r="G359" s="39">
        <v>8.5</v>
      </c>
      <c r="H359" s="39">
        <v>24.5</v>
      </c>
      <c r="I359" s="39">
        <v>2</v>
      </c>
      <c r="J359" s="39">
        <v>35</v>
      </c>
      <c r="K359" s="40">
        <v>1925</v>
      </c>
      <c r="L359" s="45" t="s">
        <v>1015</v>
      </c>
      <c r="M359" s="41" t="str">
        <f>IF(MasterFees[[#This Row],[GST Basis]]="Excl",MasterFees[[#This Row],[Fee as Printed]],IF(MasterFees[[#This Row],[GST Basis]]="Incl",MasterFees[[#This Row],[Fee as Printed]]/(1+GST_Rate),""))</f>
        <v/>
      </c>
      <c r="N359" s="41" t="str">
        <f>IF(MasterFees[[#This Row],[GST Basis]]="Incl",MasterFees[[#This Row],[Fee as Printed]],IF(MasterFees[[#This Row],[GST Basis]]="Excl",MasterFees[[#This Row],[Fee as Printed]]*(1+GST_Rate),""))</f>
        <v/>
      </c>
      <c r="O359" s="42">
        <f>IF(N(MasterFees[[#This Row],[Total Units]])=0,"",MasterFees[[#This Row],[Fee as Printed]]/MasterFees[[#This Row],[Total Units]])</f>
        <v>55</v>
      </c>
      <c r="P359" s="43"/>
      <c r="Q359" s="46" t="s">
        <v>1013</v>
      </c>
      <c r="R359" s="46" t="s">
        <v>1467</v>
      </c>
      <c r="S359" s="37"/>
    </row>
    <row r="360" spans="1:19" x14ac:dyDescent="0.2">
      <c r="A360" s="36"/>
      <c r="B360" s="38" t="str">
        <f>IF(MasterFees[[#This Row],[RVG Code]]="","",_xlfn.XLOOKUP(MasterFees[[#This Row],[RVG Code]],RVGCodes[Code],RVGCodes[Base Units],"Code not found"))</f>
        <v/>
      </c>
      <c r="C360" s="37" t="s">
        <v>360</v>
      </c>
      <c r="D360" s="44" t="s">
        <v>1108</v>
      </c>
      <c r="E360" s="44"/>
      <c r="F360" s="44" t="s">
        <v>1109</v>
      </c>
      <c r="G360" s="39">
        <v>4.5</v>
      </c>
      <c r="H360" s="39">
        <v>4.5</v>
      </c>
      <c r="I360" s="39">
        <v>0</v>
      </c>
      <c r="J360" s="39">
        <v>9</v>
      </c>
      <c r="K360" s="40">
        <v>495</v>
      </c>
      <c r="L360" s="45" t="s">
        <v>1015</v>
      </c>
      <c r="M360" s="41" t="str">
        <f>IF(MasterFees[[#This Row],[GST Basis]]="Excl",MasterFees[[#This Row],[Fee as Printed]],IF(MasterFees[[#This Row],[GST Basis]]="Incl",MasterFees[[#This Row],[Fee as Printed]]/(1+GST_Rate),""))</f>
        <v/>
      </c>
      <c r="N360" s="41" t="str">
        <f>IF(MasterFees[[#This Row],[GST Basis]]="Incl",MasterFees[[#This Row],[Fee as Printed]],IF(MasterFees[[#This Row],[GST Basis]]="Excl",MasterFees[[#This Row],[Fee as Printed]]*(1+GST_Rate),""))</f>
        <v/>
      </c>
      <c r="O360" s="42">
        <f>IF(N(MasterFees[[#This Row],[Total Units]])=0,"",MasterFees[[#This Row],[Fee as Printed]]/MasterFees[[#This Row],[Total Units]])</f>
        <v>55</v>
      </c>
      <c r="P360" s="43"/>
      <c r="Q360" s="46" t="s">
        <v>1013</v>
      </c>
      <c r="R360" s="46" t="s">
        <v>1468</v>
      </c>
      <c r="S360" s="37"/>
    </row>
    <row r="361" spans="1:19" x14ac:dyDescent="0.2">
      <c r="A361" s="36"/>
      <c r="B361" s="38" t="str">
        <f>IF(MasterFees[[#This Row],[RVG Code]]="","",_xlfn.XLOOKUP(MasterFees[[#This Row],[RVG Code]],RVGCodes[Code],RVGCodes[Base Units],"Code not found"))</f>
        <v/>
      </c>
      <c r="C361" s="37" t="s">
        <v>361</v>
      </c>
      <c r="D361" s="44" t="s">
        <v>1108</v>
      </c>
      <c r="E361" s="44"/>
      <c r="F361" s="44" t="s">
        <v>1109</v>
      </c>
      <c r="G361" s="39">
        <v>5</v>
      </c>
      <c r="H361" s="39">
        <v>10</v>
      </c>
      <c r="I361" s="39">
        <v>0</v>
      </c>
      <c r="J361" s="39">
        <v>15</v>
      </c>
      <c r="K361" s="40">
        <v>825</v>
      </c>
      <c r="L361" s="45" t="s">
        <v>1015</v>
      </c>
      <c r="M361" s="41" t="str">
        <f>IF(MasterFees[[#This Row],[GST Basis]]="Excl",MasterFees[[#This Row],[Fee as Printed]],IF(MasterFees[[#This Row],[GST Basis]]="Incl",MasterFees[[#This Row],[Fee as Printed]]/(1+GST_Rate),""))</f>
        <v/>
      </c>
      <c r="N361" s="41" t="str">
        <f>IF(MasterFees[[#This Row],[GST Basis]]="Incl",MasterFees[[#This Row],[Fee as Printed]],IF(MasterFees[[#This Row],[GST Basis]]="Excl",MasterFees[[#This Row],[Fee as Printed]]*(1+GST_Rate),""))</f>
        <v/>
      </c>
      <c r="O361" s="42">
        <f>IF(N(MasterFees[[#This Row],[Total Units]])=0,"",MasterFees[[#This Row],[Fee as Printed]]/MasterFees[[#This Row],[Total Units]])</f>
        <v>55</v>
      </c>
      <c r="P361" s="43"/>
      <c r="Q361" s="46" t="s">
        <v>1013</v>
      </c>
      <c r="R361" s="46" t="s">
        <v>1469</v>
      </c>
      <c r="S361" s="37"/>
    </row>
    <row r="362" spans="1:19" x14ac:dyDescent="0.2">
      <c r="A362" s="36"/>
      <c r="B362" s="38" t="str">
        <f>IF(MasterFees[[#This Row],[RVG Code]]="","",_xlfn.XLOOKUP(MasterFees[[#This Row],[RVG Code]],RVGCodes[Code],RVGCodes[Base Units],"Code not found"))</f>
        <v/>
      </c>
      <c r="C362" s="37" t="s">
        <v>362</v>
      </c>
      <c r="D362" s="44" t="s">
        <v>1108</v>
      </c>
      <c r="E362" s="44"/>
      <c r="F362" s="44" t="s">
        <v>1109</v>
      </c>
      <c r="G362" s="39">
        <v>0</v>
      </c>
      <c r="H362" s="39">
        <v>0</v>
      </c>
      <c r="I362" s="39">
        <v>0</v>
      </c>
      <c r="J362" s="39">
        <v>0</v>
      </c>
      <c r="K362" s="40">
        <v>0</v>
      </c>
      <c r="L362" s="45" t="s">
        <v>1015</v>
      </c>
      <c r="M362" s="41" t="str">
        <f>IF(MasterFees[[#This Row],[GST Basis]]="Excl",MasterFees[[#This Row],[Fee as Printed]],IF(MasterFees[[#This Row],[GST Basis]]="Incl",MasterFees[[#This Row],[Fee as Printed]]/(1+GST_Rate),""))</f>
        <v/>
      </c>
      <c r="N362" s="41" t="str">
        <f>IF(MasterFees[[#This Row],[GST Basis]]="Incl",MasterFees[[#This Row],[Fee as Printed]],IF(MasterFees[[#This Row],[GST Basis]]="Excl",MasterFees[[#This Row],[Fee as Printed]]*(1+GST_Rate),""))</f>
        <v/>
      </c>
      <c r="O362" s="42" t="str">
        <f>IF(N(MasterFees[[#This Row],[Total Units]])=0,"",MasterFees[[#This Row],[Fee as Printed]]/MasterFees[[#This Row],[Total Units]])</f>
        <v/>
      </c>
      <c r="P362" s="43"/>
      <c r="Q362" s="46" t="s">
        <v>1013</v>
      </c>
      <c r="R362" s="46" t="s">
        <v>1470</v>
      </c>
      <c r="S362" s="37"/>
    </row>
    <row r="363" spans="1:19" x14ac:dyDescent="0.2">
      <c r="A363" s="36"/>
      <c r="B363" s="38" t="str">
        <f>IF(MasterFees[[#This Row],[RVG Code]]="","",_xlfn.XLOOKUP(MasterFees[[#This Row],[RVG Code]],RVGCodes[Code],RVGCodes[Base Units],"Code not found"))</f>
        <v/>
      </c>
      <c r="C363" s="37" t="s">
        <v>363</v>
      </c>
      <c r="D363" s="44" t="s">
        <v>1108</v>
      </c>
      <c r="E363" s="44"/>
      <c r="F363" s="44" t="s">
        <v>1109</v>
      </c>
      <c r="G363" s="39">
        <v>8</v>
      </c>
      <c r="H363" s="39">
        <v>16</v>
      </c>
      <c r="I363" s="39">
        <v>0</v>
      </c>
      <c r="J363" s="39">
        <v>24</v>
      </c>
      <c r="K363" s="40">
        <v>1320</v>
      </c>
      <c r="L363" s="45" t="s">
        <v>1015</v>
      </c>
      <c r="M363" s="41" t="str">
        <f>IF(MasterFees[[#This Row],[GST Basis]]="Excl",MasterFees[[#This Row],[Fee as Printed]],IF(MasterFees[[#This Row],[GST Basis]]="Incl",MasterFees[[#This Row],[Fee as Printed]]/(1+GST_Rate),""))</f>
        <v/>
      </c>
      <c r="N363" s="41" t="str">
        <f>IF(MasterFees[[#This Row],[GST Basis]]="Incl",MasterFees[[#This Row],[Fee as Printed]],IF(MasterFees[[#This Row],[GST Basis]]="Excl",MasterFees[[#This Row],[Fee as Printed]]*(1+GST_Rate),""))</f>
        <v/>
      </c>
      <c r="O363" s="42">
        <f>IF(N(MasterFees[[#This Row],[Total Units]])=0,"",MasterFees[[#This Row],[Fee as Printed]]/MasterFees[[#This Row],[Total Units]])</f>
        <v>55</v>
      </c>
      <c r="P363" s="43"/>
      <c r="Q363" s="46" t="s">
        <v>1013</v>
      </c>
      <c r="R363" s="46" t="s">
        <v>1471</v>
      </c>
      <c r="S363" s="37"/>
    </row>
    <row r="364" spans="1:19" x14ac:dyDescent="0.2">
      <c r="A364" s="36"/>
      <c r="B364" s="38" t="str">
        <f>IF(MasterFees[[#This Row],[RVG Code]]="","",_xlfn.XLOOKUP(MasterFees[[#This Row],[RVG Code]],RVGCodes[Code],RVGCodes[Base Units],"Code not found"))</f>
        <v/>
      </c>
      <c r="C364" s="37" t="s">
        <v>364</v>
      </c>
      <c r="D364" s="44" t="s">
        <v>1108</v>
      </c>
      <c r="E364" s="44"/>
      <c r="F364" s="44" t="s">
        <v>1109</v>
      </c>
      <c r="G364" s="39">
        <v>4.2</v>
      </c>
      <c r="H364" s="39">
        <v>2.7</v>
      </c>
      <c r="I364" s="39">
        <v>0.2</v>
      </c>
      <c r="J364" s="39">
        <v>7</v>
      </c>
      <c r="K364" s="40">
        <v>392.7</v>
      </c>
      <c r="L364" s="45" t="s">
        <v>1015</v>
      </c>
      <c r="M364" s="41" t="str">
        <f>IF(MasterFees[[#This Row],[GST Basis]]="Excl",MasterFees[[#This Row],[Fee as Printed]],IF(MasterFees[[#This Row],[GST Basis]]="Incl",MasterFees[[#This Row],[Fee as Printed]]/(1+GST_Rate),""))</f>
        <v/>
      </c>
      <c r="N364" s="41" t="str">
        <f>IF(MasterFees[[#This Row],[GST Basis]]="Incl",MasterFees[[#This Row],[Fee as Printed]],IF(MasterFees[[#This Row],[GST Basis]]="Excl",MasterFees[[#This Row],[Fee as Printed]]*(1+GST_Rate),""))</f>
        <v/>
      </c>
      <c r="O364" s="42">
        <f>IF(N(MasterFees[[#This Row],[Total Units]])=0,"",MasterFees[[#This Row],[Fee as Printed]]/MasterFees[[#This Row],[Total Units]])</f>
        <v>56.1</v>
      </c>
      <c r="P364" s="43"/>
      <c r="Q364" s="46" t="s">
        <v>1013</v>
      </c>
      <c r="R364" s="46" t="s">
        <v>1472</v>
      </c>
      <c r="S364" s="37"/>
    </row>
    <row r="365" spans="1:19" x14ac:dyDescent="0.2">
      <c r="A365" s="36"/>
      <c r="B365" s="38" t="str">
        <f>IF(MasterFees[[#This Row],[RVG Code]]="","",_xlfn.XLOOKUP(MasterFees[[#This Row],[RVG Code]],RVGCodes[Code],RVGCodes[Base Units],"Code not found"))</f>
        <v/>
      </c>
      <c r="C365" s="37" t="s">
        <v>365</v>
      </c>
      <c r="D365" s="44" t="s">
        <v>1108</v>
      </c>
      <c r="E365" s="44"/>
      <c r="F365" s="44" t="s">
        <v>1109</v>
      </c>
      <c r="G365" s="39">
        <v>5.0999999999999996</v>
      </c>
      <c r="H365" s="39">
        <v>5.9</v>
      </c>
      <c r="I365" s="39">
        <v>0.7</v>
      </c>
      <c r="J365" s="39">
        <v>11.7</v>
      </c>
      <c r="K365" s="40">
        <v>645.15</v>
      </c>
      <c r="L365" s="45" t="s">
        <v>1015</v>
      </c>
      <c r="M365" s="41" t="str">
        <f>IF(MasterFees[[#This Row],[GST Basis]]="Excl",MasterFees[[#This Row],[Fee as Printed]],IF(MasterFees[[#This Row],[GST Basis]]="Incl",MasterFees[[#This Row],[Fee as Printed]]/(1+GST_Rate),""))</f>
        <v/>
      </c>
      <c r="N365" s="41" t="str">
        <f>IF(MasterFees[[#This Row],[GST Basis]]="Incl",MasterFees[[#This Row],[Fee as Printed]],IF(MasterFees[[#This Row],[GST Basis]]="Excl",MasterFees[[#This Row],[Fee as Printed]]*(1+GST_Rate),""))</f>
        <v/>
      </c>
      <c r="O365" s="42">
        <f>IF(N(MasterFees[[#This Row],[Total Units]])=0,"",MasterFees[[#This Row],[Fee as Printed]]/MasterFees[[#This Row],[Total Units]])</f>
        <v>55.141025641025642</v>
      </c>
      <c r="P365" s="43"/>
      <c r="Q365" s="46" t="s">
        <v>1013</v>
      </c>
      <c r="R365" s="46" t="s">
        <v>1473</v>
      </c>
      <c r="S365" s="37"/>
    </row>
    <row r="366" spans="1:19" x14ac:dyDescent="0.2">
      <c r="A366" s="36"/>
      <c r="B366" s="38" t="str">
        <f>IF(MasterFees[[#This Row],[RVG Code]]="","",_xlfn.XLOOKUP(MasterFees[[#This Row],[RVG Code]],RVGCodes[Code],RVGCodes[Base Units],"Code not found"))</f>
        <v/>
      </c>
      <c r="C366" s="37" t="s">
        <v>366</v>
      </c>
      <c r="D366" s="44" t="s">
        <v>1108</v>
      </c>
      <c r="E366" s="44"/>
      <c r="F366" s="44" t="s">
        <v>1109</v>
      </c>
      <c r="G366" s="39">
        <v>5</v>
      </c>
      <c r="H366" s="39">
        <v>3</v>
      </c>
      <c r="I366" s="39">
        <v>0</v>
      </c>
      <c r="J366" s="39">
        <v>8</v>
      </c>
      <c r="K366" s="40">
        <v>440</v>
      </c>
      <c r="L366" s="45" t="s">
        <v>1015</v>
      </c>
      <c r="M366" s="41" t="str">
        <f>IF(MasterFees[[#This Row],[GST Basis]]="Excl",MasterFees[[#This Row],[Fee as Printed]],IF(MasterFees[[#This Row],[GST Basis]]="Incl",MasterFees[[#This Row],[Fee as Printed]]/(1+GST_Rate),""))</f>
        <v/>
      </c>
      <c r="N366" s="41" t="str">
        <f>IF(MasterFees[[#This Row],[GST Basis]]="Incl",MasterFees[[#This Row],[Fee as Printed]],IF(MasterFees[[#This Row],[GST Basis]]="Excl",MasterFees[[#This Row],[Fee as Printed]]*(1+GST_Rate),""))</f>
        <v/>
      </c>
      <c r="O366" s="42">
        <f>IF(N(MasterFees[[#This Row],[Total Units]])=0,"",MasterFees[[#This Row],[Fee as Printed]]/MasterFees[[#This Row],[Total Units]])</f>
        <v>55</v>
      </c>
      <c r="P366" s="43"/>
      <c r="Q366" s="46" t="s">
        <v>1013</v>
      </c>
      <c r="R366" s="46" t="s">
        <v>1474</v>
      </c>
      <c r="S366" s="37"/>
    </row>
    <row r="367" spans="1:19" x14ac:dyDescent="0.2">
      <c r="A367" s="36"/>
      <c r="B367" s="38" t="str">
        <f>IF(MasterFees[[#This Row],[RVG Code]]="","",_xlfn.XLOOKUP(MasterFees[[#This Row],[RVG Code]],RVGCodes[Code],RVGCodes[Base Units],"Code not found"))</f>
        <v/>
      </c>
      <c r="C367" s="37" t="s">
        <v>367</v>
      </c>
      <c r="D367" s="44" t="s">
        <v>1108</v>
      </c>
      <c r="E367" s="44"/>
      <c r="F367" s="44" t="s">
        <v>1109</v>
      </c>
      <c r="G367" s="39">
        <v>4.2</v>
      </c>
      <c r="H367" s="39">
        <v>3.2</v>
      </c>
      <c r="I367" s="39">
        <v>1</v>
      </c>
      <c r="J367" s="39">
        <v>8.4</v>
      </c>
      <c r="K367" s="40">
        <v>464.2</v>
      </c>
      <c r="L367" s="45" t="s">
        <v>1015</v>
      </c>
      <c r="M367" s="41" t="str">
        <f>IF(MasterFees[[#This Row],[GST Basis]]="Excl",MasterFees[[#This Row],[Fee as Printed]],IF(MasterFees[[#This Row],[GST Basis]]="Incl",MasterFees[[#This Row],[Fee as Printed]]/(1+GST_Rate),""))</f>
        <v/>
      </c>
      <c r="N367" s="41" t="str">
        <f>IF(MasterFees[[#This Row],[GST Basis]]="Incl",MasterFees[[#This Row],[Fee as Printed]],IF(MasterFees[[#This Row],[GST Basis]]="Excl",MasterFees[[#This Row],[Fee as Printed]]*(1+GST_Rate),""))</f>
        <v/>
      </c>
      <c r="O367" s="42">
        <f>IF(N(MasterFees[[#This Row],[Total Units]])=0,"",MasterFees[[#This Row],[Fee as Printed]]/MasterFees[[#This Row],[Total Units]])</f>
        <v>55.261904761904759</v>
      </c>
      <c r="P367" s="43"/>
      <c r="Q367" s="46" t="s">
        <v>1013</v>
      </c>
      <c r="R367" s="46" t="s">
        <v>1475</v>
      </c>
      <c r="S367" s="37"/>
    </row>
    <row r="368" spans="1:19" x14ac:dyDescent="0.2">
      <c r="A368" s="36"/>
      <c r="B368" s="38" t="str">
        <f>IF(MasterFees[[#This Row],[RVG Code]]="","",_xlfn.XLOOKUP(MasterFees[[#This Row],[RVG Code]],RVGCodes[Code],RVGCodes[Base Units],"Code not found"))</f>
        <v/>
      </c>
      <c r="C368" s="37" t="s">
        <v>368</v>
      </c>
      <c r="D368" s="44" t="s">
        <v>1108</v>
      </c>
      <c r="E368" s="44"/>
      <c r="F368" s="44" t="s">
        <v>1109</v>
      </c>
      <c r="G368" s="39">
        <v>5</v>
      </c>
      <c r="H368" s="39">
        <v>2</v>
      </c>
      <c r="I368" s="39">
        <v>2</v>
      </c>
      <c r="J368" s="39">
        <v>9</v>
      </c>
      <c r="K368" s="40">
        <v>495</v>
      </c>
      <c r="L368" s="45" t="s">
        <v>1015</v>
      </c>
      <c r="M368" s="41" t="str">
        <f>IF(MasterFees[[#This Row],[GST Basis]]="Excl",MasterFees[[#This Row],[Fee as Printed]],IF(MasterFees[[#This Row],[GST Basis]]="Incl",MasterFees[[#This Row],[Fee as Printed]]/(1+GST_Rate),""))</f>
        <v/>
      </c>
      <c r="N368" s="41" t="str">
        <f>IF(MasterFees[[#This Row],[GST Basis]]="Incl",MasterFees[[#This Row],[Fee as Printed]],IF(MasterFees[[#This Row],[GST Basis]]="Excl",MasterFees[[#This Row],[Fee as Printed]]*(1+GST_Rate),""))</f>
        <v/>
      </c>
      <c r="O368" s="42">
        <f>IF(N(MasterFees[[#This Row],[Total Units]])=0,"",MasterFees[[#This Row],[Fee as Printed]]/MasterFees[[#This Row],[Total Units]])</f>
        <v>55</v>
      </c>
      <c r="P368" s="43"/>
      <c r="Q368" s="46" t="s">
        <v>1013</v>
      </c>
      <c r="R368" s="46" t="s">
        <v>1476</v>
      </c>
      <c r="S368" s="37"/>
    </row>
    <row r="369" spans="1:19" x14ac:dyDescent="0.2">
      <c r="A369" s="36"/>
      <c r="B369" s="38" t="str">
        <f>IF(MasterFees[[#This Row],[RVG Code]]="","",_xlfn.XLOOKUP(MasterFees[[#This Row],[RVG Code]],RVGCodes[Code],RVGCodes[Base Units],"Code not found"))</f>
        <v/>
      </c>
      <c r="C369" s="37" t="s">
        <v>369</v>
      </c>
      <c r="D369" s="44" t="s">
        <v>1108</v>
      </c>
      <c r="E369" s="44"/>
      <c r="F369" s="44" t="s">
        <v>1109</v>
      </c>
      <c r="G369" s="39">
        <v>4.3</v>
      </c>
      <c r="H369" s="39">
        <v>2.2000000000000002</v>
      </c>
      <c r="I369" s="39">
        <v>0.6</v>
      </c>
      <c r="J369" s="39">
        <v>7.2</v>
      </c>
      <c r="K369" s="40">
        <v>393.8</v>
      </c>
      <c r="L369" s="45" t="s">
        <v>1015</v>
      </c>
      <c r="M369" s="41" t="str">
        <f>IF(MasterFees[[#This Row],[GST Basis]]="Excl",MasterFees[[#This Row],[Fee as Printed]],IF(MasterFees[[#This Row],[GST Basis]]="Incl",MasterFees[[#This Row],[Fee as Printed]]/(1+GST_Rate),""))</f>
        <v/>
      </c>
      <c r="N369" s="41" t="str">
        <f>IF(MasterFees[[#This Row],[GST Basis]]="Incl",MasterFees[[#This Row],[Fee as Printed]],IF(MasterFees[[#This Row],[GST Basis]]="Excl",MasterFees[[#This Row],[Fee as Printed]]*(1+GST_Rate),""))</f>
        <v/>
      </c>
      <c r="O369" s="42">
        <f>IF(N(MasterFees[[#This Row],[Total Units]])=0,"",MasterFees[[#This Row],[Fee as Printed]]/MasterFees[[#This Row],[Total Units]])</f>
        <v>54.694444444444443</v>
      </c>
      <c r="P369" s="43"/>
      <c r="Q369" s="46" t="s">
        <v>1013</v>
      </c>
      <c r="R369" s="46" t="s">
        <v>1477</v>
      </c>
      <c r="S369" s="37"/>
    </row>
    <row r="370" spans="1:19" x14ac:dyDescent="0.2">
      <c r="A370" s="36"/>
      <c r="B370" s="38" t="str">
        <f>IF(MasterFees[[#This Row],[RVG Code]]="","",_xlfn.XLOOKUP(MasterFees[[#This Row],[RVG Code]],RVGCodes[Code],RVGCodes[Base Units],"Code not found"))</f>
        <v/>
      </c>
      <c r="C370" s="37" t="s">
        <v>370</v>
      </c>
      <c r="D370" s="44" t="s">
        <v>1108</v>
      </c>
      <c r="E370" s="44"/>
      <c r="F370" s="44" t="s">
        <v>1109</v>
      </c>
      <c r="G370" s="39">
        <v>6</v>
      </c>
      <c r="H370" s="39">
        <v>6</v>
      </c>
      <c r="I370" s="39">
        <v>1.5</v>
      </c>
      <c r="J370" s="39">
        <v>13.5</v>
      </c>
      <c r="K370" s="40">
        <v>742.5</v>
      </c>
      <c r="L370" s="45" t="s">
        <v>1015</v>
      </c>
      <c r="M370" s="41" t="str">
        <f>IF(MasterFees[[#This Row],[GST Basis]]="Excl",MasterFees[[#This Row],[Fee as Printed]],IF(MasterFees[[#This Row],[GST Basis]]="Incl",MasterFees[[#This Row],[Fee as Printed]]/(1+GST_Rate),""))</f>
        <v/>
      </c>
      <c r="N370" s="41" t="str">
        <f>IF(MasterFees[[#This Row],[GST Basis]]="Incl",MasterFees[[#This Row],[Fee as Printed]],IF(MasterFees[[#This Row],[GST Basis]]="Excl",MasterFees[[#This Row],[Fee as Printed]]*(1+GST_Rate),""))</f>
        <v/>
      </c>
      <c r="O370" s="42">
        <f>IF(N(MasterFees[[#This Row],[Total Units]])=0,"",MasterFees[[#This Row],[Fee as Printed]]/MasterFees[[#This Row],[Total Units]])</f>
        <v>55</v>
      </c>
      <c r="P370" s="43"/>
      <c r="Q370" s="46" t="s">
        <v>1013</v>
      </c>
      <c r="R370" s="46" t="s">
        <v>1478</v>
      </c>
      <c r="S370" s="37"/>
    </row>
    <row r="371" spans="1:19" x14ac:dyDescent="0.2">
      <c r="A371" s="36"/>
      <c r="B371" s="38" t="str">
        <f>IF(MasterFees[[#This Row],[RVG Code]]="","",_xlfn.XLOOKUP(MasterFees[[#This Row],[RVG Code]],RVGCodes[Code],RVGCodes[Base Units],"Code not found"))</f>
        <v/>
      </c>
      <c r="C371" s="37" t="s">
        <v>371</v>
      </c>
      <c r="D371" s="44" t="s">
        <v>1108</v>
      </c>
      <c r="E371" s="44"/>
      <c r="F371" s="44" t="s">
        <v>1109</v>
      </c>
      <c r="G371" s="39">
        <v>5</v>
      </c>
      <c r="H371" s="39">
        <v>2</v>
      </c>
      <c r="I371" s="39">
        <v>1</v>
      </c>
      <c r="J371" s="39">
        <v>8</v>
      </c>
      <c r="K371" s="40">
        <v>440</v>
      </c>
      <c r="L371" s="45" t="s">
        <v>1015</v>
      </c>
      <c r="M371" s="41" t="str">
        <f>IF(MasterFees[[#This Row],[GST Basis]]="Excl",MasterFees[[#This Row],[Fee as Printed]],IF(MasterFees[[#This Row],[GST Basis]]="Incl",MasterFees[[#This Row],[Fee as Printed]]/(1+GST_Rate),""))</f>
        <v/>
      </c>
      <c r="N371" s="41" t="str">
        <f>IF(MasterFees[[#This Row],[GST Basis]]="Incl",MasterFees[[#This Row],[Fee as Printed]],IF(MasterFees[[#This Row],[GST Basis]]="Excl",MasterFees[[#This Row],[Fee as Printed]]*(1+GST_Rate),""))</f>
        <v/>
      </c>
      <c r="O371" s="42">
        <f>IF(N(MasterFees[[#This Row],[Total Units]])=0,"",MasterFees[[#This Row],[Fee as Printed]]/MasterFees[[#This Row],[Total Units]])</f>
        <v>55</v>
      </c>
      <c r="P371" s="43"/>
      <c r="Q371" s="46" t="s">
        <v>1013</v>
      </c>
      <c r="R371" s="46" t="s">
        <v>1479</v>
      </c>
      <c r="S371" s="37"/>
    </row>
    <row r="372" spans="1:19" x14ac:dyDescent="0.2">
      <c r="A372" s="36"/>
      <c r="B372" s="38" t="str">
        <f>IF(MasterFees[[#This Row],[RVG Code]]="","",_xlfn.XLOOKUP(MasterFees[[#This Row],[RVG Code]],RVGCodes[Code],RVGCodes[Base Units],"Code not found"))</f>
        <v/>
      </c>
      <c r="C372" s="37" t="s">
        <v>372</v>
      </c>
      <c r="D372" s="44" t="s">
        <v>1108</v>
      </c>
      <c r="E372" s="44"/>
      <c r="F372" s="44" t="s">
        <v>1109</v>
      </c>
      <c r="G372" s="39">
        <v>4</v>
      </c>
      <c r="H372" s="39">
        <v>1.7</v>
      </c>
      <c r="I372" s="39">
        <v>1</v>
      </c>
      <c r="J372" s="39">
        <v>6.7</v>
      </c>
      <c r="K372" s="40">
        <v>366.3</v>
      </c>
      <c r="L372" s="45" t="s">
        <v>1015</v>
      </c>
      <c r="M372" s="41" t="str">
        <f>IF(MasterFees[[#This Row],[GST Basis]]="Excl",MasterFees[[#This Row],[Fee as Printed]],IF(MasterFees[[#This Row],[GST Basis]]="Incl",MasterFees[[#This Row],[Fee as Printed]]/(1+GST_Rate),""))</f>
        <v/>
      </c>
      <c r="N372" s="41" t="str">
        <f>IF(MasterFees[[#This Row],[GST Basis]]="Incl",MasterFees[[#This Row],[Fee as Printed]],IF(MasterFees[[#This Row],[GST Basis]]="Excl",MasterFees[[#This Row],[Fee as Printed]]*(1+GST_Rate),""))</f>
        <v/>
      </c>
      <c r="O372" s="42">
        <f>IF(N(MasterFees[[#This Row],[Total Units]])=0,"",MasterFees[[#This Row],[Fee as Printed]]/MasterFees[[#This Row],[Total Units]])</f>
        <v>54.671641791044777</v>
      </c>
      <c r="P372" s="43"/>
      <c r="Q372" s="46" t="s">
        <v>1013</v>
      </c>
      <c r="R372" s="46" t="s">
        <v>1480</v>
      </c>
      <c r="S372" s="37"/>
    </row>
    <row r="373" spans="1:19" x14ac:dyDescent="0.2">
      <c r="A373" s="36"/>
      <c r="B373" s="38" t="str">
        <f>IF(MasterFees[[#This Row],[RVG Code]]="","",_xlfn.XLOOKUP(MasterFees[[#This Row],[RVG Code]],RVGCodes[Code],RVGCodes[Base Units],"Code not found"))</f>
        <v/>
      </c>
      <c r="C373" s="37" t="s">
        <v>373</v>
      </c>
      <c r="D373" s="44" t="s">
        <v>1108</v>
      </c>
      <c r="E373" s="44"/>
      <c r="F373" s="44" t="s">
        <v>1109</v>
      </c>
      <c r="G373" s="39">
        <v>0</v>
      </c>
      <c r="H373" s="39">
        <v>0</v>
      </c>
      <c r="I373" s="39">
        <v>0</v>
      </c>
      <c r="J373" s="39">
        <v>0</v>
      </c>
      <c r="K373" s="40">
        <v>0</v>
      </c>
      <c r="L373" s="45" t="s">
        <v>1015</v>
      </c>
      <c r="M373" s="41" t="str">
        <f>IF(MasterFees[[#This Row],[GST Basis]]="Excl",MasterFees[[#This Row],[Fee as Printed]],IF(MasterFees[[#This Row],[GST Basis]]="Incl",MasterFees[[#This Row],[Fee as Printed]]/(1+GST_Rate),""))</f>
        <v/>
      </c>
      <c r="N373" s="41" t="str">
        <f>IF(MasterFees[[#This Row],[GST Basis]]="Incl",MasterFees[[#This Row],[Fee as Printed]],IF(MasterFees[[#This Row],[GST Basis]]="Excl",MasterFees[[#This Row],[Fee as Printed]]*(1+GST_Rate),""))</f>
        <v/>
      </c>
      <c r="O373" s="42" t="str">
        <f>IF(N(MasterFees[[#This Row],[Total Units]])=0,"",MasterFees[[#This Row],[Fee as Printed]]/MasterFees[[#This Row],[Total Units]])</f>
        <v/>
      </c>
      <c r="P373" s="43"/>
      <c r="Q373" s="46" t="s">
        <v>1013</v>
      </c>
      <c r="R373" s="46" t="s">
        <v>1481</v>
      </c>
      <c r="S373" s="37"/>
    </row>
    <row r="374" spans="1:19" x14ac:dyDescent="0.2">
      <c r="A374" s="36"/>
      <c r="B374" s="38" t="str">
        <f>IF(MasterFees[[#This Row],[RVG Code]]="","",_xlfn.XLOOKUP(MasterFees[[#This Row],[RVG Code]],RVGCodes[Code],RVGCodes[Base Units],"Code not found"))</f>
        <v/>
      </c>
      <c r="C374" s="37" t="s">
        <v>374</v>
      </c>
      <c r="D374" s="44" t="s">
        <v>1108</v>
      </c>
      <c r="E374" s="44"/>
      <c r="F374" s="44" t="s">
        <v>1109</v>
      </c>
      <c r="G374" s="39">
        <v>6</v>
      </c>
      <c r="H374" s="39">
        <v>5</v>
      </c>
      <c r="I374" s="39">
        <v>3</v>
      </c>
      <c r="J374" s="39">
        <v>14</v>
      </c>
      <c r="K374" s="40">
        <v>770</v>
      </c>
      <c r="L374" s="45" t="s">
        <v>1015</v>
      </c>
      <c r="M374" s="41" t="str">
        <f>IF(MasterFees[[#This Row],[GST Basis]]="Excl",MasterFees[[#This Row],[Fee as Printed]],IF(MasterFees[[#This Row],[GST Basis]]="Incl",MasterFees[[#This Row],[Fee as Printed]]/(1+GST_Rate),""))</f>
        <v/>
      </c>
      <c r="N374" s="41" t="str">
        <f>IF(MasterFees[[#This Row],[GST Basis]]="Incl",MasterFees[[#This Row],[Fee as Printed]],IF(MasterFees[[#This Row],[GST Basis]]="Excl",MasterFees[[#This Row],[Fee as Printed]]*(1+GST_Rate),""))</f>
        <v/>
      </c>
      <c r="O374" s="42">
        <f>IF(N(MasterFees[[#This Row],[Total Units]])=0,"",MasterFees[[#This Row],[Fee as Printed]]/MasterFees[[#This Row],[Total Units]])</f>
        <v>55</v>
      </c>
      <c r="P374" s="43"/>
      <c r="Q374" s="46" t="s">
        <v>1013</v>
      </c>
      <c r="R374" s="46" t="s">
        <v>1482</v>
      </c>
      <c r="S374" s="37"/>
    </row>
    <row r="375" spans="1:19" x14ac:dyDescent="0.2">
      <c r="A375" s="36"/>
      <c r="B375" s="38" t="str">
        <f>IF(MasterFees[[#This Row],[RVG Code]]="","",_xlfn.XLOOKUP(MasterFees[[#This Row],[RVG Code]],RVGCodes[Code],RVGCodes[Base Units],"Code not found"))</f>
        <v/>
      </c>
      <c r="C375" s="37" t="s">
        <v>375</v>
      </c>
      <c r="D375" s="44" t="s">
        <v>1108</v>
      </c>
      <c r="E375" s="44"/>
      <c r="F375" s="44" t="s">
        <v>1109</v>
      </c>
      <c r="G375" s="39">
        <v>4</v>
      </c>
      <c r="H375" s="39">
        <v>2</v>
      </c>
      <c r="I375" s="39">
        <v>1</v>
      </c>
      <c r="J375" s="39">
        <v>7</v>
      </c>
      <c r="K375" s="40">
        <v>385</v>
      </c>
      <c r="L375" s="45" t="s">
        <v>1015</v>
      </c>
      <c r="M375" s="41" t="str">
        <f>IF(MasterFees[[#This Row],[GST Basis]]="Excl",MasterFees[[#This Row],[Fee as Printed]],IF(MasterFees[[#This Row],[GST Basis]]="Incl",MasterFees[[#This Row],[Fee as Printed]]/(1+GST_Rate),""))</f>
        <v/>
      </c>
      <c r="N375" s="41" t="str">
        <f>IF(MasterFees[[#This Row],[GST Basis]]="Incl",MasterFees[[#This Row],[Fee as Printed]],IF(MasterFees[[#This Row],[GST Basis]]="Excl",MasterFees[[#This Row],[Fee as Printed]]*(1+GST_Rate),""))</f>
        <v/>
      </c>
      <c r="O375" s="42">
        <f>IF(N(MasterFees[[#This Row],[Total Units]])=0,"",MasterFees[[#This Row],[Fee as Printed]]/MasterFees[[#This Row],[Total Units]])</f>
        <v>55</v>
      </c>
      <c r="P375" s="43"/>
      <c r="Q375" s="46" t="s">
        <v>1013</v>
      </c>
      <c r="R375" s="46" t="s">
        <v>1483</v>
      </c>
      <c r="S375" s="37"/>
    </row>
    <row r="376" spans="1:19" x14ac:dyDescent="0.2">
      <c r="A376" s="36"/>
      <c r="B376" s="38" t="str">
        <f>IF(MasterFees[[#This Row],[RVG Code]]="","",_xlfn.XLOOKUP(MasterFees[[#This Row],[RVG Code]],RVGCodes[Code],RVGCodes[Base Units],"Code not found"))</f>
        <v/>
      </c>
      <c r="C376" s="37" t="s">
        <v>376</v>
      </c>
      <c r="D376" s="44" t="s">
        <v>1108</v>
      </c>
      <c r="E376" s="44"/>
      <c r="F376" s="44" t="s">
        <v>1109</v>
      </c>
      <c r="G376" s="39">
        <v>4.0999999999999996</v>
      </c>
      <c r="H376" s="39">
        <v>2.2999999999999998</v>
      </c>
      <c r="I376" s="39">
        <v>0.1</v>
      </c>
      <c r="J376" s="39">
        <v>6.6</v>
      </c>
      <c r="K376" s="40">
        <v>361.35</v>
      </c>
      <c r="L376" s="45" t="s">
        <v>1015</v>
      </c>
      <c r="M376" s="41" t="str">
        <f>IF(MasterFees[[#This Row],[GST Basis]]="Excl",MasterFees[[#This Row],[Fee as Printed]],IF(MasterFees[[#This Row],[GST Basis]]="Incl",MasterFees[[#This Row],[Fee as Printed]]/(1+GST_Rate),""))</f>
        <v/>
      </c>
      <c r="N376" s="41" t="str">
        <f>IF(MasterFees[[#This Row],[GST Basis]]="Incl",MasterFees[[#This Row],[Fee as Printed]],IF(MasterFees[[#This Row],[GST Basis]]="Excl",MasterFees[[#This Row],[Fee as Printed]]*(1+GST_Rate),""))</f>
        <v/>
      </c>
      <c r="O376" s="42">
        <f>IF(N(MasterFees[[#This Row],[Total Units]])=0,"",MasterFees[[#This Row],[Fee as Printed]]/MasterFees[[#This Row],[Total Units]])</f>
        <v>54.750000000000007</v>
      </c>
      <c r="P376" s="43"/>
      <c r="Q376" s="46" t="s">
        <v>1013</v>
      </c>
      <c r="R376" s="46" t="s">
        <v>1484</v>
      </c>
      <c r="S376" s="37"/>
    </row>
    <row r="377" spans="1:19" x14ac:dyDescent="0.2">
      <c r="A377" s="36"/>
      <c r="B377" s="38" t="str">
        <f>IF(MasterFees[[#This Row],[RVG Code]]="","",_xlfn.XLOOKUP(MasterFees[[#This Row],[RVG Code]],RVGCodes[Code],RVGCodes[Base Units],"Code not found"))</f>
        <v/>
      </c>
      <c r="C377" s="37" t="s">
        <v>377</v>
      </c>
      <c r="D377" s="44" t="s">
        <v>1108</v>
      </c>
      <c r="E377" s="44"/>
      <c r="F377" s="44" t="s">
        <v>1109</v>
      </c>
      <c r="G377" s="39">
        <v>4.9000000000000004</v>
      </c>
      <c r="H377" s="39">
        <v>4</v>
      </c>
      <c r="I377" s="39">
        <v>0.1</v>
      </c>
      <c r="J377" s="39">
        <v>9</v>
      </c>
      <c r="K377" s="40">
        <v>493.9</v>
      </c>
      <c r="L377" s="45" t="s">
        <v>1015</v>
      </c>
      <c r="M377" s="41" t="str">
        <f>IF(MasterFees[[#This Row],[GST Basis]]="Excl",MasterFees[[#This Row],[Fee as Printed]],IF(MasterFees[[#This Row],[GST Basis]]="Incl",MasterFees[[#This Row],[Fee as Printed]]/(1+GST_Rate),""))</f>
        <v/>
      </c>
      <c r="N377" s="41" t="str">
        <f>IF(MasterFees[[#This Row],[GST Basis]]="Incl",MasterFees[[#This Row],[Fee as Printed]],IF(MasterFees[[#This Row],[GST Basis]]="Excl",MasterFees[[#This Row],[Fee as Printed]]*(1+GST_Rate),""))</f>
        <v/>
      </c>
      <c r="O377" s="42">
        <f>IF(N(MasterFees[[#This Row],[Total Units]])=0,"",MasterFees[[#This Row],[Fee as Printed]]/MasterFees[[#This Row],[Total Units]])</f>
        <v>54.877777777777773</v>
      </c>
      <c r="P377" s="43"/>
      <c r="Q377" s="46" t="s">
        <v>1013</v>
      </c>
      <c r="R377" s="46" t="s">
        <v>1485</v>
      </c>
      <c r="S377" s="37"/>
    </row>
    <row r="378" spans="1:19" x14ac:dyDescent="0.2">
      <c r="A378" s="36"/>
      <c r="B378" s="38" t="str">
        <f>IF(MasterFees[[#This Row],[RVG Code]]="","",_xlfn.XLOOKUP(MasterFees[[#This Row],[RVG Code]],RVGCodes[Code],RVGCodes[Base Units],"Code not found"))</f>
        <v/>
      </c>
      <c r="C378" s="37" t="s">
        <v>378</v>
      </c>
      <c r="D378" s="44" t="s">
        <v>1108</v>
      </c>
      <c r="E378" s="44"/>
      <c r="F378" s="44" t="s">
        <v>1109</v>
      </c>
      <c r="G378" s="39">
        <v>6.2</v>
      </c>
      <c r="H378" s="39">
        <v>11.6</v>
      </c>
      <c r="I378" s="39">
        <v>1</v>
      </c>
      <c r="J378" s="39">
        <v>18.8</v>
      </c>
      <c r="K378" s="40">
        <v>1034</v>
      </c>
      <c r="L378" s="45" t="s">
        <v>1015</v>
      </c>
      <c r="M378" s="41" t="str">
        <f>IF(MasterFees[[#This Row],[GST Basis]]="Excl",MasterFees[[#This Row],[Fee as Printed]],IF(MasterFees[[#This Row],[GST Basis]]="Incl",MasterFees[[#This Row],[Fee as Printed]]/(1+GST_Rate),""))</f>
        <v/>
      </c>
      <c r="N378" s="41" t="str">
        <f>IF(MasterFees[[#This Row],[GST Basis]]="Incl",MasterFees[[#This Row],[Fee as Printed]],IF(MasterFees[[#This Row],[GST Basis]]="Excl",MasterFees[[#This Row],[Fee as Printed]]*(1+GST_Rate),""))</f>
        <v/>
      </c>
      <c r="O378" s="42">
        <f>IF(N(MasterFees[[#This Row],[Total Units]])=0,"",MasterFees[[#This Row],[Fee as Printed]]/MasterFees[[#This Row],[Total Units]])</f>
        <v>55</v>
      </c>
      <c r="P378" s="43"/>
      <c r="Q378" s="46" t="s">
        <v>1013</v>
      </c>
      <c r="R378" s="46" t="s">
        <v>1486</v>
      </c>
      <c r="S378" s="37"/>
    </row>
    <row r="379" spans="1:19" x14ac:dyDescent="0.2">
      <c r="A379" s="36"/>
      <c r="B379" s="38" t="str">
        <f>IF(MasterFees[[#This Row],[RVG Code]]="","",_xlfn.XLOOKUP(MasterFees[[#This Row],[RVG Code]],RVGCodes[Code],RVGCodes[Base Units],"Code not found"))</f>
        <v/>
      </c>
      <c r="C379" s="37" t="s">
        <v>379</v>
      </c>
      <c r="D379" s="44" t="s">
        <v>1108</v>
      </c>
      <c r="E379" s="44"/>
      <c r="F379" s="44" t="s">
        <v>1109</v>
      </c>
      <c r="G379" s="39">
        <v>12</v>
      </c>
      <c r="H379" s="39">
        <v>20</v>
      </c>
      <c r="I379" s="39">
        <v>0</v>
      </c>
      <c r="J379" s="39">
        <v>32</v>
      </c>
      <c r="K379" s="40">
        <v>1760</v>
      </c>
      <c r="L379" s="45" t="s">
        <v>1015</v>
      </c>
      <c r="M379" s="41" t="str">
        <f>IF(MasterFees[[#This Row],[GST Basis]]="Excl",MasterFees[[#This Row],[Fee as Printed]],IF(MasterFees[[#This Row],[GST Basis]]="Incl",MasterFees[[#This Row],[Fee as Printed]]/(1+GST_Rate),""))</f>
        <v/>
      </c>
      <c r="N379" s="41" t="str">
        <f>IF(MasterFees[[#This Row],[GST Basis]]="Incl",MasterFees[[#This Row],[Fee as Printed]],IF(MasterFees[[#This Row],[GST Basis]]="Excl",MasterFees[[#This Row],[Fee as Printed]]*(1+GST_Rate),""))</f>
        <v/>
      </c>
      <c r="O379" s="42">
        <f>IF(N(MasterFees[[#This Row],[Total Units]])=0,"",MasterFees[[#This Row],[Fee as Printed]]/MasterFees[[#This Row],[Total Units]])</f>
        <v>55</v>
      </c>
      <c r="P379" s="43"/>
      <c r="Q379" s="46" t="s">
        <v>1013</v>
      </c>
      <c r="R379" s="46" t="s">
        <v>1487</v>
      </c>
      <c r="S379" s="37"/>
    </row>
    <row r="380" spans="1:19" x14ac:dyDescent="0.2">
      <c r="A380" s="36"/>
      <c r="B380" s="38" t="str">
        <f>IF(MasterFees[[#This Row],[RVG Code]]="","",_xlfn.XLOOKUP(MasterFees[[#This Row],[RVG Code]],RVGCodes[Code],RVGCodes[Base Units],"Code not found"))</f>
        <v/>
      </c>
      <c r="C380" s="37" t="s">
        <v>380</v>
      </c>
      <c r="D380" s="44" t="s">
        <v>1108</v>
      </c>
      <c r="E380" s="44"/>
      <c r="F380" s="44" t="s">
        <v>1109</v>
      </c>
      <c r="G380" s="39">
        <v>4.4000000000000004</v>
      </c>
      <c r="H380" s="39">
        <v>2</v>
      </c>
      <c r="I380" s="39">
        <v>0.5</v>
      </c>
      <c r="J380" s="39">
        <v>6.9</v>
      </c>
      <c r="K380" s="40">
        <v>379.5</v>
      </c>
      <c r="L380" s="45" t="s">
        <v>1015</v>
      </c>
      <c r="M380" s="41" t="str">
        <f>IF(MasterFees[[#This Row],[GST Basis]]="Excl",MasterFees[[#This Row],[Fee as Printed]],IF(MasterFees[[#This Row],[GST Basis]]="Incl",MasterFees[[#This Row],[Fee as Printed]]/(1+GST_Rate),""))</f>
        <v/>
      </c>
      <c r="N380" s="41" t="str">
        <f>IF(MasterFees[[#This Row],[GST Basis]]="Incl",MasterFees[[#This Row],[Fee as Printed]],IF(MasterFees[[#This Row],[GST Basis]]="Excl",MasterFees[[#This Row],[Fee as Printed]]*(1+GST_Rate),""))</f>
        <v/>
      </c>
      <c r="O380" s="42">
        <f>IF(N(MasterFees[[#This Row],[Total Units]])=0,"",MasterFees[[#This Row],[Fee as Printed]]/MasterFees[[#This Row],[Total Units]])</f>
        <v>55</v>
      </c>
      <c r="P380" s="43"/>
      <c r="Q380" s="46" t="s">
        <v>1013</v>
      </c>
      <c r="R380" s="46" t="s">
        <v>1488</v>
      </c>
      <c r="S380" s="37"/>
    </row>
    <row r="381" spans="1:19" x14ac:dyDescent="0.2">
      <c r="A381" s="36"/>
      <c r="B381" s="38" t="str">
        <f>IF(MasterFees[[#This Row],[RVG Code]]="","",_xlfn.XLOOKUP(MasterFees[[#This Row],[RVG Code]],RVGCodes[Code],RVGCodes[Base Units],"Code not found"))</f>
        <v/>
      </c>
      <c r="C381" s="37" t="s">
        <v>381</v>
      </c>
      <c r="D381" s="44" t="s">
        <v>1108</v>
      </c>
      <c r="E381" s="44"/>
      <c r="F381" s="44" t="s">
        <v>1109</v>
      </c>
      <c r="G381" s="39">
        <v>5</v>
      </c>
      <c r="H381" s="39">
        <v>2</v>
      </c>
      <c r="I381" s="39">
        <v>0</v>
      </c>
      <c r="J381" s="39">
        <v>7</v>
      </c>
      <c r="K381" s="40">
        <v>385</v>
      </c>
      <c r="L381" s="45" t="s">
        <v>1015</v>
      </c>
      <c r="M381" s="41" t="str">
        <f>IF(MasterFees[[#This Row],[GST Basis]]="Excl",MasterFees[[#This Row],[Fee as Printed]],IF(MasterFees[[#This Row],[GST Basis]]="Incl",MasterFees[[#This Row],[Fee as Printed]]/(1+GST_Rate),""))</f>
        <v/>
      </c>
      <c r="N381" s="41" t="str">
        <f>IF(MasterFees[[#This Row],[GST Basis]]="Incl",MasterFees[[#This Row],[Fee as Printed]],IF(MasterFees[[#This Row],[GST Basis]]="Excl",MasterFees[[#This Row],[Fee as Printed]]*(1+GST_Rate),""))</f>
        <v/>
      </c>
      <c r="O381" s="42">
        <f>IF(N(MasterFees[[#This Row],[Total Units]])=0,"",MasterFees[[#This Row],[Fee as Printed]]/MasterFees[[#This Row],[Total Units]])</f>
        <v>55</v>
      </c>
      <c r="P381" s="43"/>
      <c r="Q381" s="46" t="s">
        <v>1013</v>
      </c>
      <c r="R381" s="46" t="s">
        <v>1489</v>
      </c>
      <c r="S381" s="37"/>
    </row>
    <row r="382" spans="1:19" x14ac:dyDescent="0.2">
      <c r="A382" s="36"/>
      <c r="B382" s="38" t="str">
        <f>IF(MasterFees[[#This Row],[RVG Code]]="","",_xlfn.XLOOKUP(MasterFees[[#This Row],[RVG Code]],RVGCodes[Code],RVGCodes[Base Units],"Code not found"))</f>
        <v/>
      </c>
      <c r="C382" s="37" t="s">
        <v>382</v>
      </c>
      <c r="D382" s="44" t="s">
        <v>1108</v>
      </c>
      <c r="E382" s="44"/>
      <c r="F382" s="44" t="s">
        <v>1109</v>
      </c>
      <c r="G382" s="39">
        <v>4.5</v>
      </c>
      <c r="H382" s="39">
        <v>3.3</v>
      </c>
      <c r="I382" s="39">
        <v>0.5</v>
      </c>
      <c r="J382" s="39">
        <v>8.1999999999999993</v>
      </c>
      <c r="K382" s="40">
        <v>453.2</v>
      </c>
      <c r="L382" s="45" t="s">
        <v>1015</v>
      </c>
      <c r="M382" s="41" t="str">
        <f>IF(MasterFees[[#This Row],[GST Basis]]="Excl",MasterFees[[#This Row],[Fee as Printed]],IF(MasterFees[[#This Row],[GST Basis]]="Incl",MasterFees[[#This Row],[Fee as Printed]]/(1+GST_Rate),""))</f>
        <v/>
      </c>
      <c r="N382" s="41" t="str">
        <f>IF(MasterFees[[#This Row],[GST Basis]]="Incl",MasterFees[[#This Row],[Fee as Printed]],IF(MasterFees[[#This Row],[GST Basis]]="Excl",MasterFees[[#This Row],[Fee as Printed]]*(1+GST_Rate),""))</f>
        <v/>
      </c>
      <c r="O382" s="42">
        <f>IF(N(MasterFees[[#This Row],[Total Units]])=0,"",MasterFees[[#This Row],[Fee as Printed]]/MasterFees[[#This Row],[Total Units]])</f>
        <v>55.268292682926834</v>
      </c>
      <c r="P382" s="43"/>
      <c r="Q382" s="46" t="s">
        <v>1013</v>
      </c>
      <c r="R382" s="46" t="s">
        <v>1490</v>
      </c>
      <c r="S382" s="37"/>
    </row>
    <row r="383" spans="1:19" x14ac:dyDescent="0.2">
      <c r="A383" s="36"/>
      <c r="B383" s="38" t="str">
        <f>IF(MasterFees[[#This Row],[RVG Code]]="","",_xlfn.XLOOKUP(MasterFees[[#This Row],[RVG Code]],RVGCodes[Code],RVGCodes[Base Units],"Code not found"))</f>
        <v/>
      </c>
      <c r="C383" s="37" t="s">
        <v>383</v>
      </c>
      <c r="D383" s="44" t="s">
        <v>1108</v>
      </c>
      <c r="E383" s="44"/>
      <c r="F383" s="44" t="s">
        <v>1109</v>
      </c>
      <c r="G383" s="39">
        <v>4.9000000000000004</v>
      </c>
      <c r="H383" s="39">
        <v>3.2</v>
      </c>
      <c r="I383" s="39">
        <v>0.3</v>
      </c>
      <c r="J383" s="39">
        <v>8.4</v>
      </c>
      <c r="K383" s="40">
        <v>464.2</v>
      </c>
      <c r="L383" s="45" t="s">
        <v>1015</v>
      </c>
      <c r="M383" s="41" t="str">
        <f>IF(MasterFees[[#This Row],[GST Basis]]="Excl",MasterFees[[#This Row],[Fee as Printed]],IF(MasterFees[[#This Row],[GST Basis]]="Incl",MasterFees[[#This Row],[Fee as Printed]]/(1+GST_Rate),""))</f>
        <v/>
      </c>
      <c r="N383" s="41" t="str">
        <f>IF(MasterFees[[#This Row],[GST Basis]]="Incl",MasterFees[[#This Row],[Fee as Printed]],IF(MasterFees[[#This Row],[GST Basis]]="Excl",MasterFees[[#This Row],[Fee as Printed]]*(1+GST_Rate),""))</f>
        <v/>
      </c>
      <c r="O383" s="42">
        <f>IF(N(MasterFees[[#This Row],[Total Units]])=0,"",MasterFees[[#This Row],[Fee as Printed]]/MasterFees[[#This Row],[Total Units]])</f>
        <v>55.261904761904759</v>
      </c>
      <c r="P383" s="43"/>
      <c r="Q383" s="46" t="s">
        <v>1013</v>
      </c>
      <c r="R383" s="46" t="s">
        <v>1491</v>
      </c>
      <c r="S383" s="37"/>
    </row>
    <row r="384" spans="1:19" x14ac:dyDescent="0.2">
      <c r="A384" s="36"/>
      <c r="B384" s="38" t="str">
        <f>IF(MasterFees[[#This Row],[RVG Code]]="","",_xlfn.XLOOKUP(MasterFees[[#This Row],[RVG Code]],RVGCodes[Code],RVGCodes[Base Units],"Code not found"))</f>
        <v/>
      </c>
      <c r="C384" s="37" t="s">
        <v>384</v>
      </c>
      <c r="D384" s="44" t="s">
        <v>1108</v>
      </c>
      <c r="E384" s="44"/>
      <c r="F384" s="44" t="s">
        <v>1109</v>
      </c>
      <c r="G384" s="39">
        <v>6</v>
      </c>
      <c r="H384" s="39">
        <v>3</v>
      </c>
      <c r="I384" s="39">
        <v>2</v>
      </c>
      <c r="J384" s="39">
        <v>11</v>
      </c>
      <c r="K384" s="40">
        <v>605</v>
      </c>
      <c r="L384" s="45" t="s">
        <v>1015</v>
      </c>
      <c r="M384" s="41" t="str">
        <f>IF(MasterFees[[#This Row],[GST Basis]]="Excl",MasterFees[[#This Row],[Fee as Printed]],IF(MasterFees[[#This Row],[GST Basis]]="Incl",MasterFees[[#This Row],[Fee as Printed]]/(1+GST_Rate),""))</f>
        <v/>
      </c>
      <c r="N384" s="41" t="str">
        <f>IF(MasterFees[[#This Row],[GST Basis]]="Incl",MasterFees[[#This Row],[Fee as Printed]],IF(MasterFees[[#This Row],[GST Basis]]="Excl",MasterFees[[#This Row],[Fee as Printed]]*(1+GST_Rate),""))</f>
        <v/>
      </c>
      <c r="O384" s="42">
        <f>IF(N(MasterFees[[#This Row],[Total Units]])=0,"",MasterFees[[#This Row],[Fee as Printed]]/MasterFees[[#This Row],[Total Units]])</f>
        <v>55</v>
      </c>
      <c r="P384" s="43"/>
      <c r="Q384" s="46" t="s">
        <v>1013</v>
      </c>
      <c r="R384" s="46" t="s">
        <v>1492</v>
      </c>
      <c r="S384" s="37"/>
    </row>
    <row r="385" spans="1:19" x14ac:dyDescent="0.2">
      <c r="A385" s="36"/>
      <c r="B385" s="38" t="str">
        <f>IF(MasterFees[[#This Row],[RVG Code]]="","",_xlfn.XLOOKUP(MasterFees[[#This Row],[RVG Code]],RVGCodes[Code],RVGCodes[Base Units],"Code not found"))</f>
        <v/>
      </c>
      <c r="C385" s="37" t="s">
        <v>385</v>
      </c>
      <c r="D385" s="44" t="s">
        <v>1108</v>
      </c>
      <c r="E385" s="44"/>
      <c r="F385" s="44" t="s">
        <v>1109</v>
      </c>
      <c r="G385" s="39">
        <v>4</v>
      </c>
      <c r="H385" s="39">
        <v>2</v>
      </c>
      <c r="I385" s="39">
        <v>0</v>
      </c>
      <c r="J385" s="39">
        <v>6</v>
      </c>
      <c r="K385" s="40">
        <v>330</v>
      </c>
      <c r="L385" s="45" t="s">
        <v>1015</v>
      </c>
      <c r="M385" s="41" t="str">
        <f>IF(MasterFees[[#This Row],[GST Basis]]="Excl",MasterFees[[#This Row],[Fee as Printed]],IF(MasterFees[[#This Row],[GST Basis]]="Incl",MasterFees[[#This Row],[Fee as Printed]]/(1+GST_Rate),""))</f>
        <v/>
      </c>
      <c r="N385" s="41" t="str">
        <f>IF(MasterFees[[#This Row],[GST Basis]]="Incl",MasterFees[[#This Row],[Fee as Printed]],IF(MasterFees[[#This Row],[GST Basis]]="Excl",MasterFees[[#This Row],[Fee as Printed]]*(1+GST_Rate),""))</f>
        <v/>
      </c>
      <c r="O385" s="42">
        <f>IF(N(MasterFees[[#This Row],[Total Units]])=0,"",MasterFees[[#This Row],[Fee as Printed]]/MasterFees[[#This Row],[Total Units]])</f>
        <v>55</v>
      </c>
      <c r="P385" s="43"/>
      <c r="Q385" s="46" t="s">
        <v>1013</v>
      </c>
      <c r="R385" s="46" t="s">
        <v>1493</v>
      </c>
      <c r="S385" s="37"/>
    </row>
    <row r="386" spans="1:19" x14ac:dyDescent="0.2">
      <c r="A386" s="36"/>
      <c r="B386" s="38" t="str">
        <f>IF(MasterFees[[#This Row],[RVG Code]]="","",_xlfn.XLOOKUP(MasterFees[[#This Row],[RVG Code]],RVGCodes[Code],RVGCodes[Base Units],"Code not found"))</f>
        <v/>
      </c>
      <c r="C386" s="37" t="s">
        <v>386</v>
      </c>
      <c r="D386" s="44" t="s">
        <v>1108</v>
      </c>
      <c r="E386" s="44"/>
      <c r="F386" s="44" t="s">
        <v>1109</v>
      </c>
      <c r="G386" s="39">
        <v>4.8</v>
      </c>
      <c r="H386" s="39">
        <v>3.7</v>
      </c>
      <c r="I386" s="39">
        <v>0.8</v>
      </c>
      <c r="J386" s="39">
        <v>9.1999999999999993</v>
      </c>
      <c r="K386" s="40">
        <v>507.65</v>
      </c>
      <c r="L386" s="45" t="s">
        <v>1015</v>
      </c>
      <c r="M386" s="41" t="str">
        <f>IF(MasterFees[[#This Row],[GST Basis]]="Excl",MasterFees[[#This Row],[Fee as Printed]],IF(MasterFees[[#This Row],[GST Basis]]="Incl",MasterFees[[#This Row],[Fee as Printed]]/(1+GST_Rate),""))</f>
        <v/>
      </c>
      <c r="N386" s="41" t="str">
        <f>IF(MasterFees[[#This Row],[GST Basis]]="Incl",MasterFees[[#This Row],[Fee as Printed]],IF(MasterFees[[#This Row],[GST Basis]]="Excl",MasterFees[[#This Row],[Fee as Printed]]*(1+GST_Rate),""))</f>
        <v/>
      </c>
      <c r="O386" s="42">
        <f>IF(N(MasterFees[[#This Row],[Total Units]])=0,"",MasterFees[[#This Row],[Fee as Printed]]/MasterFees[[#This Row],[Total Units]])</f>
        <v>55.179347826086961</v>
      </c>
      <c r="P386" s="43"/>
      <c r="Q386" s="46" t="s">
        <v>1013</v>
      </c>
      <c r="R386" s="46" t="s">
        <v>1494</v>
      </c>
      <c r="S386" s="37"/>
    </row>
    <row r="387" spans="1:19" x14ac:dyDescent="0.2">
      <c r="A387" s="36"/>
      <c r="B387" s="38" t="str">
        <f>IF(MasterFees[[#This Row],[RVG Code]]="","",_xlfn.XLOOKUP(MasterFees[[#This Row],[RVG Code]],RVGCodes[Code],RVGCodes[Base Units],"Code not found"))</f>
        <v/>
      </c>
      <c r="C387" s="37" t="s">
        <v>387</v>
      </c>
      <c r="D387" s="44" t="s">
        <v>1108</v>
      </c>
      <c r="E387" s="44"/>
      <c r="F387" s="44" t="s">
        <v>1109</v>
      </c>
      <c r="G387" s="39">
        <v>5</v>
      </c>
      <c r="H387" s="39">
        <v>3</v>
      </c>
      <c r="I387" s="39">
        <v>0</v>
      </c>
      <c r="J387" s="39">
        <v>8</v>
      </c>
      <c r="K387" s="40">
        <v>440</v>
      </c>
      <c r="L387" s="45" t="s">
        <v>1015</v>
      </c>
      <c r="M387" s="41" t="str">
        <f>IF(MasterFees[[#This Row],[GST Basis]]="Excl",MasterFees[[#This Row],[Fee as Printed]],IF(MasterFees[[#This Row],[GST Basis]]="Incl",MasterFees[[#This Row],[Fee as Printed]]/(1+GST_Rate),""))</f>
        <v/>
      </c>
      <c r="N387" s="41" t="str">
        <f>IF(MasterFees[[#This Row],[GST Basis]]="Incl",MasterFees[[#This Row],[Fee as Printed]],IF(MasterFees[[#This Row],[GST Basis]]="Excl",MasterFees[[#This Row],[Fee as Printed]]*(1+GST_Rate),""))</f>
        <v/>
      </c>
      <c r="O387" s="42">
        <f>IF(N(MasterFees[[#This Row],[Total Units]])=0,"",MasterFees[[#This Row],[Fee as Printed]]/MasterFees[[#This Row],[Total Units]])</f>
        <v>55</v>
      </c>
      <c r="P387" s="43"/>
      <c r="Q387" s="46" t="s">
        <v>1013</v>
      </c>
      <c r="R387" s="46" t="s">
        <v>1495</v>
      </c>
      <c r="S387" s="37"/>
    </row>
    <row r="388" spans="1:19" x14ac:dyDescent="0.2">
      <c r="A388" s="36"/>
      <c r="B388" s="38" t="str">
        <f>IF(MasterFees[[#This Row],[RVG Code]]="","",_xlfn.XLOOKUP(MasterFees[[#This Row],[RVG Code]],RVGCodes[Code],RVGCodes[Base Units],"Code not found"))</f>
        <v/>
      </c>
      <c r="C388" s="37" t="s">
        <v>388</v>
      </c>
      <c r="D388" s="44" t="s">
        <v>1108</v>
      </c>
      <c r="E388" s="44"/>
      <c r="F388" s="44" t="s">
        <v>1109</v>
      </c>
      <c r="G388" s="39">
        <v>0</v>
      </c>
      <c r="H388" s="39">
        <v>0</v>
      </c>
      <c r="I388" s="39">
        <v>0</v>
      </c>
      <c r="J388" s="39">
        <v>0</v>
      </c>
      <c r="K388" s="40">
        <v>0</v>
      </c>
      <c r="L388" s="45" t="s">
        <v>1015</v>
      </c>
      <c r="M388" s="41" t="str">
        <f>IF(MasterFees[[#This Row],[GST Basis]]="Excl",MasterFees[[#This Row],[Fee as Printed]],IF(MasterFees[[#This Row],[GST Basis]]="Incl",MasterFees[[#This Row],[Fee as Printed]]/(1+GST_Rate),""))</f>
        <v/>
      </c>
      <c r="N388" s="41" t="str">
        <f>IF(MasterFees[[#This Row],[GST Basis]]="Incl",MasterFees[[#This Row],[Fee as Printed]],IF(MasterFees[[#This Row],[GST Basis]]="Excl",MasterFees[[#This Row],[Fee as Printed]]*(1+GST_Rate),""))</f>
        <v/>
      </c>
      <c r="O388" s="42" t="str">
        <f>IF(N(MasterFees[[#This Row],[Total Units]])=0,"",MasterFees[[#This Row],[Fee as Printed]]/MasterFees[[#This Row],[Total Units]])</f>
        <v/>
      </c>
      <c r="P388" s="43"/>
      <c r="Q388" s="46" t="s">
        <v>1013</v>
      </c>
      <c r="R388" s="46" t="s">
        <v>1496</v>
      </c>
      <c r="S388" s="37"/>
    </row>
    <row r="389" spans="1:19" x14ac:dyDescent="0.2">
      <c r="A389" s="36"/>
      <c r="B389" s="38" t="str">
        <f>IF(MasterFees[[#This Row],[RVG Code]]="","",_xlfn.XLOOKUP(MasterFees[[#This Row],[RVG Code]],RVGCodes[Code],RVGCodes[Base Units],"Code not found"))</f>
        <v/>
      </c>
      <c r="C389" s="37" t="s">
        <v>389</v>
      </c>
      <c r="D389" s="44" t="s">
        <v>1108</v>
      </c>
      <c r="E389" s="44"/>
      <c r="F389" s="44" t="s">
        <v>1109</v>
      </c>
      <c r="G389" s="39">
        <v>5</v>
      </c>
      <c r="H389" s="39">
        <v>4</v>
      </c>
      <c r="I389" s="39">
        <v>0.1</v>
      </c>
      <c r="J389" s="39">
        <v>9.1</v>
      </c>
      <c r="K389" s="40">
        <v>501.6</v>
      </c>
      <c r="L389" s="45" t="s">
        <v>1015</v>
      </c>
      <c r="M389" s="41" t="str">
        <f>IF(MasterFees[[#This Row],[GST Basis]]="Excl",MasterFees[[#This Row],[Fee as Printed]],IF(MasterFees[[#This Row],[GST Basis]]="Incl",MasterFees[[#This Row],[Fee as Printed]]/(1+GST_Rate),""))</f>
        <v/>
      </c>
      <c r="N389" s="41" t="str">
        <f>IF(MasterFees[[#This Row],[GST Basis]]="Incl",MasterFees[[#This Row],[Fee as Printed]],IF(MasterFees[[#This Row],[GST Basis]]="Excl",MasterFees[[#This Row],[Fee as Printed]]*(1+GST_Rate),""))</f>
        <v/>
      </c>
      <c r="O389" s="42">
        <f>IF(N(MasterFees[[#This Row],[Total Units]])=0,"",MasterFees[[#This Row],[Fee as Printed]]/MasterFees[[#This Row],[Total Units]])</f>
        <v>55.120879120879124</v>
      </c>
      <c r="P389" s="43"/>
      <c r="Q389" s="46" t="s">
        <v>1013</v>
      </c>
      <c r="R389" s="46" t="s">
        <v>1497</v>
      </c>
      <c r="S389" s="37"/>
    </row>
    <row r="390" spans="1:19" x14ac:dyDescent="0.2">
      <c r="A390" s="36"/>
      <c r="B390" s="38" t="str">
        <f>IF(MasterFees[[#This Row],[RVG Code]]="","",_xlfn.XLOOKUP(MasterFees[[#This Row],[RVG Code]],RVGCodes[Code],RVGCodes[Base Units],"Code not found"))</f>
        <v/>
      </c>
      <c r="C390" s="37" t="s">
        <v>390</v>
      </c>
      <c r="D390" s="44" t="s">
        <v>1108</v>
      </c>
      <c r="E390" s="44"/>
      <c r="F390" s="44" t="s">
        <v>1109</v>
      </c>
      <c r="G390" s="39">
        <v>8</v>
      </c>
      <c r="H390" s="39">
        <v>7</v>
      </c>
      <c r="I390" s="39">
        <v>1.5</v>
      </c>
      <c r="J390" s="39">
        <v>16.5</v>
      </c>
      <c r="K390" s="40">
        <v>907.5</v>
      </c>
      <c r="L390" s="45" t="s">
        <v>1015</v>
      </c>
      <c r="M390" s="41" t="str">
        <f>IF(MasterFees[[#This Row],[GST Basis]]="Excl",MasterFees[[#This Row],[Fee as Printed]],IF(MasterFees[[#This Row],[GST Basis]]="Incl",MasterFees[[#This Row],[Fee as Printed]]/(1+GST_Rate),""))</f>
        <v/>
      </c>
      <c r="N390" s="41" t="str">
        <f>IF(MasterFees[[#This Row],[GST Basis]]="Incl",MasterFees[[#This Row],[Fee as Printed]],IF(MasterFees[[#This Row],[GST Basis]]="Excl",MasterFees[[#This Row],[Fee as Printed]]*(1+GST_Rate),""))</f>
        <v/>
      </c>
      <c r="O390" s="42">
        <f>IF(N(MasterFees[[#This Row],[Total Units]])=0,"",MasterFees[[#This Row],[Fee as Printed]]/MasterFees[[#This Row],[Total Units]])</f>
        <v>55</v>
      </c>
      <c r="P390" s="43"/>
      <c r="Q390" s="46" t="s">
        <v>1013</v>
      </c>
      <c r="R390" s="46" t="s">
        <v>1498</v>
      </c>
      <c r="S390" s="37"/>
    </row>
    <row r="391" spans="1:19" x14ac:dyDescent="0.2">
      <c r="A391" s="36"/>
      <c r="B391" s="38" t="str">
        <f>IF(MasterFees[[#This Row],[RVG Code]]="","",_xlfn.XLOOKUP(MasterFees[[#This Row],[RVG Code]],RVGCodes[Code],RVGCodes[Base Units],"Code not found"))</f>
        <v/>
      </c>
      <c r="C391" s="37" t="s">
        <v>391</v>
      </c>
      <c r="D391" s="44" t="s">
        <v>1108</v>
      </c>
      <c r="E391" s="44"/>
      <c r="F391" s="44" t="s">
        <v>1109</v>
      </c>
      <c r="G391" s="39">
        <v>0</v>
      </c>
      <c r="H391" s="39">
        <v>1</v>
      </c>
      <c r="I391" s="39">
        <v>1</v>
      </c>
      <c r="J391" s="39">
        <v>2</v>
      </c>
      <c r="K391" s="40">
        <v>110</v>
      </c>
      <c r="L391" s="45" t="s">
        <v>1015</v>
      </c>
      <c r="M391" s="41" t="str">
        <f>IF(MasterFees[[#This Row],[GST Basis]]="Excl",MasterFees[[#This Row],[Fee as Printed]],IF(MasterFees[[#This Row],[GST Basis]]="Incl",MasterFees[[#This Row],[Fee as Printed]]/(1+GST_Rate),""))</f>
        <v/>
      </c>
      <c r="N391" s="41" t="str">
        <f>IF(MasterFees[[#This Row],[GST Basis]]="Incl",MasterFees[[#This Row],[Fee as Printed]],IF(MasterFees[[#This Row],[GST Basis]]="Excl",MasterFees[[#This Row],[Fee as Printed]]*(1+GST_Rate),""))</f>
        <v/>
      </c>
      <c r="O391" s="42">
        <f>IF(N(MasterFees[[#This Row],[Total Units]])=0,"",MasterFees[[#This Row],[Fee as Printed]]/MasterFees[[#This Row],[Total Units]])</f>
        <v>55</v>
      </c>
      <c r="P391" s="43"/>
      <c r="Q391" s="46" t="s">
        <v>1013</v>
      </c>
      <c r="R391" s="46" t="s">
        <v>1499</v>
      </c>
      <c r="S391" s="37"/>
    </row>
    <row r="392" spans="1:19" x14ac:dyDescent="0.2">
      <c r="A392" s="36"/>
      <c r="B392" s="38" t="str">
        <f>IF(MasterFees[[#This Row],[RVG Code]]="","",_xlfn.XLOOKUP(MasterFees[[#This Row],[RVG Code]],RVGCodes[Code],RVGCodes[Base Units],"Code not found"))</f>
        <v/>
      </c>
      <c r="C392" s="37" t="s">
        <v>392</v>
      </c>
      <c r="D392" s="44" t="s">
        <v>1108</v>
      </c>
      <c r="E392" s="44"/>
      <c r="F392" s="44" t="s">
        <v>1109</v>
      </c>
      <c r="G392" s="39">
        <v>3.9</v>
      </c>
      <c r="H392" s="39">
        <v>1.2</v>
      </c>
      <c r="I392" s="39">
        <v>0.1</v>
      </c>
      <c r="J392" s="39">
        <v>5.2</v>
      </c>
      <c r="K392" s="40">
        <v>286.55</v>
      </c>
      <c r="L392" s="45" t="s">
        <v>1015</v>
      </c>
      <c r="M392" s="41" t="str">
        <f>IF(MasterFees[[#This Row],[GST Basis]]="Excl",MasterFees[[#This Row],[Fee as Printed]],IF(MasterFees[[#This Row],[GST Basis]]="Incl",MasterFees[[#This Row],[Fee as Printed]]/(1+GST_Rate),""))</f>
        <v/>
      </c>
      <c r="N392" s="41" t="str">
        <f>IF(MasterFees[[#This Row],[GST Basis]]="Incl",MasterFees[[#This Row],[Fee as Printed]],IF(MasterFees[[#This Row],[GST Basis]]="Excl",MasterFees[[#This Row],[Fee as Printed]]*(1+GST_Rate),""))</f>
        <v/>
      </c>
      <c r="O392" s="42">
        <f>IF(N(MasterFees[[#This Row],[Total Units]])=0,"",MasterFees[[#This Row],[Fee as Printed]]/MasterFees[[#This Row],[Total Units]])</f>
        <v>55.105769230769234</v>
      </c>
      <c r="P392" s="43"/>
      <c r="Q392" s="46" t="s">
        <v>1013</v>
      </c>
      <c r="R392" s="46" t="s">
        <v>1500</v>
      </c>
      <c r="S392" s="37"/>
    </row>
    <row r="393" spans="1:19" x14ac:dyDescent="0.2">
      <c r="A393" s="36"/>
      <c r="B393" s="38" t="str">
        <f>IF(MasterFees[[#This Row],[RVG Code]]="","",_xlfn.XLOOKUP(MasterFees[[#This Row],[RVG Code]],RVGCodes[Code],RVGCodes[Base Units],"Code not found"))</f>
        <v/>
      </c>
      <c r="C393" s="37" t="s">
        <v>393</v>
      </c>
      <c r="D393" s="44" t="s">
        <v>1108</v>
      </c>
      <c r="E393" s="44"/>
      <c r="F393" s="44" t="s">
        <v>1109</v>
      </c>
      <c r="G393" s="39">
        <v>5.0999999999999996</v>
      </c>
      <c r="H393" s="39">
        <v>6.4</v>
      </c>
      <c r="I393" s="39">
        <v>1.2</v>
      </c>
      <c r="J393" s="39">
        <v>12.7</v>
      </c>
      <c r="K393" s="40">
        <v>696.85</v>
      </c>
      <c r="L393" s="45" t="s">
        <v>1015</v>
      </c>
      <c r="M393" s="41" t="str">
        <f>IF(MasterFees[[#This Row],[GST Basis]]="Excl",MasterFees[[#This Row],[Fee as Printed]],IF(MasterFees[[#This Row],[GST Basis]]="Incl",MasterFees[[#This Row],[Fee as Printed]]/(1+GST_Rate),""))</f>
        <v/>
      </c>
      <c r="N393" s="41" t="str">
        <f>IF(MasterFees[[#This Row],[GST Basis]]="Incl",MasterFees[[#This Row],[Fee as Printed]],IF(MasterFees[[#This Row],[GST Basis]]="Excl",MasterFees[[#This Row],[Fee as Printed]]*(1+GST_Rate),""))</f>
        <v/>
      </c>
      <c r="O393" s="42">
        <f>IF(N(MasterFees[[#This Row],[Total Units]])=0,"",MasterFees[[#This Row],[Fee as Printed]]/MasterFees[[#This Row],[Total Units]])</f>
        <v>54.870078740157489</v>
      </c>
      <c r="P393" s="43"/>
      <c r="Q393" s="46" t="s">
        <v>1013</v>
      </c>
      <c r="R393" s="46" t="s">
        <v>1501</v>
      </c>
      <c r="S393" s="37"/>
    </row>
    <row r="394" spans="1:19" x14ac:dyDescent="0.2">
      <c r="A394" s="36"/>
      <c r="B394" s="38" t="str">
        <f>IF(MasterFees[[#This Row],[RVG Code]]="","",_xlfn.XLOOKUP(MasterFees[[#This Row],[RVG Code]],RVGCodes[Code],RVGCodes[Base Units],"Code not found"))</f>
        <v/>
      </c>
      <c r="C394" s="37" t="s">
        <v>394</v>
      </c>
      <c r="D394" s="44" t="s">
        <v>1108</v>
      </c>
      <c r="E394" s="44"/>
      <c r="F394" s="44" t="s">
        <v>1109</v>
      </c>
      <c r="G394" s="39">
        <v>4</v>
      </c>
      <c r="H394" s="39">
        <v>3.6</v>
      </c>
      <c r="I394" s="39">
        <v>0.8</v>
      </c>
      <c r="J394" s="39">
        <v>8.3000000000000007</v>
      </c>
      <c r="K394" s="40">
        <v>457.6</v>
      </c>
      <c r="L394" s="45" t="s">
        <v>1015</v>
      </c>
      <c r="M394" s="41" t="str">
        <f>IF(MasterFees[[#This Row],[GST Basis]]="Excl",MasterFees[[#This Row],[Fee as Printed]],IF(MasterFees[[#This Row],[GST Basis]]="Incl",MasterFees[[#This Row],[Fee as Printed]]/(1+GST_Rate),""))</f>
        <v/>
      </c>
      <c r="N394" s="41" t="str">
        <f>IF(MasterFees[[#This Row],[GST Basis]]="Incl",MasterFees[[#This Row],[Fee as Printed]],IF(MasterFees[[#This Row],[GST Basis]]="Excl",MasterFees[[#This Row],[Fee as Printed]]*(1+GST_Rate),""))</f>
        <v/>
      </c>
      <c r="O394" s="42">
        <f>IF(N(MasterFees[[#This Row],[Total Units]])=0,"",MasterFees[[#This Row],[Fee as Printed]]/MasterFees[[#This Row],[Total Units]])</f>
        <v>55.132530120481924</v>
      </c>
      <c r="P394" s="43"/>
      <c r="Q394" s="46" t="s">
        <v>1013</v>
      </c>
      <c r="R394" s="46" t="s">
        <v>1502</v>
      </c>
      <c r="S394" s="37"/>
    </row>
    <row r="395" spans="1:19" x14ac:dyDescent="0.2">
      <c r="A395" s="36"/>
      <c r="B395" s="38" t="str">
        <f>IF(MasterFees[[#This Row],[RVG Code]]="","",_xlfn.XLOOKUP(MasterFees[[#This Row],[RVG Code]],RVGCodes[Code],RVGCodes[Base Units],"Code not found"))</f>
        <v/>
      </c>
      <c r="C395" s="37" t="s">
        <v>395</v>
      </c>
      <c r="D395" s="44" t="s">
        <v>1108</v>
      </c>
      <c r="E395" s="44"/>
      <c r="F395" s="44" t="s">
        <v>1109</v>
      </c>
      <c r="G395" s="39">
        <v>5</v>
      </c>
      <c r="H395" s="39">
        <v>8</v>
      </c>
      <c r="I395" s="39">
        <v>0</v>
      </c>
      <c r="J395" s="39">
        <v>13</v>
      </c>
      <c r="K395" s="40">
        <v>715</v>
      </c>
      <c r="L395" s="45" t="s">
        <v>1015</v>
      </c>
      <c r="M395" s="41" t="str">
        <f>IF(MasterFees[[#This Row],[GST Basis]]="Excl",MasterFees[[#This Row],[Fee as Printed]],IF(MasterFees[[#This Row],[GST Basis]]="Incl",MasterFees[[#This Row],[Fee as Printed]]/(1+GST_Rate),""))</f>
        <v/>
      </c>
      <c r="N395" s="41" t="str">
        <f>IF(MasterFees[[#This Row],[GST Basis]]="Incl",MasterFees[[#This Row],[Fee as Printed]],IF(MasterFees[[#This Row],[GST Basis]]="Excl",MasterFees[[#This Row],[Fee as Printed]]*(1+GST_Rate),""))</f>
        <v/>
      </c>
      <c r="O395" s="42">
        <f>IF(N(MasterFees[[#This Row],[Total Units]])=0,"",MasterFees[[#This Row],[Fee as Printed]]/MasterFees[[#This Row],[Total Units]])</f>
        <v>55</v>
      </c>
      <c r="P395" s="43"/>
      <c r="Q395" s="46" t="s">
        <v>1013</v>
      </c>
      <c r="R395" s="46" t="s">
        <v>1503</v>
      </c>
      <c r="S395" s="37"/>
    </row>
    <row r="396" spans="1:19" x14ac:dyDescent="0.2">
      <c r="A396" s="36"/>
      <c r="B396" s="38" t="str">
        <f>IF(MasterFees[[#This Row],[RVG Code]]="","",_xlfn.XLOOKUP(MasterFees[[#This Row],[RVG Code]],RVGCodes[Code],RVGCodes[Base Units],"Code not found"))</f>
        <v/>
      </c>
      <c r="C396" s="37" t="s">
        <v>396</v>
      </c>
      <c r="D396" s="44" t="s">
        <v>1108</v>
      </c>
      <c r="E396" s="44"/>
      <c r="F396" s="44" t="s">
        <v>1109</v>
      </c>
      <c r="G396" s="39">
        <v>4</v>
      </c>
      <c r="H396" s="39">
        <v>4</v>
      </c>
      <c r="I396" s="39">
        <v>0</v>
      </c>
      <c r="J396" s="39">
        <v>8</v>
      </c>
      <c r="K396" s="40">
        <v>440</v>
      </c>
      <c r="L396" s="45" t="s">
        <v>1015</v>
      </c>
      <c r="M396" s="41" t="str">
        <f>IF(MasterFees[[#This Row],[GST Basis]]="Excl",MasterFees[[#This Row],[Fee as Printed]],IF(MasterFees[[#This Row],[GST Basis]]="Incl",MasterFees[[#This Row],[Fee as Printed]]/(1+GST_Rate),""))</f>
        <v/>
      </c>
      <c r="N396" s="41" t="str">
        <f>IF(MasterFees[[#This Row],[GST Basis]]="Incl",MasterFees[[#This Row],[Fee as Printed]],IF(MasterFees[[#This Row],[GST Basis]]="Excl",MasterFees[[#This Row],[Fee as Printed]]*(1+GST_Rate),""))</f>
        <v/>
      </c>
      <c r="O396" s="42">
        <f>IF(N(MasterFees[[#This Row],[Total Units]])=0,"",MasterFees[[#This Row],[Fee as Printed]]/MasterFees[[#This Row],[Total Units]])</f>
        <v>55</v>
      </c>
      <c r="P396" s="43"/>
      <c r="Q396" s="46" t="s">
        <v>1013</v>
      </c>
      <c r="R396" s="46" t="s">
        <v>1504</v>
      </c>
      <c r="S396" s="37"/>
    </row>
    <row r="397" spans="1:19" x14ac:dyDescent="0.2">
      <c r="A397" s="36"/>
      <c r="B397" s="38" t="str">
        <f>IF(MasterFees[[#This Row],[RVG Code]]="","",_xlfn.XLOOKUP(MasterFees[[#This Row],[RVG Code]],RVGCodes[Code],RVGCodes[Base Units],"Code not found"))</f>
        <v/>
      </c>
      <c r="C397" s="37" t="s">
        <v>397</v>
      </c>
      <c r="D397" s="44" t="s">
        <v>1108</v>
      </c>
      <c r="E397" s="44"/>
      <c r="F397" s="44" t="s">
        <v>1109</v>
      </c>
      <c r="G397" s="39">
        <v>0</v>
      </c>
      <c r="H397" s="39">
        <v>2</v>
      </c>
      <c r="I397" s="39">
        <v>0</v>
      </c>
      <c r="J397" s="39">
        <v>2</v>
      </c>
      <c r="K397" s="40">
        <v>110</v>
      </c>
      <c r="L397" s="45" t="s">
        <v>1015</v>
      </c>
      <c r="M397" s="41" t="str">
        <f>IF(MasterFees[[#This Row],[GST Basis]]="Excl",MasterFees[[#This Row],[Fee as Printed]],IF(MasterFees[[#This Row],[GST Basis]]="Incl",MasterFees[[#This Row],[Fee as Printed]]/(1+GST_Rate),""))</f>
        <v/>
      </c>
      <c r="N397" s="41" t="str">
        <f>IF(MasterFees[[#This Row],[GST Basis]]="Incl",MasterFees[[#This Row],[Fee as Printed]],IF(MasterFees[[#This Row],[GST Basis]]="Excl",MasterFees[[#This Row],[Fee as Printed]]*(1+GST_Rate),""))</f>
        <v/>
      </c>
      <c r="O397" s="42">
        <f>IF(N(MasterFees[[#This Row],[Total Units]])=0,"",MasterFees[[#This Row],[Fee as Printed]]/MasterFees[[#This Row],[Total Units]])</f>
        <v>55</v>
      </c>
      <c r="P397" s="43"/>
      <c r="Q397" s="46" t="s">
        <v>1013</v>
      </c>
      <c r="R397" s="46" t="s">
        <v>1505</v>
      </c>
      <c r="S397" s="37"/>
    </row>
    <row r="398" spans="1:19" x14ac:dyDescent="0.2">
      <c r="A398" s="36"/>
      <c r="B398" s="38" t="str">
        <f>IF(MasterFees[[#This Row],[RVG Code]]="","",_xlfn.XLOOKUP(MasterFees[[#This Row],[RVG Code]],RVGCodes[Code],RVGCodes[Base Units],"Code not found"))</f>
        <v/>
      </c>
      <c r="C398" s="37" t="s">
        <v>398</v>
      </c>
      <c r="D398" s="44" t="s">
        <v>1108</v>
      </c>
      <c r="E398" s="44"/>
      <c r="F398" s="44" t="s">
        <v>1109</v>
      </c>
      <c r="G398" s="39">
        <v>2.2000000000000002</v>
      </c>
      <c r="H398" s="39">
        <v>2</v>
      </c>
      <c r="I398" s="39">
        <v>0.3</v>
      </c>
      <c r="J398" s="39">
        <v>4.5</v>
      </c>
      <c r="K398" s="40">
        <v>246.95</v>
      </c>
      <c r="L398" s="45" t="s">
        <v>1015</v>
      </c>
      <c r="M398" s="41" t="str">
        <f>IF(MasterFees[[#This Row],[GST Basis]]="Excl",MasterFees[[#This Row],[Fee as Printed]],IF(MasterFees[[#This Row],[GST Basis]]="Incl",MasterFees[[#This Row],[Fee as Printed]]/(1+GST_Rate),""))</f>
        <v/>
      </c>
      <c r="N398" s="41" t="str">
        <f>IF(MasterFees[[#This Row],[GST Basis]]="Incl",MasterFees[[#This Row],[Fee as Printed]],IF(MasterFees[[#This Row],[GST Basis]]="Excl",MasterFees[[#This Row],[Fee as Printed]]*(1+GST_Rate),""))</f>
        <v/>
      </c>
      <c r="O398" s="42">
        <f>IF(N(MasterFees[[#This Row],[Total Units]])=0,"",MasterFees[[#This Row],[Fee as Printed]]/MasterFees[[#This Row],[Total Units]])</f>
        <v>54.877777777777773</v>
      </c>
      <c r="P398" s="43"/>
      <c r="Q398" s="46" t="s">
        <v>1013</v>
      </c>
      <c r="R398" s="46" t="s">
        <v>1506</v>
      </c>
      <c r="S398" s="37"/>
    </row>
    <row r="399" spans="1:19" x14ac:dyDescent="0.2">
      <c r="A399" s="36"/>
      <c r="B399" s="38" t="str">
        <f>IF(MasterFees[[#This Row],[RVG Code]]="","",_xlfn.XLOOKUP(MasterFees[[#This Row],[RVG Code]],RVGCodes[Code],RVGCodes[Base Units],"Code not found"))</f>
        <v/>
      </c>
      <c r="C399" s="37" t="s">
        <v>399</v>
      </c>
      <c r="D399" s="44" t="s">
        <v>1108</v>
      </c>
      <c r="E399" s="44"/>
      <c r="F399" s="44" t="s">
        <v>1109</v>
      </c>
      <c r="G399" s="39">
        <v>4</v>
      </c>
      <c r="H399" s="39">
        <v>5.8</v>
      </c>
      <c r="I399" s="39">
        <v>0.6</v>
      </c>
      <c r="J399" s="39">
        <v>10.4</v>
      </c>
      <c r="K399" s="40">
        <v>572</v>
      </c>
      <c r="L399" s="45" t="s">
        <v>1015</v>
      </c>
      <c r="M399" s="41" t="str">
        <f>IF(MasterFees[[#This Row],[GST Basis]]="Excl",MasterFees[[#This Row],[Fee as Printed]],IF(MasterFees[[#This Row],[GST Basis]]="Incl",MasterFees[[#This Row],[Fee as Printed]]/(1+GST_Rate),""))</f>
        <v/>
      </c>
      <c r="N399" s="41" t="str">
        <f>IF(MasterFees[[#This Row],[GST Basis]]="Incl",MasterFees[[#This Row],[Fee as Printed]],IF(MasterFees[[#This Row],[GST Basis]]="Excl",MasterFees[[#This Row],[Fee as Printed]]*(1+GST_Rate),""))</f>
        <v/>
      </c>
      <c r="O399" s="42">
        <f>IF(N(MasterFees[[#This Row],[Total Units]])=0,"",MasterFees[[#This Row],[Fee as Printed]]/MasterFees[[#This Row],[Total Units]])</f>
        <v>55</v>
      </c>
      <c r="P399" s="43"/>
      <c r="Q399" s="46" t="s">
        <v>1013</v>
      </c>
      <c r="R399" s="46" t="s">
        <v>1507</v>
      </c>
      <c r="S399" s="37"/>
    </row>
    <row r="400" spans="1:19" x14ac:dyDescent="0.2">
      <c r="A400" s="36"/>
      <c r="B400" s="38" t="str">
        <f>IF(MasterFees[[#This Row],[RVG Code]]="","",_xlfn.XLOOKUP(MasterFees[[#This Row],[RVG Code]],RVGCodes[Code],RVGCodes[Base Units],"Code not found"))</f>
        <v/>
      </c>
      <c r="C400" s="37" t="s">
        <v>400</v>
      </c>
      <c r="D400" s="44" t="s">
        <v>1108</v>
      </c>
      <c r="E400" s="44"/>
      <c r="F400" s="44" t="s">
        <v>1109</v>
      </c>
      <c r="G400" s="39">
        <v>4.8</v>
      </c>
      <c r="H400" s="39">
        <v>5.4</v>
      </c>
      <c r="I400" s="39">
        <v>0</v>
      </c>
      <c r="J400" s="39">
        <v>10.199999999999999</v>
      </c>
      <c r="K400" s="40">
        <v>561</v>
      </c>
      <c r="L400" s="45" t="s">
        <v>1015</v>
      </c>
      <c r="M400" s="41" t="str">
        <f>IF(MasterFees[[#This Row],[GST Basis]]="Excl",MasterFees[[#This Row],[Fee as Printed]],IF(MasterFees[[#This Row],[GST Basis]]="Incl",MasterFees[[#This Row],[Fee as Printed]]/(1+GST_Rate),""))</f>
        <v/>
      </c>
      <c r="N400" s="41" t="str">
        <f>IF(MasterFees[[#This Row],[GST Basis]]="Incl",MasterFees[[#This Row],[Fee as Printed]],IF(MasterFees[[#This Row],[GST Basis]]="Excl",MasterFees[[#This Row],[Fee as Printed]]*(1+GST_Rate),""))</f>
        <v/>
      </c>
      <c r="O400" s="42">
        <f>IF(N(MasterFees[[#This Row],[Total Units]])=0,"",MasterFees[[#This Row],[Fee as Printed]]/MasterFees[[#This Row],[Total Units]])</f>
        <v>55.000000000000007</v>
      </c>
      <c r="P400" s="43"/>
      <c r="Q400" s="46" t="s">
        <v>1013</v>
      </c>
      <c r="R400" s="46" t="s">
        <v>1508</v>
      </c>
      <c r="S400" s="37"/>
    </row>
    <row r="401" spans="1:19" x14ac:dyDescent="0.2">
      <c r="A401" s="36"/>
      <c r="B401" s="38" t="str">
        <f>IF(MasterFees[[#This Row],[RVG Code]]="","",_xlfn.XLOOKUP(MasterFees[[#This Row],[RVG Code]],RVGCodes[Code],RVGCodes[Base Units],"Code not found"))</f>
        <v/>
      </c>
      <c r="C401" s="37" t="s">
        <v>401</v>
      </c>
      <c r="D401" s="44" t="s">
        <v>1108</v>
      </c>
      <c r="E401" s="44"/>
      <c r="F401" s="44" t="s">
        <v>1109</v>
      </c>
      <c r="G401" s="39">
        <v>0</v>
      </c>
      <c r="H401" s="39">
        <v>2</v>
      </c>
      <c r="I401" s="39">
        <v>0</v>
      </c>
      <c r="J401" s="39">
        <v>2</v>
      </c>
      <c r="K401" s="40">
        <v>110</v>
      </c>
      <c r="L401" s="45" t="s">
        <v>1015</v>
      </c>
      <c r="M401" s="41" t="str">
        <f>IF(MasterFees[[#This Row],[GST Basis]]="Excl",MasterFees[[#This Row],[Fee as Printed]],IF(MasterFees[[#This Row],[GST Basis]]="Incl",MasterFees[[#This Row],[Fee as Printed]]/(1+GST_Rate),""))</f>
        <v/>
      </c>
      <c r="N401" s="41" t="str">
        <f>IF(MasterFees[[#This Row],[GST Basis]]="Incl",MasterFees[[#This Row],[Fee as Printed]],IF(MasterFees[[#This Row],[GST Basis]]="Excl",MasterFees[[#This Row],[Fee as Printed]]*(1+GST_Rate),""))</f>
        <v/>
      </c>
      <c r="O401" s="42">
        <f>IF(N(MasterFees[[#This Row],[Total Units]])=0,"",MasterFees[[#This Row],[Fee as Printed]]/MasterFees[[#This Row],[Total Units]])</f>
        <v>55</v>
      </c>
      <c r="P401" s="43"/>
      <c r="Q401" s="46" t="s">
        <v>1013</v>
      </c>
      <c r="R401" s="46" t="s">
        <v>1509</v>
      </c>
      <c r="S401" s="37"/>
    </row>
    <row r="402" spans="1:19" x14ac:dyDescent="0.2">
      <c r="A402" s="36"/>
      <c r="B402" s="38" t="str">
        <f>IF(MasterFees[[#This Row],[RVG Code]]="","",_xlfn.XLOOKUP(MasterFees[[#This Row],[RVG Code]],RVGCodes[Code],RVGCodes[Base Units],"Code not found"))</f>
        <v/>
      </c>
      <c r="C402" s="37" t="s">
        <v>402</v>
      </c>
      <c r="D402" s="44" t="s">
        <v>1108</v>
      </c>
      <c r="E402" s="44"/>
      <c r="F402" s="44" t="s">
        <v>1109</v>
      </c>
      <c r="G402" s="39">
        <v>4</v>
      </c>
      <c r="H402" s="39">
        <v>4</v>
      </c>
      <c r="I402" s="39">
        <v>1</v>
      </c>
      <c r="J402" s="39">
        <v>9</v>
      </c>
      <c r="K402" s="40">
        <v>495</v>
      </c>
      <c r="L402" s="45" t="s">
        <v>1015</v>
      </c>
      <c r="M402" s="41" t="str">
        <f>IF(MasterFees[[#This Row],[GST Basis]]="Excl",MasterFees[[#This Row],[Fee as Printed]],IF(MasterFees[[#This Row],[GST Basis]]="Incl",MasterFees[[#This Row],[Fee as Printed]]/(1+GST_Rate),""))</f>
        <v/>
      </c>
      <c r="N402" s="41" t="str">
        <f>IF(MasterFees[[#This Row],[GST Basis]]="Incl",MasterFees[[#This Row],[Fee as Printed]],IF(MasterFees[[#This Row],[GST Basis]]="Excl",MasterFees[[#This Row],[Fee as Printed]]*(1+GST_Rate),""))</f>
        <v/>
      </c>
      <c r="O402" s="42">
        <f>IF(N(MasterFees[[#This Row],[Total Units]])=0,"",MasterFees[[#This Row],[Fee as Printed]]/MasterFees[[#This Row],[Total Units]])</f>
        <v>55</v>
      </c>
      <c r="P402" s="43"/>
      <c r="Q402" s="46" t="s">
        <v>1013</v>
      </c>
      <c r="R402" s="46" t="s">
        <v>1510</v>
      </c>
      <c r="S402" s="37"/>
    </row>
    <row r="403" spans="1:19" x14ac:dyDescent="0.2">
      <c r="A403" s="36"/>
      <c r="B403" s="38" t="str">
        <f>IF(MasterFees[[#This Row],[RVG Code]]="","",_xlfn.XLOOKUP(MasterFees[[#This Row],[RVG Code]],RVGCodes[Code],RVGCodes[Base Units],"Code not found"))</f>
        <v/>
      </c>
      <c r="C403" s="37" t="s">
        <v>403</v>
      </c>
      <c r="D403" s="44" t="s">
        <v>1108</v>
      </c>
      <c r="E403" s="44"/>
      <c r="F403" s="44" t="s">
        <v>1109</v>
      </c>
      <c r="G403" s="39">
        <v>9.8000000000000007</v>
      </c>
      <c r="H403" s="39">
        <v>10.5</v>
      </c>
      <c r="I403" s="39">
        <v>2.5</v>
      </c>
      <c r="J403" s="39">
        <v>22.8</v>
      </c>
      <c r="K403" s="40">
        <v>1254</v>
      </c>
      <c r="L403" s="45" t="s">
        <v>1015</v>
      </c>
      <c r="M403" s="41" t="str">
        <f>IF(MasterFees[[#This Row],[GST Basis]]="Excl",MasterFees[[#This Row],[Fee as Printed]],IF(MasterFees[[#This Row],[GST Basis]]="Incl",MasterFees[[#This Row],[Fee as Printed]]/(1+GST_Rate),""))</f>
        <v/>
      </c>
      <c r="N403" s="41" t="str">
        <f>IF(MasterFees[[#This Row],[GST Basis]]="Incl",MasterFees[[#This Row],[Fee as Printed]],IF(MasterFees[[#This Row],[GST Basis]]="Excl",MasterFees[[#This Row],[Fee as Printed]]*(1+GST_Rate),""))</f>
        <v/>
      </c>
      <c r="O403" s="42">
        <f>IF(N(MasterFees[[#This Row],[Total Units]])=0,"",MasterFees[[#This Row],[Fee as Printed]]/MasterFees[[#This Row],[Total Units]])</f>
        <v>55</v>
      </c>
      <c r="P403" s="43"/>
      <c r="Q403" s="46" t="s">
        <v>1013</v>
      </c>
      <c r="R403" s="46" t="s">
        <v>1511</v>
      </c>
      <c r="S403" s="37"/>
    </row>
    <row r="404" spans="1:19" x14ac:dyDescent="0.2">
      <c r="A404" s="36"/>
      <c r="B404" s="38" t="str">
        <f>IF(MasterFees[[#This Row],[RVG Code]]="","",_xlfn.XLOOKUP(MasterFees[[#This Row],[RVG Code]],RVGCodes[Code],RVGCodes[Base Units],"Code not found"))</f>
        <v/>
      </c>
      <c r="C404" s="37" t="s">
        <v>404</v>
      </c>
      <c r="D404" s="44" t="s">
        <v>1108</v>
      </c>
      <c r="E404" s="44"/>
      <c r="F404" s="44" t="s">
        <v>1109</v>
      </c>
      <c r="G404" s="39">
        <v>10.3</v>
      </c>
      <c r="H404" s="39">
        <v>8.6999999999999993</v>
      </c>
      <c r="I404" s="39">
        <v>2.1</v>
      </c>
      <c r="J404" s="39">
        <v>21.1</v>
      </c>
      <c r="K404" s="40">
        <v>1159.95</v>
      </c>
      <c r="L404" s="45" t="s">
        <v>1015</v>
      </c>
      <c r="M404" s="41" t="str">
        <f>IF(MasterFees[[#This Row],[GST Basis]]="Excl",MasterFees[[#This Row],[Fee as Printed]],IF(MasterFees[[#This Row],[GST Basis]]="Incl",MasterFees[[#This Row],[Fee as Printed]]/(1+GST_Rate),""))</f>
        <v/>
      </c>
      <c r="N404" s="41" t="str">
        <f>IF(MasterFees[[#This Row],[GST Basis]]="Incl",MasterFees[[#This Row],[Fee as Printed]],IF(MasterFees[[#This Row],[GST Basis]]="Excl",MasterFees[[#This Row],[Fee as Printed]]*(1+GST_Rate),""))</f>
        <v/>
      </c>
      <c r="O404" s="42">
        <f>IF(N(MasterFees[[#This Row],[Total Units]])=0,"",MasterFees[[#This Row],[Fee as Printed]]/MasterFees[[#This Row],[Total Units]])</f>
        <v>54.973933649289101</v>
      </c>
      <c r="P404" s="43"/>
      <c r="Q404" s="46" t="s">
        <v>1013</v>
      </c>
      <c r="R404" s="46" t="s">
        <v>1512</v>
      </c>
      <c r="S404" s="37"/>
    </row>
    <row r="405" spans="1:19" x14ac:dyDescent="0.2">
      <c r="A405" s="36"/>
      <c r="B405" s="38" t="str">
        <f>IF(MasterFees[[#This Row],[RVG Code]]="","",_xlfn.XLOOKUP(MasterFees[[#This Row],[RVG Code]],RVGCodes[Code],RVGCodes[Base Units],"Code not found"))</f>
        <v/>
      </c>
      <c r="C405" s="37" t="s">
        <v>405</v>
      </c>
      <c r="D405" s="44" t="s">
        <v>1108</v>
      </c>
      <c r="E405" s="44"/>
      <c r="F405" s="44" t="s">
        <v>1109</v>
      </c>
      <c r="G405" s="39">
        <v>0</v>
      </c>
      <c r="H405" s="39">
        <v>0</v>
      </c>
      <c r="I405" s="39">
        <v>0</v>
      </c>
      <c r="J405" s="39">
        <v>0</v>
      </c>
      <c r="K405" s="40">
        <v>0</v>
      </c>
      <c r="L405" s="45" t="s">
        <v>1015</v>
      </c>
      <c r="M405" s="41" t="str">
        <f>IF(MasterFees[[#This Row],[GST Basis]]="Excl",MasterFees[[#This Row],[Fee as Printed]],IF(MasterFees[[#This Row],[GST Basis]]="Incl",MasterFees[[#This Row],[Fee as Printed]]/(1+GST_Rate),""))</f>
        <v/>
      </c>
      <c r="N405" s="41" t="str">
        <f>IF(MasterFees[[#This Row],[GST Basis]]="Incl",MasterFees[[#This Row],[Fee as Printed]],IF(MasterFees[[#This Row],[GST Basis]]="Excl",MasterFees[[#This Row],[Fee as Printed]]*(1+GST_Rate),""))</f>
        <v/>
      </c>
      <c r="O405" s="42" t="str">
        <f>IF(N(MasterFees[[#This Row],[Total Units]])=0,"",MasterFees[[#This Row],[Fee as Printed]]/MasterFees[[#This Row],[Total Units]])</f>
        <v/>
      </c>
      <c r="P405" s="43"/>
      <c r="Q405" s="46" t="s">
        <v>1013</v>
      </c>
      <c r="R405" s="46" t="s">
        <v>1513</v>
      </c>
      <c r="S405" s="37"/>
    </row>
    <row r="406" spans="1:19" x14ac:dyDescent="0.2">
      <c r="A406" s="36"/>
      <c r="B406" s="38" t="str">
        <f>IF(MasterFees[[#This Row],[RVG Code]]="","",_xlfn.XLOOKUP(MasterFees[[#This Row],[RVG Code]],RVGCodes[Code],RVGCodes[Base Units],"Code not found"))</f>
        <v/>
      </c>
      <c r="C406" s="37" t="s">
        <v>406</v>
      </c>
      <c r="D406" s="44" t="s">
        <v>1108</v>
      </c>
      <c r="E406" s="44"/>
      <c r="F406" s="44" t="s">
        <v>1109</v>
      </c>
      <c r="G406" s="39">
        <v>8</v>
      </c>
      <c r="H406" s="39">
        <v>6.9</v>
      </c>
      <c r="I406" s="39">
        <v>1</v>
      </c>
      <c r="J406" s="39">
        <v>15.9</v>
      </c>
      <c r="K406" s="40">
        <v>872.85</v>
      </c>
      <c r="L406" s="45" t="s">
        <v>1015</v>
      </c>
      <c r="M406" s="41" t="str">
        <f>IF(MasterFees[[#This Row],[GST Basis]]="Excl",MasterFees[[#This Row],[Fee as Printed]],IF(MasterFees[[#This Row],[GST Basis]]="Incl",MasterFees[[#This Row],[Fee as Printed]]/(1+GST_Rate),""))</f>
        <v/>
      </c>
      <c r="N406" s="41" t="str">
        <f>IF(MasterFees[[#This Row],[GST Basis]]="Incl",MasterFees[[#This Row],[Fee as Printed]],IF(MasterFees[[#This Row],[GST Basis]]="Excl",MasterFees[[#This Row],[Fee as Printed]]*(1+GST_Rate),""))</f>
        <v/>
      </c>
      <c r="O406" s="42">
        <f>IF(N(MasterFees[[#This Row],[Total Units]])=0,"",MasterFees[[#This Row],[Fee as Printed]]/MasterFees[[#This Row],[Total Units]])</f>
        <v>54.89622641509434</v>
      </c>
      <c r="P406" s="43"/>
      <c r="Q406" s="46" t="s">
        <v>1013</v>
      </c>
      <c r="R406" s="46" t="s">
        <v>1514</v>
      </c>
      <c r="S406" s="37"/>
    </row>
    <row r="407" spans="1:19" x14ac:dyDescent="0.2">
      <c r="A407" s="36"/>
      <c r="B407" s="38" t="str">
        <f>IF(MasterFees[[#This Row],[RVG Code]]="","",_xlfn.XLOOKUP(MasterFees[[#This Row],[RVG Code]],RVGCodes[Code],RVGCodes[Base Units],"Code not found"))</f>
        <v/>
      </c>
      <c r="C407" s="37" t="s">
        <v>407</v>
      </c>
      <c r="D407" s="44" t="s">
        <v>1108</v>
      </c>
      <c r="E407" s="44"/>
      <c r="F407" s="44" t="s">
        <v>1109</v>
      </c>
      <c r="G407" s="39">
        <v>8</v>
      </c>
      <c r="H407" s="39">
        <v>6.4</v>
      </c>
      <c r="I407" s="39">
        <v>1.6</v>
      </c>
      <c r="J407" s="39">
        <v>15.9</v>
      </c>
      <c r="K407" s="40">
        <v>875.05</v>
      </c>
      <c r="L407" s="45" t="s">
        <v>1015</v>
      </c>
      <c r="M407" s="41" t="str">
        <f>IF(MasterFees[[#This Row],[GST Basis]]="Excl",MasterFees[[#This Row],[Fee as Printed]],IF(MasterFees[[#This Row],[GST Basis]]="Incl",MasterFees[[#This Row],[Fee as Printed]]/(1+GST_Rate),""))</f>
        <v/>
      </c>
      <c r="N407" s="41" t="str">
        <f>IF(MasterFees[[#This Row],[GST Basis]]="Incl",MasterFees[[#This Row],[Fee as Printed]],IF(MasterFees[[#This Row],[GST Basis]]="Excl",MasterFees[[#This Row],[Fee as Printed]]*(1+GST_Rate),""))</f>
        <v/>
      </c>
      <c r="O407" s="42">
        <f>IF(N(MasterFees[[#This Row],[Total Units]])=0,"",MasterFees[[#This Row],[Fee as Printed]]/MasterFees[[#This Row],[Total Units]])</f>
        <v>55.034591194968549</v>
      </c>
      <c r="P407" s="43"/>
      <c r="Q407" s="46" t="s">
        <v>1013</v>
      </c>
      <c r="R407" s="46" t="s">
        <v>1515</v>
      </c>
      <c r="S407" s="37"/>
    </row>
    <row r="408" spans="1:19" x14ac:dyDescent="0.2">
      <c r="A408" s="36"/>
      <c r="B408" s="38" t="str">
        <f>IF(MasterFees[[#This Row],[RVG Code]]="","",_xlfn.XLOOKUP(MasterFees[[#This Row],[RVG Code]],RVGCodes[Code],RVGCodes[Base Units],"Code not found"))</f>
        <v/>
      </c>
      <c r="C408" s="37" t="s">
        <v>408</v>
      </c>
      <c r="D408" s="44" t="s">
        <v>1108</v>
      </c>
      <c r="E408" s="44"/>
      <c r="F408" s="44" t="s">
        <v>1109</v>
      </c>
      <c r="G408" s="39">
        <v>7.2</v>
      </c>
      <c r="H408" s="39">
        <v>9.6</v>
      </c>
      <c r="I408" s="39">
        <v>2.2999999999999998</v>
      </c>
      <c r="J408" s="39">
        <v>19.100000000000001</v>
      </c>
      <c r="K408" s="40">
        <v>1050.5</v>
      </c>
      <c r="L408" s="45" t="s">
        <v>1015</v>
      </c>
      <c r="M408" s="41" t="str">
        <f>IF(MasterFees[[#This Row],[GST Basis]]="Excl",MasterFees[[#This Row],[Fee as Printed]],IF(MasterFees[[#This Row],[GST Basis]]="Incl",MasterFees[[#This Row],[Fee as Printed]]/(1+GST_Rate),""))</f>
        <v/>
      </c>
      <c r="N408" s="41" t="str">
        <f>IF(MasterFees[[#This Row],[GST Basis]]="Incl",MasterFees[[#This Row],[Fee as Printed]],IF(MasterFees[[#This Row],[GST Basis]]="Excl",MasterFees[[#This Row],[Fee as Printed]]*(1+GST_Rate),""))</f>
        <v/>
      </c>
      <c r="O408" s="42">
        <f>IF(N(MasterFees[[#This Row],[Total Units]])=0,"",MasterFees[[#This Row],[Fee as Printed]]/MasterFees[[#This Row],[Total Units]])</f>
        <v>54.999999999999993</v>
      </c>
      <c r="P408" s="43"/>
      <c r="Q408" s="46" t="s">
        <v>1013</v>
      </c>
      <c r="R408" s="46" t="s">
        <v>1516</v>
      </c>
      <c r="S408" s="37"/>
    </row>
    <row r="409" spans="1:19" x14ac:dyDescent="0.2">
      <c r="A409" s="36"/>
      <c r="B409" s="38" t="str">
        <f>IF(MasterFees[[#This Row],[RVG Code]]="","",_xlfn.XLOOKUP(MasterFees[[#This Row],[RVG Code]],RVGCodes[Code],RVGCodes[Base Units],"Code not found"))</f>
        <v/>
      </c>
      <c r="C409" s="37" t="s">
        <v>409</v>
      </c>
      <c r="D409" s="44" t="s">
        <v>1108</v>
      </c>
      <c r="E409" s="44"/>
      <c r="F409" s="44" t="s">
        <v>1109</v>
      </c>
      <c r="G409" s="39">
        <v>3.8</v>
      </c>
      <c r="H409" s="39">
        <v>3.8</v>
      </c>
      <c r="I409" s="39">
        <v>0.5</v>
      </c>
      <c r="J409" s="39">
        <v>8.1999999999999993</v>
      </c>
      <c r="K409" s="40">
        <v>448.8</v>
      </c>
      <c r="L409" s="45" t="s">
        <v>1015</v>
      </c>
      <c r="M409" s="41" t="str">
        <f>IF(MasterFees[[#This Row],[GST Basis]]="Excl",MasterFees[[#This Row],[Fee as Printed]],IF(MasterFees[[#This Row],[GST Basis]]="Incl",MasterFees[[#This Row],[Fee as Printed]]/(1+GST_Rate),""))</f>
        <v/>
      </c>
      <c r="N409" s="41" t="str">
        <f>IF(MasterFees[[#This Row],[GST Basis]]="Incl",MasterFees[[#This Row],[Fee as Printed]],IF(MasterFees[[#This Row],[GST Basis]]="Excl",MasterFees[[#This Row],[Fee as Printed]]*(1+GST_Rate),""))</f>
        <v/>
      </c>
      <c r="O409" s="42">
        <f>IF(N(MasterFees[[#This Row],[Total Units]])=0,"",MasterFees[[#This Row],[Fee as Printed]]/MasterFees[[#This Row],[Total Units]])</f>
        <v>54.73170731707318</v>
      </c>
      <c r="P409" s="43"/>
      <c r="Q409" s="46" t="s">
        <v>1013</v>
      </c>
      <c r="R409" s="46" t="s">
        <v>1517</v>
      </c>
      <c r="S409" s="37"/>
    </row>
    <row r="410" spans="1:19" x14ac:dyDescent="0.2">
      <c r="A410" s="36"/>
      <c r="B410" s="38" t="str">
        <f>IF(MasterFees[[#This Row],[RVG Code]]="","",_xlfn.XLOOKUP(MasterFees[[#This Row],[RVG Code]],RVGCodes[Code],RVGCodes[Base Units],"Code not found"))</f>
        <v/>
      </c>
      <c r="C410" s="37" t="s">
        <v>410</v>
      </c>
      <c r="D410" s="44" t="s">
        <v>1108</v>
      </c>
      <c r="E410" s="44"/>
      <c r="F410" s="44" t="s">
        <v>1109</v>
      </c>
      <c r="G410" s="39">
        <v>2.9</v>
      </c>
      <c r="H410" s="39">
        <v>3</v>
      </c>
      <c r="I410" s="39">
        <v>0.1</v>
      </c>
      <c r="J410" s="39">
        <v>6.1</v>
      </c>
      <c r="K410" s="40">
        <v>333.3</v>
      </c>
      <c r="L410" s="45" t="s">
        <v>1015</v>
      </c>
      <c r="M410" s="41" t="str">
        <f>IF(MasterFees[[#This Row],[GST Basis]]="Excl",MasterFees[[#This Row],[Fee as Printed]],IF(MasterFees[[#This Row],[GST Basis]]="Incl",MasterFees[[#This Row],[Fee as Printed]]/(1+GST_Rate),""))</f>
        <v/>
      </c>
      <c r="N410" s="41" t="str">
        <f>IF(MasterFees[[#This Row],[GST Basis]]="Incl",MasterFees[[#This Row],[Fee as Printed]],IF(MasterFees[[#This Row],[GST Basis]]="Excl",MasterFees[[#This Row],[Fee as Printed]]*(1+GST_Rate),""))</f>
        <v/>
      </c>
      <c r="O410" s="42">
        <f>IF(N(MasterFees[[#This Row],[Total Units]])=0,"",MasterFees[[#This Row],[Fee as Printed]]/MasterFees[[#This Row],[Total Units]])</f>
        <v>54.63934426229509</v>
      </c>
      <c r="P410" s="43"/>
      <c r="Q410" s="46" t="s">
        <v>1013</v>
      </c>
      <c r="R410" s="46" t="s">
        <v>1518</v>
      </c>
      <c r="S410" s="37"/>
    </row>
    <row r="411" spans="1:19" x14ac:dyDescent="0.2">
      <c r="A411" s="36"/>
      <c r="B411" s="38" t="str">
        <f>IF(MasterFees[[#This Row],[RVG Code]]="","",_xlfn.XLOOKUP(MasterFees[[#This Row],[RVG Code]],RVGCodes[Code],RVGCodes[Base Units],"Code not found"))</f>
        <v/>
      </c>
      <c r="C411" s="37" t="s">
        <v>411</v>
      </c>
      <c r="D411" s="44" t="s">
        <v>1108</v>
      </c>
      <c r="E411" s="44"/>
      <c r="F411" s="44" t="s">
        <v>1109</v>
      </c>
      <c r="G411" s="39">
        <v>0</v>
      </c>
      <c r="H411" s="39">
        <v>0</v>
      </c>
      <c r="I411" s="39">
        <v>0</v>
      </c>
      <c r="J411" s="39">
        <v>0</v>
      </c>
      <c r="K411" s="40">
        <v>0</v>
      </c>
      <c r="L411" s="45" t="s">
        <v>1015</v>
      </c>
      <c r="M411" s="41" t="str">
        <f>IF(MasterFees[[#This Row],[GST Basis]]="Excl",MasterFees[[#This Row],[Fee as Printed]],IF(MasterFees[[#This Row],[GST Basis]]="Incl",MasterFees[[#This Row],[Fee as Printed]]/(1+GST_Rate),""))</f>
        <v/>
      </c>
      <c r="N411" s="41" t="str">
        <f>IF(MasterFees[[#This Row],[GST Basis]]="Incl",MasterFees[[#This Row],[Fee as Printed]],IF(MasterFees[[#This Row],[GST Basis]]="Excl",MasterFees[[#This Row],[Fee as Printed]]*(1+GST_Rate),""))</f>
        <v/>
      </c>
      <c r="O411" s="42" t="str">
        <f>IF(N(MasterFees[[#This Row],[Total Units]])=0,"",MasterFees[[#This Row],[Fee as Printed]]/MasterFees[[#This Row],[Total Units]])</f>
        <v/>
      </c>
      <c r="P411" s="43"/>
      <c r="Q411" s="46" t="s">
        <v>1013</v>
      </c>
      <c r="R411" s="46" t="s">
        <v>1519</v>
      </c>
      <c r="S411" s="37"/>
    </row>
    <row r="412" spans="1:19" x14ac:dyDescent="0.2">
      <c r="A412" s="36"/>
      <c r="B412" s="38" t="str">
        <f>IF(MasterFees[[#This Row],[RVG Code]]="","",_xlfn.XLOOKUP(MasterFees[[#This Row],[RVG Code]],RVGCodes[Code],RVGCodes[Base Units],"Code not found"))</f>
        <v/>
      </c>
      <c r="C412" s="37" t="s">
        <v>412</v>
      </c>
      <c r="D412" s="44" t="s">
        <v>1108</v>
      </c>
      <c r="E412" s="44"/>
      <c r="F412" s="44" t="s">
        <v>1109</v>
      </c>
      <c r="G412" s="39">
        <v>3.1</v>
      </c>
      <c r="H412" s="39">
        <v>3.4</v>
      </c>
      <c r="I412" s="39">
        <v>1.1000000000000001</v>
      </c>
      <c r="J412" s="39">
        <v>7.6</v>
      </c>
      <c r="K412" s="40">
        <v>419.65</v>
      </c>
      <c r="L412" s="45" t="s">
        <v>1015</v>
      </c>
      <c r="M412" s="41" t="str">
        <f>IF(MasterFees[[#This Row],[GST Basis]]="Excl",MasterFees[[#This Row],[Fee as Printed]],IF(MasterFees[[#This Row],[GST Basis]]="Incl",MasterFees[[#This Row],[Fee as Printed]]/(1+GST_Rate),""))</f>
        <v/>
      </c>
      <c r="N412" s="41" t="str">
        <f>IF(MasterFees[[#This Row],[GST Basis]]="Incl",MasterFees[[#This Row],[Fee as Printed]],IF(MasterFees[[#This Row],[GST Basis]]="Excl",MasterFees[[#This Row],[Fee as Printed]]*(1+GST_Rate),""))</f>
        <v/>
      </c>
      <c r="O412" s="42">
        <f>IF(N(MasterFees[[#This Row],[Total Units]])=0,"",MasterFees[[#This Row],[Fee as Printed]]/MasterFees[[#This Row],[Total Units]])</f>
        <v>55.217105263157897</v>
      </c>
      <c r="P412" s="43"/>
      <c r="Q412" s="46" t="s">
        <v>1013</v>
      </c>
      <c r="R412" s="46" t="s">
        <v>1520</v>
      </c>
      <c r="S412" s="37"/>
    </row>
    <row r="413" spans="1:19" x14ac:dyDescent="0.2">
      <c r="A413" s="36"/>
      <c r="B413" s="38" t="str">
        <f>IF(MasterFees[[#This Row],[RVG Code]]="","",_xlfn.XLOOKUP(MasterFees[[#This Row],[RVG Code]],RVGCodes[Code],RVGCodes[Base Units],"Code not found"))</f>
        <v/>
      </c>
      <c r="C413" s="37" t="s">
        <v>413</v>
      </c>
      <c r="D413" s="44" t="s">
        <v>1108</v>
      </c>
      <c r="E413" s="44"/>
      <c r="F413" s="44" t="s">
        <v>1109</v>
      </c>
      <c r="G413" s="39">
        <v>7.5</v>
      </c>
      <c r="H413" s="39">
        <v>10.5</v>
      </c>
      <c r="I413" s="39">
        <v>1</v>
      </c>
      <c r="J413" s="39">
        <v>18.899999999999999</v>
      </c>
      <c r="K413" s="40">
        <v>1037.8499999999999</v>
      </c>
      <c r="L413" s="45" t="s">
        <v>1015</v>
      </c>
      <c r="M413" s="41" t="str">
        <f>IF(MasterFees[[#This Row],[GST Basis]]="Excl",MasterFees[[#This Row],[Fee as Printed]],IF(MasterFees[[#This Row],[GST Basis]]="Incl",MasterFees[[#This Row],[Fee as Printed]]/(1+GST_Rate),""))</f>
        <v/>
      </c>
      <c r="N413" s="41" t="str">
        <f>IF(MasterFees[[#This Row],[GST Basis]]="Incl",MasterFees[[#This Row],[Fee as Printed]],IF(MasterFees[[#This Row],[GST Basis]]="Excl",MasterFees[[#This Row],[Fee as Printed]]*(1+GST_Rate),""))</f>
        <v/>
      </c>
      <c r="O413" s="42">
        <f>IF(N(MasterFees[[#This Row],[Total Units]])=0,"",MasterFees[[#This Row],[Fee as Printed]]/MasterFees[[#This Row],[Total Units]])</f>
        <v>54.912698412698411</v>
      </c>
      <c r="P413" s="43"/>
      <c r="Q413" s="46" t="s">
        <v>1013</v>
      </c>
      <c r="R413" s="46" t="s">
        <v>1521</v>
      </c>
      <c r="S413" s="37"/>
    </row>
    <row r="414" spans="1:19" x14ac:dyDescent="0.2">
      <c r="A414" s="36"/>
      <c r="B414" s="38" t="str">
        <f>IF(MasterFees[[#This Row],[RVG Code]]="","",_xlfn.XLOOKUP(MasterFees[[#This Row],[RVG Code]],RVGCodes[Code],RVGCodes[Base Units],"Code not found"))</f>
        <v/>
      </c>
      <c r="C414" s="37" t="s">
        <v>414</v>
      </c>
      <c r="D414" s="44" t="s">
        <v>1108</v>
      </c>
      <c r="E414" s="44"/>
      <c r="F414" s="44" t="s">
        <v>1109</v>
      </c>
      <c r="G414" s="39">
        <v>0</v>
      </c>
      <c r="H414" s="39">
        <v>0</v>
      </c>
      <c r="I414" s="39">
        <v>0</v>
      </c>
      <c r="J414" s="39">
        <v>0</v>
      </c>
      <c r="K414" s="40">
        <v>0</v>
      </c>
      <c r="L414" s="45" t="s">
        <v>1015</v>
      </c>
      <c r="M414" s="41" t="str">
        <f>IF(MasterFees[[#This Row],[GST Basis]]="Excl",MasterFees[[#This Row],[Fee as Printed]],IF(MasterFees[[#This Row],[GST Basis]]="Incl",MasterFees[[#This Row],[Fee as Printed]]/(1+GST_Rate),""))</f>
        <v/>
      </c>
      <c r="N414" s="41" t="str">
        <f>IF(MasterFees[[#This Row],[GST Basis]]="Incl",MasterFees[[#This Row],[Fee as Printed]],IF(MasterFees[[#This Row],[GST Basis]]="Excl",MasterFees[[#This Row],[Fee as Printed]]*(1+GST_Rate),""))</f>
        <v/>
      </c>
      <c r="O414" s="42" t="str">
        <f>IF(N(MasterFees[[#This Row],[Total Units]])=0,"",MasterFees[[#This Row],[Fee as Printed]]/MasterFees[[#This Row],[Total Units]])</f>
        <v/>
      </c>
      <c r="P414" s="43"/>
      <c r="Q414" s="46" t="s">
        <v>1013</v>
      </c>
      <c r="R414" s="46" t="s">
        <v>1522</v>
      </c>
      <c r="S414" s="37"/>
    </row>
    <row r="415" spans="1:19" x14ac:dyDescent="0.2">
      <c r="A415" s="36"/>
      <c r="B415" s="38" t="str">
        <f>IF(MasterFees[[#This Row],[RVG Code]]="","",_xlfn.XLOOKUP(MasterFees[[#This Row],[RVG Code]],RVGCodes[Code],RVGCodes[Base Units],"Code not found"))</f>
        <v/>
      </c>
      <c r="C415" s="37" t="s">
        <v>415</v>
      </c>
      <c r="D415" s="44" t="s">
        <v>1108</v>
      </c>
      <c r="E415" s="44"/>
      <c r="F415" s="44" t="s">
        <v>1109</v>
      </c>
      <c r="G415" s="39">
        <v>8</v>
      </c>
      <c r="H415" s="39">
        <v>6.9</v>
      </c>
      <c r="I415" s="39">
        <v>1.8</v>
      </c>
      <c r="J415" s="39">
        <v>16.7</v>
      </c>
      <c r="K415" s="40">
        <v>919.6</v>
      </c>
      <c r="L415" s="45" t="s">
        <v>1015</v>
      </c>
      <c r="M415" s="41" t="str">
        <f>IF(MasterFees[[#This Row],[GST Basis]]="Excl",MasterFees[[#This Row],[Fee as Printed]],IF(MasterFees[[#This Row],[GST Basis]]="Incl",MasterFees[[#This Row],[Fee as Printed]]/(1+GST_Rate),""))</f>
        <v/>
      </c>
      <c r="N415" s="41" t="str">
        <f>IF(MasterFees[[#This Row],[GST Basis]]="Incl",MasterFees[[#This Row],[Fee as Printed]],IF(MasterFees[[#This Row],[GST Basis]]="Excl",MasterFees[[#This Row],[Fee as Printed]]*(1+GST_Rate),""))</f>
        <v/>
      </c>
      <c r="O415" s="42">
        <f>IF(N(MasterFees[[#This Row],[Total Units]])=0,"",MasterFees[[#This Row],[Fee as Printed]]/MasterFees[[#This Row],[Total Units]])</f>
        <v>55.065868263473057</v>
      </c>
      <c r="P415" s="43"/>
      <c r="Q415" s="46" t="s">
        <v>1013</v>
      </c>
      <c r="R415" s="46" t="s">
        <v>1523</v>
      </c>
      <c r="S415" s="37"/>
    </row>
    <row r="416" spans="1:19" x14ac:dyDescent="0.2">
      <c r="A416" s="36"/>
      <c r="B416" s="38" t="str">
        <f>IF(MasterFees[[#This Row],[RVG Code]]="","",_xlfn.XLOOKUP(MasterFees[[#This Row],[RVG Code]],RVGCodes[Code],RVGCodes[Base Units],"Code not found"))</f>
        <v/>
      </c>
      <c r="C416" s="37" t="s">
        <v>416</v>
      </c>
      <c r="D416" s="44" t="s">
        <v>1108</v>
      </c>
      <c r="E416" s="44"/>
      <c r="F416" s="44" t="s">
        <v>1109</v>
      </c>
      <c r="G416" s="39">
        <v>10</v>
      </c>
      <c r="H416" s="39">
        <v>12.1</v>
      </c>
      <c r="I416" s="39">
        <v>1.6</v>
      </c>
      <c r="J416" s="39">
        <v>23.7</v>
      </c>
      <c r="K416" s="40">
        <v>1304.05</v>
      </c>
      <c r="L416" s="45" t="s">
        <v>1015</v>
      </c>
      <c r="M416" s="41" t="str">
        <f>IF(MasterFees[[#This Row],[GST Basis]]="Excl",MasterFees[[#This Row],[Fee as Printed]],IF(MasterFees[[#This Row],[GST Basis]]="Incl",MasterFees[[#This Row],[Fee as Printed]]/(1+GST_Rate),""))</f>
        <v/>
      </c>
      <c r="N416" s="41" t="str">
        <f>IF(MasterFees[[#This Row],[GST Basis]]="Incl",MasterFees[[#This Row],[Fee as Printed]],IF(MasterFees[[#This Row],[GST Basis]]="Excl",MasterFees[[#This Row],[Fee as Printed]]*(1+GST_Rate),""))</f>
        <v/>
      </c>
      <c r="O416" s="42">
        <f>IF(N(MasterFees[[#This Row],[Total Units]])=0,"",MasterFees[[#This Row],[Fee as Printed]]/MasterFees[[#This Row],[Total Units]])</f>
        <v>55.02320675105485</v>
      </c>
      <c r="P416" s="43"/>
      <c r="Q416" s="46" t="s">
        <v>1013</v>
      </c>
      <c r="R416" s="46" t="s">
        <v>1524</v>
      </c>
      <c r="S416" s="37"/>
    </row>
    <row r="417" spans="1:19" x14ac:dyDescent="0.2">
      <c r="A417" s="36"/>
      <c r="B417" s="38" t="str">
        <f>IF(MasterFees[[#This Row],[RVG Code]]="","",_xlfn.XLOOKUP(MasterFees[[#This Row],[RVG Code]],RVGCodes[Code],RVGCodes[Base Units],"Code not found"))</f>
        <v/>
      </c>
      <c r="C417" s="37" t="s">
        <v>417</v>
      </c>
      <c r="D417" s="44" t="s">
        <v>1108</v>
      </c>
      <c r="E417" s="44"/>
      <c r="F417" s="44" t="s">
        <v>1109</v>
      </c>
      <c r="G417" s="39">
        <v>5.9</v>
      </c>
      <c r="H417" s="39">
        <v>5</v>
      </c>
      <c r="I417" s="39">
        <v>1</v>
      </c>
      <c r="J417" s="39">
        <v>12</v>
      </c>
      <c r="K417" s="40">
        <v>657.8</v>
      </c>
      <c r="L417" s="45" t="s">
        <v>1015</v>
      </c>
      <c r="M417" s="41" t="str">
        <f>IF(MasterFees[[#This Row],[GST Basis]]="Excl",MasterFees[[#This Row],[Fee as Printed]],IF(MasterFees[[#This Row],[GST Basis]]="Incl",MasterFees[[#This Row],[Fee as Printed]]/(1+GST_Rate),""))</f>
        <v/>
      </c>
      <c r="N417" s="41" t="str">
        <f>IF(MasterFees[[#This Row],[GST Basis]]="Incl",MasterFees[[#This Row],[Fee as Printed]],IF(MasterFees[[#This Row],[GST Basis]]="Excl",MasterFees[[#This Row],[Fee as Printed]]*(1+GST_Rate),""))</f>
        <v/>
      </c>
      <c r="O417" s="42">
        <f>IF(N(MasterFees[[#This Row],[Total Units]])=0,"",MasterFees[[#This Row],[Fee as Printed]]/MasterFees[[#This Row],[Total Units]])</f>
        <v>54.816666666666663</v>
      </c>
      <c r="P417" s="43"/>
      <c r="Q417" s="46" t="s">
        <v>1013</v>
      </c>
      <c r="R417" s="46" t="s">
        <v>1525</v>
      </c>
      <c r="S417" s="37"/>
    </row>
    <row r="418" spans="1:19" x14ac:dyDescent="0.2">
      <c r="A418" s="36"/>
      <c r="B418" s="38" t="str">
        <f>IF(MasterFees[[#This Row],[RVG Code]]="","",_xlfn.XLOOKUP(MasterFees[[#This Row],[RVG Code]],RVGCodes[Code],RVGCodes[Base Units],"Code not found"))</f>
        <v/>
      </c>
      <c r="C418" s="37" t="s">
        <v>418</v>
      </c>
      <c r="D418" s="44" t="s">
        <v>1108</v>
      </c>
      <c r="E418" s="44"/>
      <c r="F418" s="44" t="s">
        <v>1109</v>
      </c>
      <c r="G418" s="39">
        <v>5</v>
      </c>
      <c r="H418" s="39">
        <v>6</v>
      </c>
      <c r="I418" s="39">
        <v>1</v>
      </c>
      <c r="J418" s="39">
        <v>12</v>
      </c>
      <c r="K418" s="40">
        <v>660</v>
      </c>
      <c r="L418" s="45" t="s">
        <v>1015</v>
      </c>
      <c r="M418" s="41" t="str">
        <f>IF(MasterFees[[#This Row],[GST Basis]]="Excl",MasterFees[[#This Row],[Fee as Printed]],IF(MasterFees[[#This Row],[GST Basis]]="Incl",MasterFees[[#This Row],[Fee as Printed]]/(1+GST_Rate),""))</f>
        <v/>
      </c>
      <c r="N418" s="41" t="str">
        <f>IF(MasterFees[[#This Row],[GST Basis]]="Incl",MasterFees[[#This Row],[Fee as Printed]],IF(MasterFees[[#This Row],[GST Basis]]="Excl",MasterFees[[#This Row],[Fee as Printed]]*(1+GST_Rate),""))</f>
        <v/>
      </c>
      <c r="O418" s="42">
        <f>IF(N(MasterFees[[#This Row],[Total Units]])=0,"",MasterFees[[#This Row],[Fee as Printed]]/MasterFees[[#This Row],[Total Units]])</f>
        <v>55</v>
      </c>
      <c r="P418" s="43"/>
      <c r="Q418" s="46" t="s">
        <v>1013</v>
      </c>
      <c r="R418" s="46" t="s">
        <v>1526</v>
      </c>
      <c r="S418" s="37"/>
    </row>
    <row r="419" spans="1:19" x14ac:dyDescent="0.2">
      <c r="A419" s="36"/>
      <c r="B419" s="38" t="str">
        <f>IF(MasterFees[[#This Row],[RVG Code]]="","",_xlfn.XLOOKUP(MasterFees[[#This Row],[RVG Code]],RVGCodes[Code],RVGCodes[Base Units],"Code not found"))</f>
        <v/>
      </c>
      <c r="C419" s="37" t="s">
        <v>419</v>
      </c>
      <c r="D419" s="44" t="s">
        <v>1108</v>
      </c>
      <c r="E419" s="44"/>
      <c r="F419" s="44" t="s">
        <v>1109</v>
      </c>
      <c r="G419" s="39">
        <v>4.4000000000000004</v>
      </c>
      <c r="H419" s="39">
        <v>3.5</v>
      </c>
      <c r="I419" s="39">
        <v>0.7</v>
      </c>
      <c r="J419" s="39">
        <v>8.6</v>
      </c>
      <c r="K419" s="40">
        <v>474.65</v>
      </c>
      <c r="L419" s="45" t="s">
        <v>1015</v>
      </c>
      <c r="M419" s="41" t="str">
        <f>IF(MasterFees[[#This Row],[GST Basis]]="Excl",MasterFees[[#This Row],[Fee as Printed]],IF(MasterFees[[#This Row],[GST Basis]]="Incl",MasterFees[[#This Row],[Fee as Printed]]/(1+GST_Rate),""))</f>
        <v/>
      </c>
      <c r="N419" s="41" t="str">
        <f>IF(MasterFees[[#This Row],[GST Basis]]="Incl",MasterFees[[#This Row],[Fee as Printed]],IF(MasterFees[[#This Row],[GST Basis]]="Excl",MasterFees[[#This Row],[Fee as Printed]]*(1+GST_Rate),""))</f>
        <v/>
      </c>
      <c r="O419" s="42">
        <f>IF(N(MasterFees[[#This Row],[Total Units]])=0,"",MasterFees[[#This Row],[Fee as Printed]]/MasterFees[[#This Row],[Total Units]])</f>
        <v>55.191860465116278</v>
      </c>
      <c r="P419" s="43"/>
      <c r="Q419" s="46" t="s">
        <v>1013</v>
      </c>
      <c r="R419" s="46" t="s">
        <v>1527</v>
      </c>
      <c r="S419" s="37"/>
    </row>
    <row r="420" spans="1:19" x14ac:dyDescent="0.2">
      <c r="A420" s="36"/>
      <c r="B420" s="38" t="str">
        <f>IF(MasterFees[[#This Row],[RVG Code]]="","",_xlfn.XLOOKUP(MasterFees[[#This Row],[RVG Code]],RVGCodes[Code],RVGCodes[Base Units],"Code not found"))</f>
        <v/>
      </c>
      <c r="C420" s="37" t="s">
        <v>420</v>
      </c>
      <c r="D420" s="44" t="s">
        <v>1108</v>
      </c>
      <c r="E420" s="44"/>
      <c r="F420" s="44" t="s">
        <v>1109</v>
      </c>
      <c r="G420" s="39">
        <v>4.8</v>
      </c>
      <c r="H420" s="39">
        <v>6.5</v>
      </c>
      <c r="I420" s="39">
        <v>0.4</v>
      </c>
      <c r="J420" s="39">
        <v>11.7</v>
      </c>
      <c r="K420" s="40">
        <v>643.5</v>
      </c>
      <c r="L420" s="45" t="s">
        <v>1015</v>
      </c>
      <c r="M420" s="41" t="str">
        <f>IF(MasterFees[[#This Row],[GST Basis]]="Excl",MasterFees[[#This Row],[Fee as Printed]],IF(MasterFees[[#This Row],[GST Basis]]="Incl",MasterFees[[#This Row],[Fee as Printed]]/(1+GST_Rate),""))</f>
        <v/>
      </c>
      <c r="N420" s="41" t="str">
        <f>IF(MasterFees[[#This Row],[GST Basis]]="Incl",MasterFees[[#This Row],[Fee as Printed]],IF(MasterFees[[#This Row],[GST Basis]]="Excl",MasterFees[[#This Row],[Fee as Printed]]*(1+GST_Rate),""))</f>
        <v/>
      </c>
      <c r="O420" s="42">
        <f>IF(N(MasterFees[[#This Row],[Total Units]])=0,"",MasterFees[[#This Row],[Fee as Printed]]/MasterFees[[#This Row],[Total Units]])</f>
        <v>55</v>
      </c>
      <c r="P420" s="43"/>
      <c r="Q420" s="46" t="s">
        <v>1013</v>
      </c>
      <c r="R420" s="46" t="s">
        <v>1528</v>
      </c>
      <c r="S420" s="37"/>
    </row>
    <row r="421" spans="1:19" x14ac:dyDescent="0.2">
      <c r="A421" s="36"/>
      <c r="B421" s="38" t="str">
        <f>IF(MasterFees[[#This Row],[RVG Code]]="","",_xlfn.XLOOKUP(MasterFees[[#This Row],[RVG Code]],RVGCodes[Code],RVGCodes[Base Units],"Code not found"))</f>
        <v/>
      </c>
      <c r="C421" s="37" t="s">
        <v>421</v>
      </c>
      <c r="D421" s="44" t="s">
        <v>1108</v>
      </c>
      <c r="E421" s="44"/>
      <c r="F421" s="44" t="s">
        <v>1109</v>
      </c>
      <c r="G421" s="39">
        <v>6.4</v>
      </c>
      <c r="H421" s="39">
        <v>8</v>
      </c>
      <c r="I421" s="39">
        <v>0.7</v>
      </c>
      <c r="J421" s="39">
        <v>15.2</v>
      </c>
      <c r="K421" s="40">
        <v>833.8</v>
      </c>
      <c r="L421" s="45" t="s">
        <v>1015</v>
      </c>
      <c r="M421" s="41" t="str">
        <f>IF(MasterFees[[#This Row],[GST Basis]]="Excl",MasterFees[[#This Row],[Fee as Printed]],IF(MasterFees[[#This Row],[GST Basis]]="Incl",MasterFees[[#This Row],[Fee as Printed]]/(1+GST_Rate),""))</f>
        <v/>
      </c>
      <c r="N421" s="41" t="str">
        <f>IF(MasterFees[[#This Row],[GST Basis]]="Incl",MasterFees[[#This Row],[Fee as Printed]],IF(MasterFees[[#This Row],[GST Basis]]="Excl",MasterFees[[#This Row],[Fee as Printed]]*(1+GST_Rate),""))</f>
        <v/>
      </c>
      <c r="O421" s="42">
        <f>IF(N(MasterFees[[#This Row],[Total Units]])=0,"",MasterFees[[#This Row],[Fee as Printed]]/MasterFees[[#This Row],[Total Units]])</f>
        <v>54.85526315789474</v>
      </c>
      <c r="P421" s="43"/>
      <c r="Q421" s="46" t="s">
        <v>1013</v>
      </c>
      <c r="R421" s="46" t="s">
        <v>1529</v>
      </c>
      <c r="S421" s="37"/>
    </row>
    <row r="422" spans="1:19" x14ac:dyDescent="0.2">
      <c r="A422" s="36"/>
      <c r="B422" s="38" t="str">
        <f>IF(MasterFees[[#This Row],[RVG Code]]="","",_xlfn.XLOOKUP(MasterFees[[#This Row],[RVG Code]],RVGCodes[Code],RVGCodes[Base Units],"Code not found"))</f>
        <v/>
      </c>
      <c r="C422" s="37" t="s">
        <v>422</v>
      </c>
      <c r="D422" s="44" t="s">
        <v>1108</v>
      </c>
      <c r="E422" s="44"/>
      <c r="F422" s="44" t="s">
        <v>1109</v>
      </c>
      <c r="G422" s="39">
        <v>0</v>
      </c>
      <c r="H422" s="39">
        <v>9</v>
      </c>
      <c r="I422" s="39">
        <v>0</v>
      </c>
      <c r="J422" s="39">
        <v>9</v>
      </c>
      <c r="K422" s="40">
        <v>495</v>
      </c>
      <c r="L422" s="45" t="s">
        <v>1015</v>
      </c>
      <c r="M422" s="41" t="str">
        <f>IF(MasterFees[[#This Row],[GST Basis]]="Excl",MasterFees[[#This Row],[Fee as Printed]],IF(MasterFees[[#This Row],[GST Basis]]="Incl",MasterFees[[#This Row],[Fee as Printed]]/(1+GST_Rate),""))</f>
        <v/>
      </c>
      <c r="N422" s="41" t="str">
        <f>IF(MasterFees[[#This Row],[GST Basis]]="Incl",MasterFees[[#This Row],[Fee as Printed]],IF(MasterFees[[#This Row],[GST Basis]]="Excl",MasterFees[[#This Row],[Fee as Printed]]*(1+GST_Rate),""))</f>
        <v/>
      </c>
      <c r="O422" s="42">
        <f>IF(N(MasterFees[[#This Row],[Total Units]])=0,"",MasterFees[[#This Row],[Fee as Printed]]/MasterFees[[#This Row],[Total Units]])</f>
        <v>55</v>
      </c>
      <c r="P422" s="43"/>
      <c r="Q422" s="46" t="s">
        <v>1013</v>
      </c>
      <c r="R422" s="46" t="s">
        <v>1530</v>
      </c>
      <c r="S422" s="37"/>
    </row>
    <row r="423" spans="1:19" x14ac:dyDescent="0.2">
      <c r="A423" s="36"/>
      <c r="B423" s="38" t="str">
        <f>IF(MasterFees[[#This Row],[RVG Code]]="","",_xlfn.XLOOKUP(MasterFees[[#This Row],[RVG Code]],RVGCodes[Code],RVGCodes[Base Units],"Code not found"))</f>
        <v/>
      </c>
      <c r="C423" s="37" t="s">
        <v>423</v>
      </c>
      <c r="D423" s="44" t="s">
        <v>1108</v>
      </c>
      <c r="E423" s="44"/>
      <c r="F423" s="44" t="s">
        <v>1109</v>
      </c>
      <c r="G423" s="39">
        <v>6</v>
      </c>
      <c r="H423" s="39">
        <v>8</v>
      </c>
      <c r="I423" s="39">
        <v>0</v>
      </c>
      <c r="J423" s="39">
        <v>14</v>
      </c>
      <c r="K423" s="40">
        <v>770</v>
      </c>
      <c r="L423" s="45" t="s">
        <v>1015</v>
      </c>
      <c r="M423" s="41" t="str">
        <f>IF(MasterFees[[#This Row],[GST Basis]]="Excl",MasterFees[[#This Row],[Fee as Printed]],IF(MasterFees[[#This Row],[GST Basis]]="Incl",MasterFees[[#This Row],[Fee as Printed]]/(1+GST_Rate),""))</f>
        <v/>
      </c>
      <c r="N423" s="41" t="str">
        <f>IF(MasterFees[[#This Row],[GST Basis]]="Incl",MasterFees[[#This Row],[Fee as Printed]],IF(MasterFees[[#This Row],[GST Basis]]="Excl",MasterFees[[#This Row],[Fee as Printed]]*(1+GST_Rate),""))</f>
        <v/>
      </c>
      <c r="O423" s="42">
        <f>IF(N(MasterFees[[#This Row],[Total Units]])=0,"",MasterFees[[#This Row],[Fee as Printed]]/MasterFees[[#This Row],[Total Units]])</f>
        <v>55</v>
      </c>
      <c r="P423" s="43"/>
      <c r="Q423" s="46" t="s">
        <v>1013</v>
      </c>
      <c r="R423" s="46" t="s">
        <v>1531</v>
      </c>
      <c r="S423" s="37"/>
    </row>
    <row r="424" spans="1:19" x14ac:dyDescent="0.2">
      <c r="A424" s="36"/>
      <c r="B424" s="38" t="str">
        <f>IF(MasterFees[[#This Row],[RVG Code]]="","",_xlfn.XLOOKUP(MasterFees[[#This Row],[RVG Code]],RVGCodes[Code],RVGCodes[Base Units],"Code not found"))</f>
        <v/>
      </c>
      <c r="C424" s="37" t="s">
        <v>424</v>
      </c>
      <c r="D424" s="44" t="s">
        <v>1108</v>
      </c>
      <c r="E424" s="44"/>
      <c r="F424" s="44" t="s">
        <v>1109</v>
      </c>
      <c r="G424" s="39">
        <v>4</v>
      </c>
      <c r="H424" s="39">
        <v>2.2000000000000002</v>
      </c>
      <c r="I424" s="39">
        <v>0.5</v>
      </c>
      <c r="J424" s="39">
        <v>6.7</v>
      </c>
      <c r="K424" s="40">
        <v>370.15</v>
      </c>
      <c r="L424" s="45" t="s">
        <v>1015</v>
      </c>
      <c r="M424" s="41" t="str">
        <f>IF(MasterFees[[#This Row],[GST Basis]]="Excl",MasterFees[[#This Row],[Fee as Printed]],IF(MasterFees[[#This Row],[GST Basis]]="Incl",MasterFees[[#This Row],[Fee as Printed]]/(1+GST_Rate),""))</f>
        <v/>
      </c>
      <c r="N424" s="41" t="str">
        <f>IF(MasterFees[[#This Row],[GST Basis]]="Incl",MasterFees[[#This Row],[Fee as Printed]],IF(MasterFees[[#This Row],[GST Basis]]="Excl",MasterFees[[#This Row],[Fee as Printed]]*(1+GST_Rate),""))</f>
        <v/>
      </c>
      <c r="O424" s="42">
        <f>IF(N(MasterFees[[#This Row],[Total Units]])=0,"",MasterFees[[#This Row],[Fee as Printed]]/MasterFees[[#This Row],[Total Units]])</f>
        <v>55.24626865671641</v>
      </c>
      <c r="P424" s="43"/>
      <c r="Q424" s="46" t="s">
        <v>1013</v>
      </c>
      <c r="R424" s="46" t="s">
        <v>1532</v>
      </c>
      <c r="S424" s="37"/>
    </row>
    <row r="425" spans="1:19" x14ac:dyDescent="0.2">
      <c r="A425" s="36"/>
      <c r="B425" s="38" t="str">
        <f>IF(MasterFees[[#This Row],[RVG Code]]="","",_xlfn.XLOOKUP(MasterFees[[#This Row],[RVG Code]],RVGCodes[Code],RVGCodes[Base Units],"Code not found"))</f>
        <v/>
      </c>
      <c r="C425" s="37" t="s">
        <v>425</v>
      </c>
      <c r="D425" s="44" t="s">
        <v>1108</v>
      </c>
      <c r="E425" s="44"/>
      <c r="F425" s="44" t="s">
        <v>1109</v>
      </c>
      <c r="G425" s="39">
        <v>4</v>
      </c>
      <c r="H425" s="39">
        <v>2</v>
      </c>
      <c r="I425" s="39">
        <v>0</v>
      </c>
      <c r="J425" s="39">
        <v>6</v>
      </c>
      <c r="K425" s="40">
        <v>330</v>
      </c>
      <c r="L425" s="45" t="s">
        <v>1015</v>
      </c>
      <c r="M425" s="41" t="str">
        <f>IF(MasterFees[[#This Row],[GST Basis]]="Excl",MasterFees[[#This Row],[Fee as Printed]],IF(MasterFees[[#This Row],[GST Basis]]="Incl",MasterFees[[#This Row],[Fee as Printed]]/(1+GST_Rate),""))</f>
        <v/>
      </c>
      <c r="N425" s="41" t="str">
        <f>IF(MasterFees[[#This Row],[GST Basis]]="Incl",MasterFees[[#This Row],[Fee as Printed]],IF(MasterFees[[#This Row],[GST Basis]]="Excl",MasterFees[[#This Row],[Fee as Printed]]*(1+GST_Rate),""))</f>
        <v/>
      </c>
      <c r="O425" s="42">
        <f>IF(N(MasterFees[[#This Row],[Total Units]])=0,"",MasterFees[[#This Row],[Fee as Printed]]/MasterFees[[#This Row],[Total Units]])</f>
        <v>55</v>
      </c>
      <c r="P425" s="43"/>
      <c r="Q425" s="46" t="s">
        <v>1013</v>
      </c>
      <c r="R425" s="46" t="s">
        <v>1533</v>
      </c>
      <c r="S425" s="37"/>
    </row>
    <row r="426" spans="1:19" x14ac:dyDescent="0.2">
      <c r="A426" s="36"/>
      <c r="B426" s="38" t="str">
        <f>IF(MasterFees[[#This Row],[RVG Code]]="","",_xlfn.XLOOKUP(MasterFees[[#This Row],[RVG Code]],RVGCodes[Code],RVGCodes[Base Units],"Code not found"))</f>
        <v/>
      </c>
      <c r="C426" s="37" t="s">
        <v>426</v>
      </c>
      <c r="D426" s="44" t="s">
        <v>1108</v>
      </c>
      <c r="E426" s="44"/>
      <c r="F426" s="44" t="s">
        <v>1109</v>
      </c>
      <c r="G426" s="39">
        <v>4</v>
      </c>
      <c r="H426" s="39">
        <v>3</v>
      </c>
      <c r="I426" s="39">
        <v>0</v>
      </c>
      <c r="J426" s="39">
        <v>7</v>
      </c>
      <c r="K426" s="40">
        <v>385</v>
      </c>
      <c r="L426" s="45" t="s">
        <v>1015</v>
      </c>
      <c r="M426" s="41" t="str">
        <f>IF(MasterFees[[#This Row],[GST Basis]]="Excl",MasterFees[[#This Row],[Fee as Printed]],IF(MasterFees[[#This Row],[GST Basis]]="Incl",MasterFees[[#This Row],[Fee as Printed]]/(1+GST_Rate),""))</f>
        <v/>
      </c>
      <c r="N426" s="41" t="str">
        <f>IF(MasterFees[[#This Row],[GST Basis]]="Incl",MasterFees[[#This Row],[Fee as Printed]],IF(MasterFees[[#This Row],[GST Basis]]="Excl",MasterFees[[#This Row],[Fee as Printed]]*(1+GST_Rate),""))</f>
        <v/>
      </c>
      <c r="O426" s="42">
        <f>IF(N(MasterFees[[#This Row],[Total Units]])=0,"",MasterFees[[#This Row],[Fee as Printed]]/MasterFees[[#This Row],[Total Units]])</f>
        <v>55</v>
      </c>
      <c r="P426" s="43"/>
      <c r="Q426" s="46" t="s">
        <v>1013</v>
      </c>
      <c r="R426" s="46" t="s">
        <v>1534</v>
      </c>
      <c r="S426" s="37"/>
    </row>
    <row r="427" spans="1:19" x14ac:dyDescent="0.2">
      <c r="A427" s="36"/>
      <c r="B427" s="38" t="str">
        <f>IF(MasterFees[[#This Row],[RVG Code]]="","",_xlfn.XLOOKUP(MasterFees[[#This Row],[RVG Code]],RVGCodes[Code],RVGCodes[Base Units],"Code not found"))</f>
        <v/>
      </c>
      <c r="C427" s="37" t="s">
        <v>427</v>
      </c>
      <c r="D427" s="44" t="s">
        <v>1108</v>
      </c>
      <c r="E427" s="44"/>
      <c r="F427" s="44" t="s">
        <v>1109</v>
      </c>
      <c r="G427" s="39">
        <v>4.0999999999999996</v>
      </c>
      <c r="H427" s="39">
        <v>2.8</v>
      </c>
      <c r="I427" s="39">
        <v>0.2</v>
      </c>
      <c r="J427" s="39">
        <v>7.1</v>
      </c>
      <c r="K427" s="40">
        <v>391.6</v>
      </c>
      <c r="L427" s="45" t="s">
        <v>1015</v>
      </c>
      <c r="M427" s="41" t="str">
        <f>IF(MasterFees[[#This Row],[GST Basis]]="Excl",MasterFees[[#This Row],[Fee as Printed]],IF(MasterFees[[#This Row],[GST Basis]]="Incl",MasterFees[[#This Row],[Fee as Printed]]/(1+GST_Rate),""))</f>
        <v/>
      </c>
      <c r="N427" s="41" t="str">
        <f>IF(MasterFees[[#This Row],[GST Basis]]="Incl",MasterFees[[#This Row],[Fee as Printed]],IF(MasterFees[[#This Row],[GST Basis]]="Excl",MasterFees[[#This Row],[Fee as Printed]]*(1+GST_Rate),""))</f>
        <v/>
      </c>
      <c r="O427" s="42">
        <f>IF(N(MasterFees[[#This Row],[Total Units]])=0,"",MasterFees[[#This Row],[Fee as Printed]]/MasterFees[[#This Row],[Total Units]])</f>
        <v>55.154929577464792</v>
      </c>
      <c r="P427" s="43"/>
      <c r="Q427" s="46" t="s">
        <v>1013</v>
      </c>
      <c r="R427" s="46" t="s">
        <v>1535</v>
      </c>
      <c r="S427" s="37"/>
    </row>
    <row r="428" spans="1:19" x14ac:dyDescent="0.2">
      <c r="A428" s="36"/>
      <c r="B428" s="38" t="str">
        <f>IF(MasterFees[[#This Row],[RVG Code]]="","",_xlfn.XLOOKUP(MasterFees[[#This Row],[RVG Code]],RVGCodes[Code],RVGCodes[Base Units],"Code not found"))</f>
        <v/>
      </c>
      <c r="C428" s="37" t="s">
        <v>428</v>
      </c>
      <c r="D428" s="44" t="s">
        <v>1108</v>
      </c>
      <c r="E428" s="44"/>
      <c r="F428" s="44" t="s">
        <v>1109</v>
      </c>
      <c r="G428" s="39">
        <v>4</v>
      </c>
      <c r="H428" s="39">
        <v>3.2</v>
      </c>
      <c r="I428" s="39">
        <v>0.9</v>
      </c>
      <c r="J428" s="39">
        <v>8.1</v>
      </c>
      <c r="K428" s="40">
        <v>445.5</v>
      </c>
      <c r="L428" s="45" t="s">
        <v>1015</v>
      </c>
      <c r="M428" s="41" t="str">
        <f>IF(MasterFees[[#This Row],[GST Basis]]="Excl",MasterFees[[#This Row],[Fee as Printed]],IF(MasterFees[[#This Row],[GST Basis]]="Incl",MasterFees[[#This Row],[Fee as Printed]]/(1+GST_Rate),""))</f>
        <v/>
      </c>
      <c r="N428" s="41" t="str">
        <f>IF(MasterFees[[#This Row],[GST Basis]]="Incl",MasterFees[[#This Row],[Fee as Printed]],IF(MasterFees[[#This Row],[GST Basis]]="Excl",MasterFees[[#This Row],[Fee as Printed]]*(1+GST_Rate),""))</f>
        <v/>
      </c>
      <c r="O428" s="42">
        <f>IF(N(MasterFees[[#This Row],[Total Units]])=0,"",MasterFees[[#This Row],[Fee as Printed]]/MasterFees[[#This Row],[Total Units]])</f>
        <v>55</v>
      </c>
      <c r="P428" s="43"/>
      <c r="Q428" s="46" t="s">
        <v>1013</v>
      </c>
      <c r="R428" s="46" t="s">
        <v>1536</v>
      </c>
      <c r="S428" s="37"/>
    </row>
    <row r="429" spans="1:19" x14ac:dyDescent="0.2">
      <c r="A429" s="36"/>
      <c r="B429" s="38" t="str">
        <f>IF(MasterFees[[#This Row],[RVG Code]]="","",_xlfn.XLOOKUP(MasterFees[[#This Row],[RVG Code]],RVGCodes[Code],RVGCodes[Base Units],"Code not found"))</f>
        <v/>
      </c>
      <c r="C429" s="37" t="s">
        <v>429</v>
      </c>
      <c r="D429" s="44" t="s">
        <v>1108</v>
      </c>
      <c r="E429" s="44"/>
      <c r="F429" s="44" t="s">
        <v>1109</v>
      </c>
      <c r="G429" s="39">
        <v>4</v>
      </c>
      <c r="H429" s="39">
        <v>2.9</v>
      </c>
      <c r="I429" s="39">
        <v>0.5</v>
      </c>
      <c r="J429" s="39">
        <v>7.3</v>
      </c>
      <c r="K429" s="40">
        <v>401.5</v>
      </c>
      <c r="L429" s="45" t="s">
        <v>1015</v>
      </c>
      <c r="M429" s="41" t="str">
        <f>IF(MasterFees[[#This Row],[GST Basis]]="Excl",MasterFees[[#This Row],[Fee as Printed]],IF(MasterFees[[#This Row],[GST Basis]]="Incl",MasterFees[[#This Row],[Fee as Printed]]/(1+GST_Rate),""))</f>
        <v/>
      </c>
      <c r="N429" s="41" t="str">
        <f>IF(MasterFees[[#This Row],[GST Basis]]="Incl",MasterFees[[#This Row],[Fee as Printed]],IF(MasterFees[[#This Row],[GST Basis]]="Excl",MasterFees[[#This Row],[Fee as Printed]]*(1+GST_Rate),""))</f>
        <v/>
      </c>
      <c r="O429" s="42">
        <f>IF(N(MasterFees[[#This Row],[Total Units]])=0,"",MasterFees[[#This Row],[Fee as Printed]]/MasterFees[[#This Row],[Total Units]])</f>
        <v>55</v>
      </c>
      <c r="P429" s="43"/>
      <c r="Q429" s="46" t="s">
        <v>1013</v>
      </c>
      <c r="R429" s="46" t="s">
        <v>1537</v>
      </c>
      <c r="S429" s="37"/>
    </row>
    <row r="430" spans="1:19" x14ac:dyDescent="0.2">
      <c r="A430" s="36"/>
      <c r="B430" s="38" t="str">
        <f>IF(MasterFees[[#This Row],[RVG Code]]="","",_xlfn.XLOOKUP(MasterFees[[#This Row],[RVG Code]],RVGCodes[Code],RVGCodes[Base Units],"Code not found"))</f>
        <v/>
      </c>
      <c r="C430" s="37" t="s">
        <v>430</v>
      </c>
      <c r="D430" s="44" t="s">
        <v>1108</v>
      </c>
      <c r="E430" s="44"/>
      <c r="F430" s="44" t="s">
        <v>1109</v>
      </c>
      <c r="G430" s="39">
        <v>4</v>
      </c>
      <c r="H430" s="39">
        <v>2</v>
      </c>
      <c r="I430" s="39">
        <v>0</v>
      </c>
      <c r="J430" s="39">
        <v>6</v>
      </c>
      <c r="K430" s="40">
        <v>330</v>
      </c>
      <c r="L430" s="45" t="s">
        <v>1015</v>
      </c>
      <c r="M430" s="41" t="str">
        <f>IF(MasterFees[[#This Row],[GST Basis]]="Excl",MasterFees[[#This Row],[Fee as Printed]],IF(MasterFees[[#This Row],[GST Basis]]="Incl",MasterFees[[#This Row],[Fee as Printed]]/(1+GST_Rate),""))</f>
        <v/>
      </c>
      <c r="N430" s="41" t="str">
        <f>IF(MasterFees[[#This Row],[GST Basis]]="Incl",MasterFees[[#This Row],[Fee as Printed]],IF(MasterFees[[#This Row],[GST Basis]]="Excl",MasterFees[[#This Row],[Fee as Printed]]*(1+GST_Rate),""))</f>
        <v/>
      </c>
      <c r="O430" s="42">
        <f>IF(N(MasterFees[[#This Row],[Total Units]])=0,"",MasterFees[[#This Row],[Fee as Printed]]/MasterFees[[#This Row],[Total Units]])</f>
        <v>55</v>
      </c>
      <c r="P430" s="43"/>
      <c r="Q430" s="46" t="s">
        <v>1013</v>
      </c>
      <c r="R430" s="46" t="s">
        <v>1538</v>
      </c>
      <c r="S430" s="37"/>
    </row>
    <row r="431" spans="1:19" x14ac:dyDescent="0.2">
      <c r="A431" s="36"/>
      <c r="B431" s="38" t="str">
        <f>IF(MasterFees[[#This Row],[RVG Code]]="","",_xlfn.XLOOKUP(MasterFees[[#This Row],[RVG Code]],RVGCodes[Code],RVGCodes[Base Units],"Code not found"))</f>
        <v/>
      </c>
      <c r="C431" s="37" t="s">
        <v>431</v>
      </c>
      <c r="D431" s="44" t="s">
        <v>1108</v>
      </c>
      <c r="E431" s="44"/>
      <c r="F431" s="44" t="s">
        <v>1109</v>
      </c>
      <c r="G431" s="39">
        <v>4</v>
      </c>
      <c r="H431" s="39">
        <v>2.1</v>
      </c>
      <c r="I431" s="39">
        <v>0.5</v>
      </c>
      <c r="J431" s="39">
        <v>6.5</v>
      </c>
      <c r="K431" s="40">
        <v>359.7</v>
      </c>
      <c r="L431" s="45" t="s">
        <v>1015</v>
      </c>
      <c r="M431" s="41" t="str">
        <f>IF(MasterFees[[#This Row],[GST Basis]]="Excl",MasterFees[[#This Row],[Fee as Printed]],IF(MasterFees[[#This Row],[GST Basis]]="Incl",MasterFees[[#This Row],[Fee as Printed]]/(1+GST_Rate),""))</f>
        <v/>
      </c>
      <c r="N431" s="41" t="str">
        <f>IF(MasterFees[[#This Row],[GST Basis]]="Incl",MasterFees[[#This Row],[Fee as Printed]],IF(MasterFees[[#This Row],[GST Basis]]="Excl",MasterFees[[#This Row],[Fee as Printed]]*(1+GST_Rate),""))</f>
        <v/>
      </c>
      <c r="O431" s="42">
        <f>IF(N(MasterFees[[#This Row],[Total Units]])=0,"",MasterFees[[#This Row],[Fee as Printed]]/MasterFees[[#This Row],[Total Units]])</f>
        <v>55.338461538461537</v>
      </c>
      <c r="P431" s="43"/>
      <c r="Q431" s="46" t="s">
        <v>1013</v>
      </c>
      <c r="R431" s="46" t="s">
        <v>1539</v>
      </c>
      <c r="S431" s="37"/>
    </row>
    <row r="432" spans="1:19" x14ac:dyDescent="0.2">
      <c r="A432" s="36"/>
      <c r="B432" s="38" t="str">
        <f>IF(MasterFees[[#This Row],[RVG Code]]="","",_xlfn.XLOOKUP(MasterFees[[#This Row],[RVG Code]],RVGCodes[Code],RVGCodes[Base Units],"Code not found"))</f>
        <v/>
      </c>
      <c r="C432" s="37" t="s">
        <v>432</v>
      </c>
      <c r="D432" s="44" t="s">
        <v>1108</v>
      </c>
      <c r="E432" s="44"/>
      <c r="F432" s="44" t="s">
        <v>1109</v>
      </c>
      <c r="G432" s="39">
        <v>3.6</v>
      </c>
      <c r="H432" s="39">
        <v>2.6</v>
      </c>
      <c r="I432" s="39">
        <v>0.4</v>
      </c>
      <c r="J432" s="39">
        <v>6.6</v>
      </c>
      <c r="K432" s="40">
        <v>364.1</v>
      </c>
      <c r="L432" s="45" t="s">
        <v>1015</v>
      </c>
      <c r="M432" s="41" t="str">
        <f>IF(MasterFees[[#This Row],[GST Basis]]="Excl",MasterFees[[#This Row],[Fee as Printed]],IF(MasterFees[[#This Row],[GST Basis]]="Incl",MasterFees[[#This Row],[Fee as Printed]]/(1+GST_Rate),""))</f>
        <v/>
      </c>
      <c r="N432" s="41" t="str">
        <f>IF(MasterFees[[#This Row],[GST Basis]]="Incl",MasterFees[[#This Row],[Fee as Printed]],IF(MasterFees[[#This Row],[GST Basis]]="Excl",MasterFees[[#This Row],[Fee as Printed]]*(1+GST_Rate),""))</f>
        <v/>
      </c>
      <c r="O432" s="42">
        <f>IF(N(MasterFees[[#This Row],[Total Units]])=0,"",MasterFees[[#This Row],[Fee as Printed]]/MasterFees[[#This Row],[Total Units]])</f>
        <v>55.166666666666671</v>
      </c>
      <c r="P432" s="43"/>
      <c r="Q432" s="46" t="s">
        <v>1013</v>
      </c>
      <c r="R432" s="46" t="s">
        <v>1540</v>
      </c>
      <c r="S432" s="37"/>
    </row>
    <row r="433" spans="1:19" x14ac:dyDescent="0.2">
      <c r="A433" s="36"/>
      <c r="B433" s="38" t="str">
        <f>IF(MasterFees[[#This Row],[RVG Code]]="","",_xlfn.XLOOKUP(MasterFees[[#This Row],[RVG Code]],RVGCodes[Code],RVGCodes[Base Units],"Code not found"))</f>
        <v/>
      </c>
      <c r="C433" s="37" t="s">
        <v>433</v>
      </c>
      <c r="D433" s="44" t="s">
        <v>1108</v>
      </c>
      <c r="E433" s="44"/>
      <c r="F433" s="44" t="s">
        <v>1109</v>
      </c>
      <c r="G433" s="39">
        <v>4</v>
      </c>
      <c r="H433" s="39">
        <v>2.1</v>
      </c>
      <c r="I433" s="39">
        <v>0.3</v>
      </c>
      <c r="J433" s="39">
        <v>6.4</v>
      </c>
      <c r="K433" s="40">
        <v>353.65</v>
      </c>
      <c r="L433" s="45" t="s">
        <v>1015</v>
      </c>
      <c r="M433" s="41" t="str">
        <f>IF(MasterFees[[#This Row],[GST Basis]]="Excl",MasterFees[[#This Row],[Fee as Printed]],IF(MasterFees[[#This Row],[GST Basis]]="Incl",MasterFees[[#This Row],[Fee as Printed]]/(1+GST_Rate),""))</f>
        <v/>
      </c>
      <c r="N433" s="41" t="str">
        <f>IF(MasterFees[[#This Row],[GST Basis]]="Incl",MasterFees[[#This Row],[Fee as Printed]],IF(MasterFees[[#This Row],[GST Basis]]="Excl",MasterFees[[#This Row],[Fee as Printed]]*(1+GST_Rate),""))</f>
        <v/>
      </c>
      <c r="O433" s="42">
        <f>IF(N(MasterFees[[#This Row],[Total Units]])=0,"",MasterFees[[#This Row],[Fee as Printed]]/MasterFees[[#This Row],[Total Units]])</f>
        <v>55.257812499999993</v>
      </c>
      <c r="P433" s="43"/>
      <c r="Q433" s="46" t="s">
        <v>1013</v>
      </c>
      <c r="R433" s="46" t="s">
        <v>1541</v>
      </c>
      <c r="S433" s="37"/>
    </row>
    <row r="434" spans="1:19" x14ac:dyDescent="0.2">
      <c r="A434" s="36"/>
      <c r="B434" s="38" t="str">
        <f>IF(MasterFees[[#This Row],[RVG Code]]="","",_xlfn.XLOOKUP(MasterFees[[#This Row],[RVG Code]],RVGCodes[Code],RVGCodes[Base Units],"Code not found"))</f>
        <v/>
      </c>
      <c r="C434" s="37" t="s">
        <v>434</v>
      </c>
      <c r="D434" s="44" t="s">
        <v>1108</v>
      </c>
      <c r="E434" s="44"/>
      <c r="F434" s="44" t="s">
        <v>1109</v>
      </c>
      <c r="G434" s="39">
        <v>5.9</v>
      </c>
      <c r="H434" s="39">
        <v>7</v>
      </c>
      <c r="I434" s="39">
        <v>1.1000000000000001</v>
      </c>
      <c r="J434" s="39">
        <v>14</v>
      </c>
      <c r="K434" s="40">
        <v>767.25</v>
      </c>
      <c r="L434" s="45" t="s">
        <v>1015</v>
      </c>
      <c r="M434" s="41" t="str">
        <f>IF(MasterFees[[#This Row],[GST Basis]]="Excl",MasterFees[[#This Row],[Fee as Printed]],IF(MasterFees[[#This Row],[GST Basis]]="Incl",MasterFees[[#This Row],[Fee as Printed]]/(1+GST_Rate),""))</f>
        <v/>
      </c>
      <c r="N434" s="41" t="str">
        <f>IF(MasterFees[[#This Row],[GST Basis]]="Incl",MasterFees[[#This Row],[Fee as Printed]],IF(MasterFees[[#This Row],[GST Basis]]="Excl",MasterFees[[#This Row],[Fee as Printed]]*(1+GST_Rate),""))</f>
        <v/>
      </c>
      <c r="O434" s="42">
        <f>IF(N(MasterFees[[#This Row],[Total Units]])=0,"",MasterFees[[#This Row],[Fee as Printed]]/MasterFees[[#This Row],[Total Units]])</f>
        <v>54.803571428571431</v>
      </c>
      <c r="P434" s="43"/>
      <c r="Q434" s="46" t="s">
        <v>1013</v>
      </c>
      <c r="R434" s="46" t="s">
        <v>1542</v>
      </c>
      <c r="S434" s="37"/>
    </row>
    <row r="435" spans="1:19" x14ac:dyDescent="0.2">
      <c r="A435" s="36"/>
      <c r="B435" s="38" t="str">
        <f>IF(MasterFees[[#This Row],[RVG Code]]="","",_xlfn.XLOOKUP(MasterFees[[#This Row],[RVG Code]],RVGCodes[Code],RVGCodes[Base Units],"Code not found"))</f>
        <v/>
      </c>
      <c r="C435" s="37" t="s">
        <v>435</v>
      </c>
      <c r="D435" s="44" t="s">
        <v>1108</v>
      </c>
      <c r="E435" s="44"/>
      <c r="F435" s="44" t="s">
        <v>1109</v>
      </c>
      <c r="G435" s="39">
        <v>4.9000000000000004</v>
      </c>
      <c r="H435" s="39">
        <v>3.8</v>
      </c>
      <c r="I435" s="39">
        <v>0.1</v>
      </c>
      <c r="J435" s="39">
        <v>8.8000000000000007</v>
      </c>
      <c r="K435" s="40">
        <v>482.35</v>
      </c>
      <c r="L435" s="45" t="s">
        <v>1015</v>
      </c>
      <c r="M435" s="41" t="str">
        <f>IF(MasterFees[[#This Row],[GST Basis]]="Excl",MasterFees[[#This Row],[Fee as Printed]],IF(MasterFees[[#This Row],[GST Basis]]="Incl",MasterFees[[#This Row],[Fee as Printed]]/(1+GST_Rate),""))</f>
        <v/>
      </c>
      <c r="N435" s="41" t="str">
        <f>IF(MasterFees[[#This Row],[GST Basis]]="Incl",MasterFees[[#This Row],[Fee as Printed]],IF(MasterFees[[#This Row],[GST Basis]]="Excl",MasterFees[[#This Row],[Fee as Printed]]*(1+GST_Rate),""))</f>
        <v/>
      </c>
      <c r="O435" s="42">
        <f>IF(N(MasterFees[[#This Row],[Total Units]])=0,"",MasterFees[[#This Row],[Fee as Printed]]/MasterFees[[#This Row],[Total Units]])</f>
        <v>54.8125</v>
      </c>
      <c r="P435" s="43"/>
      <c r="Q435" s="46" t="s">
        <v>1013</v>
      </c>
      <c r="R435" s="46" t="s">
        <v>1543</v>
      </c>
      <c r="S435" s="37"/>
    </row>
    <row r="436" spans="1:19" x14ac:dyDescent="0.2">
      <c r="A436" s="36"/>
      <c r="B436" s="38" t="str">
        <f>IF(MasterFees[[#This Row],[RVG Code]]="","",_xlfn.XLOOKUP(MasterFees[[#This Row],[RVG Code]],RVGCodes[Code],RVGCodes[Base Units],"Code not found"))</f>
        <v/>
      </c>
      <c r="C436" s="37" t="s">
        <v>436</v>
      </c>
      <c r="D436" s="44" t="s">
        <v>1108</v>
      </c>
      <c r="E436" s="44"/>
      <c r="F436" s="44" t="s">
        <v>1109</v>
      </c>
      <c r="G436" s="39">
        <v>3.8</v>
      </c>
      <c r="H436" s="39">
        <v>4.0999999999999996</v>
      </c>
      <c r="I436" s="39">
        <v>0.8</v>
      </c>
      <c r="J436" s="39">
        <v>8.6999999999999993</v>
      </c>
      <c r="K436" s="40">
        <v>476.3</v>
      </c>
      <c r="L436" s="45" t="s">
        <v>1015</v>
      </c>
      <c r="M436" s="41" t="str">
        <f>IF(MasterFees[[#This Row],[GST Basis]]="Excl",MasterFees[[#This Row],[Fee as Printed]],IF(MasterFees[[#This Row],[GST Basis]]="Incl",MasterFees[[#This Row],[Fee as Printed]]/(1+GST_Rate),""))</f>
        <v/>
      </c>
      <c r="N436" s="41" t="str">
        <f>IF(MasterFees[[#This Row],[GST Basis]]="Incl",MasterFees[[#This Row],[Fee as Printed]],IF(MasterFees[[#This Row],[GST Basis]]="Excl",MasterFees[[#This Row],[Fee as Printed]]*(1+GST_Rate),""))</f>
        <v/>
      </c>
      <c r="O436" s="42">
        <f>IF(N(MasterFees[[#This Row],[Total Units]])=0,"",MasterFees[[#This Row],[Fee as Printed]]/MasterFees[[#This Row],[Total Units]])</f>
        <v>54.747126436781613</v>
      </c>
      <c r="P436" s="43"/>
      <c r="Q436" s="46" t="s">
        <v>1013</v>
      </c>
      <c r="R436" s="46" t="s">
        <v>1544</v>
      </c>
      <c r="S436" s="37"/>
    </row>
    <row r="437" spans="1:19" x14ac:dyDescent="0.2">
      <c r="A437" s="36"/>
      <c r="B437" s="38" t="str">
        <f>IF(MasterFees[[#This Row],[RVG Code]]="","",_xlfn.XLOOKUP(MasterFees[[#This Row],[RVG Code]],RVGCodes[Code],RVGCodes[Base Units],"Code not found"))</f>
        <v/>
      </c>
      <c r="C437" s="37" t="s">
        <v>437</v>
      </c>
      <c r="D437" s="44" t="s">
        <v>1108</v>
      </c>
      <c r="E437" s="44"/>
      <c r="F437" s="44" t="s">
        <v>1109</v>
      </c>
      <c r="G437" s="39">
        <v>5</v>
      </c>
      <c r="H437" s="39">
        <v>4</v>
      </c>
      <c r="I437" s="39">
        <v>3</v>
      </c>
      <c r="J437" s="39">
        <v>12</v>
      </c>
      <c r="K437" s="40">
        <v>660</v>
      </c>
      <c r="L437" s="45" t="s">
        <v>1015</v>
      </c>
      <c r="M437" s="41" t="str">
        <f>IF(MasterFees[[#This Row],[GST Basis]]="Excl",MasterFees[[#This Row],[Fee as Printed]],IF(MasterFees[[#This Row],[GST Basis]]="Incl",MasterFees[[#This Row],[Fee as Printed]]/(1+GST_Rate),""))</f>
        <v/>
      </c>
      <c r="N437" s="41" t="str">
        <f>IF(MasterFees[[#This Row],[GST Basis]]="Incl",MasterFees[[#This Row],[Fee as Printed]],IF(MasterFees[[#This Row],[GST Basis]]="Excl",MasterFees[[#This Row],[Fee as Printed]]*(1+GST_Rate),""))</f>
        <v/>
      </c>
      <c r="O437" s="42">
        <f>IF(N(MasterFees[[#This Row],[Total Units]])=0,"",MasterFees[[#This Row],[Fee as Printed]]/MasterFees[[#This Row],[Total Units]])</f>
        <v>55</v>
      </c>
      <c r="P437" s="43"/>
      <c r="Q437" s="46" t="s">
        <v>1013</v>
      </c>
      <c r="R437" s="46" t="s">
        <v>1545</v>
      </c>
      <c r="S437" s="37"/>
    </row>
    <row r="438" spans="1:19" x14ac:dyDescent="0.2">
      <c r="A438" s="36"/>
      <c r="B438" s="38" t="str">
        <f>IF(MasterFees[[#This Row],[RVG Code]]="","",_xlfn.XLOOKUP(MasterFees[[#This Row],[RVG Code]],RVGCodes[Code],RVGCodes[Base Units],"Code not found"))</f>
        <v/>
      </c>
      <c r="C438" s="37" t="s">
        <v>438</v>
      </c>
      <c r="D438" s="44" t="s">
        <v>1108</v>
      </c>
      <c r="E438" s="44"/>
      <c r="F438" s="44" t="s">
        <v>1109</v>
      </c>
      <c r="G438" s="39">
        <v>0</v>
      </c>
      <c r="H438" s="39">
        <v>0</v>
      </c>
      <c r="I438" s="39">
        <v>0</v>
      </c>
      <c r="J438" s="39">
        <v>0</v>
      </c>
      <c r="K438" s="40">
        <v>0</v>
      </c>
      <c r="L438" s="45" t="s">
        <v>1015</v>
      </c>
      <c r="M438" s="41" t="str">
        <f>IF(MasterFees[[#This Row],[GST Basis]]="Excl",MasterFees[[#This Row],[Fee as Printed]],IF(MasterFees[[#This Row],[GST Basis]]="Incl",MasterFees[[#This Row],[Fee as Printed]]/(1+GST_Rate),""))</f>
        <v/>
      </c>
      <c r="N438" s="41" t="str">
        <f>IF(MasterFees[[#This Row],[GST Basis]]="Incl",MasterFees[[#This Row],[Fee as Printed]],IF(MasterFees[[#This Row],[GST Basis]]="Excl",MasterFees[[#This Row],[Fee as Printed]]*(1+GST_Rate),""))</f>
        <v/>
      </c>
      <c r="O438" s="42" t="str">
        <f>IF(N(MasterFees[[#This Row],[Total Units]])=0,"",MasterFees[[#This Row],[Fee as Printed]]/MasterFees[[#This Row],[Total Units]])</f>
        <v/>
      </c>
      <c r="P438" s="43"/>
      <c r="Q438" s="46" t="s">
        <v>1013</v>
      </c>
      <c r="R438" s="46" t="s">
        <v>1546</v>
      </c>
      <c r="S438" s="37"/>
    </row>
    <row r="439" spans="1:19" x14ac:dyDescent="0.2">
      <c r="A439" s="36"/>
      <c r="B439" s="38" t="str">
        <f>IF(MasterFees[[#This Row],[RVG Code]]="","",_xlfn.XLOOKUP(MasterFees[[#This Row],[RVG Code]],RVGCodes[Code],RVGCodes[Base Units],"Code not found"))</f>
        <v/>
      </c>
      <c r="C439" s="37" t="s">
        <v>439</v>
      </c>
      <c r="D439" s="44" t="s">
        <v>1108</v>
      </c>
      <c r="E439" s="44"/>
      <c r="F439" s="44" t="s">
        <v>1109</v>
      </c>
      <c r="G439" s="39">
        <v>6</v>
      </c>
      <c r="H439" s="39">
        <v>5</v>
      </c>
      <c r="I439" s="39">
        <v>2</v>
      </c>
      <c r="J439" s="39">
        <v>13</v>
      </c>
      <c r="K439" s="40">
        <v>715</v>
      </c>
      <c r="L439" s="45" t="s">
        <v>1015</v>
      </c>
      <c r="M439" s="41" t="str">
        <f>IF(MasterFees[[#This Row],[GST Basis]]="Excl",MasterFees[[#This Row],[Fee as Printed]],IF(MasterFees[[#This Row],[GST Basis]]="Incl",MasterFees[[#This Row],[Fee as Printed]]/(1+GST_Rate),""))</f>
        <v/>
      </c>
      <c r="N439" s="41" t="str">
        <f>IF(MasterFees[[#This Row],[GST Basis]]="Incl",MasterFees[[#This Row],[Fee as Printed]],IF(MasterFees[[#This Row],[GST Basis]]="Excl",MasterFees[[#This Row],[Fee as Printed]]*(1+GST_Rate),""))</f>
        <v/>
      </c>
      <c r="O439" s="42">
        <f>IF(N(MasterFees[[#This Row],[Total Units]])=0,"",MasterFees[[#This Row],[Fee as Printed]]/MasterFees[[#This Row],[Total Units]])</f>
        <v>55</v>
      </c>
      <c r="P439" s="43"/>
      <c r="Q439" s="46" t="s">
        <v>1013</v>
      </c>
      <c r="R439" s="46" t="s">
        <v>1547</v>
      </c>
      <c r="S439" s="37"/>
    </row>
    <row r="440" spans="1:19" x14ac:dyDescent="0.2">
      <c r="A440" s="36"/>
      <c r="B440" s="38" t="str">
        <f>IF(MasterFees[[#This Row],[RVG Code]]="","",_xlfn.XLOOKUP(MasterFees[[#This Row],[RVG Code]],RVGCodes[Code],RVGCodes[Base Units],"Code not found"))</f>
        <v/>
      </c>
      <c r="C440" s="37" t="s">
        <v>440</v>
      </c>
      <c r="D440" s="44" t="s">
        <v>1108</v>
      </c>
      <c r="E440" s="44"/>
      <c r="F440" s="44" t="s">
        <v>1109</v>
      </c>
      <c r="G440" s="39">
        <v>0</v>
      </c>
      <c r="H440" s="39">
        <v>4</v>
      </c>
      <c r="I440" s="39">
        <v>0</v>
      </c>
      <c r="J440" s="39">
        <v>4</v>
      </c>
      <c r="K440" s="40">
        <v>220</v>
      </c>
      <c r="L440" s="45" t="s">
        <v>1015</v>
      </c>
      <c r="M440" s="41" t="str">
        <f>IF(MasterFees[[#This Row],[GST Basis]]="Excl",MasterFees[[#This Row],[Fee as Printed]],IF(MasterFees[[#This Row],[GST Basis]]="Incl",MasterFees[[#This Row],[Fee as Printed]]/(1+GST_Rate),""))</f>
        <v/>
      </c>
      <c r="N440" s="41" t="str">
        <f>IF(MasterFees[[#This Row],[GST Basis]]="Incl",MasterFees[[#This Row],[Fee as Printed]],IF(MasterFees[[#This Row],[GST Basis]]="Excl",MasterFees[[#This Row],[Fee as Printed]]*(1+GST_Rate),""))</f>
        <v/>
      </c>
      <c r="O440" s="42">
        <f>IF(N(MasterFees[[#This Row],[Total Units]])=0,"",MasterFees[[#This Row],[Fee as Printed]]/MasterFees[[#This Row],[Total Units]])</f>
        <v>55</v>
      </c>
      <c r="P440" s="43"/>
      <c r="Q440" s="46" t="s">
        <v>1013</v>
      </c>
      <c r="R440" s="46" t="s">
        <v>1548</v>
      </c>
      <c r="S440" s="37"/>
    </row>
    <row r="441" spans="1:19" x14ac:dyDescent="0.2">
      <c r="A441" s="36"/>
      <c r="B441" s="38" t="str">
        <f>IF(MasterFees[[#This Row],[RVG Code]]="","",_xlfn.XLOOKUP(MasterFees[[#This Row],[RVG Code]],RVGCodes[Code],RVGCodes[Base Units],"Code not found"))</f>
        <v/>
      </c>
      <c r="C441" s="37" t="s">
        <v>441</v>
      </c>
      <c r="D441" s="44" t="s">
        <v>1108</v>
      </c>
      <c r="E441" s="44"/>
      <c r="F441" s="44" t="s">
        <v>1109</v>
      </c>
      <c r="G441" s="39">
        <v>4</v>
      </c>
      <c r="H441" s="39">
        <v>2</v>
      </c>
      <c r="I441" s="39">
        <v>1</v>
      </c>
      <c r="J441" s="39">
        <v>7</v>
      </c>
      <c r="K441" s="40">
        <v>385</v>
      </c>
      <c r="L441" s="45" t="s">
        <v>1015</v>
      </c>
      <c r="M441" s="41" t="str">
        <f>IF(MasterFees[[#This Row],[GST Basis]]="Excl",MasterFees[[#This Row],[Fee as Printed]],IF(MasterFees[[#This Row],[GST Basis]]="Incl",MasterFees[[#This Row],[Fee as Printed]]/(1+GST_Rate),""))</f>
        <v/>
      </c>
      <c r="N441" s="41" t="str">
        <f>IF(MasterFees[[#This Row],[GST Basis]]="Incl",MasterFees[[#This Row],[Fee as Printed]],IF(MasterFees[[#This Row],[GST Basis]]="Excl",MasterFees[[#This Row],[Fee as Printed]]*(1+GST_Rate),""))</f>
        <v/>
      </c>
      <c r="O441" s="42">
        <f>IF(N(MasterFees[[#This Row],[Total Units]])=0,"",MasterFees[[#This Row],[Fee as Printed]]/MasterFees[[#This Row],[Total Units]])</f>
        <v>55</v>
      </c>
      <c r="P441" s="43"/>
      <c r="Q441" s="46" t="s">
        <v>1013</v>
      </c>
      <c r="R441" s="46" t="s">
        <v>1549</v>
      </c>
      <c r="S441" s="37"/>
    </row>
    <row r="442" spans="1:19" x14ac:dyDescent="0.2">
      <c r="A442" s="36"/>
      <c r="B442" s="38" t="str">
        <f>IF(MasterFees[[#This Row],[RVG Code]]="","",_xlfn.XLOOKUP(MasterFees[[#This Row],[RVG Code]],RVGCodes[Code],RVGCodes[Base Units],"Code not found"))</f>
        <v/>
      </c>
      <c r="C442" s="37" t="s">
        <v>442</v>
      </c>
      <c r="D442" s="44" t="s">
        <v>1108</v>
      </c>
      <c r="E442" s="44"/>
      <c r="F442" s="44" t="s">
        <v>1109</v>
      </c>
      <c r="G442" s="39">
        <v>0</v>
      </c>
      <c r="H442" s="39">
        <v>0</v>
      </c>
      <c r="I442" s="39">
        <v>0</v>
      </c>
      <c r="J442" s="39">
        <v>0</v>
      </c>
      <c r="K442" s="40">
        <v>0</v>
      </c>
      <c r="L442" s="45" t="s">
        <v>1015</v>
      </c>
      <c r="M442" s="41" t="str">
        <f>IF(MasterFees[[#This Row],[GST Basis]]="Excl",MasterFees[[#This Row],[Fee as Printed]],IF(MasterFees[[#This Row],[GST Basis]]="Incl",MasterFees[[#This Row],[Fee as Printed]]/(1+GST_Rate),""))</f>
        <v/>
      </c>
      <c r="N442" s="41" t="str">
        <f>IF(MasterFees[[#This Row],[GST Basis]]="Incl",MasterFees[[#This Row],[Fee as Printed]],IF(MasterFees[[#This Row],[GST Basis]]="Excl",MasterFees[[#This Row],[Fee as Printed]]*(1+GST_Rate),""))</f>
        <v/>
      </c>
      <c r="O442" s="42" t="str">
        <f>IF(N(MasterFees[[#This Row],[Total Units]])=0,"",MasterFees[[#This Row],[Fee as Printed]]/MasterFees[[#This Row],[Total Units]])</f>
        <v/>
      </c>
      <c r="P442" s="43"/>
      <c r="Q442" s="46" t="s">
        <v>1013</v>
      </c>
      <c r="R442" s="46" t="s">
        <v>1550</v>
      </c>
      <c r="S442" s="37"/>
    </row>
    <row r="443" spans="1:19" x14ac:dyDescent="0.2">
      <c r="A443" s="36"/>
      <c r="B443" s="38" t="str">
        <f>IF(MasterFees[[#This Row],[RVG Code]]="","",_xlfn.XLOOKUP(MasterFees[[#This Row],[RVG Code]],RVGCodes[Code],RVGCodes[Base Units],"Code not found"))</f>
        <v/>
      </c>
      <c r="C443" s="37" t="s">
        <v>443</v>
      </c>
      <c r="D443" s="44" t="s">
        <v>1108</v>
      </c>
      <c r="E443" s="44"/>
      <c r="F443" s="44" t="s">
        <v>1109</v>
      </c>
      <c r="G443" s="39">
        <v>0</v>
      </c>
      <c r="H443" s="39">
        <v>0</v>
      </c>
      <c r="I443" s="39">
        <v>0</v>
      </c>
      <c r="J443" s="39">
        <v>0</v>
      </c>
      <c r="K443" s="40">
        <v>0</v>
      </c>
      <c r="L443" s="45" t="s">
        <v>1015</v>
      </c>
      <c r="M443" s="41" t="str">
        <f>IF(MasterFees[[#This Row],[GST Basis]]="Excl",MasterFees[[#This Row],[Fee as Printed]],IF(MasterFees[[#This Row],[GST Basis]]="Incl",MasterFees[[#This Row],[Fee as Printed]]/(1+GST_Rate),""))</f>
        <v/>
      </c>
      <c r="N443" s="41" t="str">
        <f>IF(MasterFees[[#This Row],[GST Basis]]="Incl",MasterFees[[#This Row],[Fee as Printed]],IF(MasterFees[[#This Row],[GST Basis]]="Excl",MasterFees[[#This Row],[Fee as Printed]]*(1+GST_Rate),""))</f>
        <v/>
      </c>
      <c r="O443" s="42" t="str">
        <f>IF(N(MasterFees[[#This Row],[Total Units]])=0,"",MasterFees[[#This Row],[Fee as Printed]]/MasterFees[[#This Row],[Total Units]])</f>
        <v/>
      </c>
      <c r="P443" s="43"/>
      <c r="Q443" s="46" t="s">
        <v>1013</v>
      </c>
      <c r="R443" s="46" t="s">
        <v>1551</v>
      </c>
      <c r="S443" s="37"/>
    </row>
    <row r="444" spans="1:19" x14ac:dyDescent="0.2">
      <c r="A444" s="36"/>
      <c r="B444" s="38" t="str">
        <f>IF(MasterFees[[#This Row],[RVG Code]]="","",_xlfn.XLOOKUP(MasterFees[[#This Row],[RVG Code]],RVGCodes[Code],RVGCodes[Base Units],"Code not found"))</f>
        <v/>
      </c>
      <c r="C444" s="37" t="s">
        <v>444</v>
      </c>
      <c r="D444" s="44" t="s">
        <v>1108</v>
      </c>
      <c r="E444" s="44"/>
      <c r="F444" s="44" t="s">
        <v>1109</v>
      </c>
      <c r="G444" s="39">
        <v>8</v>
      </c>
      <c r="H444" s="39">
        <v>9</v>
      </c>
      <c r="I444" s="39">
        <v>0.5</v>
      </c>
      <c r="J444" s="39">
        <v>17.5</v>
      </c>
      <c r="K444" s="40">
        <v>962.5</v>
      </c>
      <c r="L444" s="45" t="s">
        <v>1015</v>
      </c>
      <c r="M444" s="41" t="str">
        <f>IF(MasterFees[[#This Row],[GST Basis]]="Excl",MasterFees[[#This Row],[Fee as Printed]],IF(MasterFees[[#This Row],[GST Basis]]="Incl",MasterFees[[#This Row],[Fee as Printed]]/(1+GST_Rate),""))</f>
        <v/>
      </c>
      <c r="N444" s="41" t="str">
        <f>IF(MasterFees[[#This Row],[GST Basis]]="Incl",MasterFees[[#This Row],[Fee as Printed]],IF(MasterFees[[#This Row],[GST Basis]]="Excl",MasterFees[[#This Row],[Fee as Printed]]*(1+GST_Rate),""))</f>
        <v/>
      </c>
      <c r="O444" s="42">
        <f>IF(N(MasterFees[[#This Row],[Total Units]])=0,"",MasterFees[[#This Row],[Fee as Printed]]/MasterFees[[#This Row],[Total Units]])</f>
        <v>55</v>
      </c>
      <c r="P444" s="43"/>
      <c r="Q444" s="46" t="s">
        <v>1013</v>
      </c>
      <c r="R444" s="46" t="s">
        <v>1552</v>
      </c>
      <c r="S444" s="37"/>
    </row>
    <row r="445" spans="1:19" x14ac:dyDescent="0.2">
      <c r="A445" s="36"/>
      <c r="B445" s="38" t="str">
        <f>IF(MasterFees[[#This Row],[RVG Code]]="","",_xlfn.XLOOKUP(MasterFees[[#This Row],[RVG Code]],RVGCodes[Code],RVGCodes[Base Units],"Code not found"))</f>
        <v/>
      </c>
      <c r="C445" s="37" t="s">
        <v>445</v>
      </c>
      <c r="D445" s="44" t="s">
        <v>1108</v>
      </c>
      <c r="E445" s="44"/>
      <c r="F445" s="44" t="s">
        <v>1109</v>
      </c>
      <c r="G445" s="39">
        <v>5</v>
      </c>
      <c r="H445" s="39">
        <v>14</v>
      </c>
      <c r="I445" s="39">
        <v>4</v>
      </c>
      <c r="J445" s="39">
        <v>23</v>
      </c>
      <c r="K445" s="40">
        <v>1265</v>
      </c>
      <c r="L445" s="45" t="s">
        <v>1015</v>
      </c>
      <c r="M445" s="41" t="str">
        <f>IF(MasterFees[[#This Row],[GST Basis]]="Excl",MasterFees[[#This Row],[Fee as Printed]],IF(MasterFees[[#This Row],[GST Basis]]="Incl",MasterFees[[#This Row],[Fee as Printed]]/(1+GST_Rate),""))</f>
        <v/>
      </c>
      <c r="N445" s="41" t="str">
        <f>IF(MasterFees[[#This Row],[GST Basis]]="Incl",MasterFees[[#This Row],[Fee as Printed]],IF(MasterFees[[#This Row],[GST Basis]]="Excl",MasterFees[[#This Row],[Fee as Printed]]*(1+GST_Rate),""))</f>
        <v/>
      </c>
      <c r="O445" s="42">
        <f>IF(N(MasterFees[[#This Row],[Total Units]])=0,"",MasterFees[[#This Row],[Fee as Printed]]/MasterFees[[#This Row],[Total Units]])</f>
        <v>55</v>
      </c>
      <c r="P445" s="43"/>
      <c r="Q445" s="46" t="s">
        <v>1013</v>
      </c>
      <c r="R445" s="46" t="s">
        <v>1553</v>
      </c>
      <c r="S445" s="37"/>
    </row>
    <row r="446" spans="1:19" x14ac:dyDescent="0.2">
      <c r="A446" s="36"/>
      <c r="B446" s="38" t="str">
        <f>IF(MasterFees[[#This Row],[RVG Code]]="","",_xlfn.XLOOKUP(MasterFees[[#This Row],[RVG Code]],RVGCodes[Code],RVGCodes[Base Units],"Code not found"))</f>
        <v/>
      </c>
      <c r="C446" s="37" t="s">
        <v>446</v>
      </c>
      <c r="D446" s="44" t="s">
        <v>1108</v>
      </c>
      <c r="E446" s="44"/>
      <c r="F446" s="44" t="s">
        <v>1109</v>
      </c>
      <c r="G446" s="39">
        <v>2</v>
      </c>
      <c r="H446" s="39">
        <v>2</v>
      </c>
      <c r="I446" s="39">
        <v>1</v>
      </c>
      <c r="J446" s="39">
        <v>5</v>
      </c>
      <c r="K446" s="40">
        <v>275</v>
      </c>
      <c r="L446" s="45" t="s">
        <v>1015</v>
      </c>
      <c r="M446" s="41" t="str">
        <f>IF(MasterFees[[#This Row],[GST Basis]]="Excl",MasterFees[[#This Row],[Fee as Printed]],IF(MasterFees[[#This Row],[GST Basis]]="Incl",MasterFees[[#This Row],[Fee as Printed]]/(1+GST_Rate),""))</f>
        <v/>
      </c>
      <c r="N446" s="41" t="str">
        <f>IF(MasterFees[[#This Row],[GST Basis]]="Incl",MasterFees[[#This Row],[Fee as Printed]],IF(MasterFees[[#This Row],[GST Basis]]="Excl",MasterFees[[#This Row],[Fee as Printed]]*(1+GST_Rate),""))</f>
        <v/>
      </c>
      <c r="O446" s="42">
        <f>IF(N(MasterFees[[#This Row],[Total Units]])=0,"",MasterFees[[#This Row],[Fee as Printed]]/MasterFees[[#This Row],[Total Units]])</f>
        <v>55</v>
      </c>
      <c r="P446" s="43"/>
      <c r="Q446" s="46" t="s">
        <v>1013</v>
      </c>
      <c r="R446" s="46" t="s">
        <v>1554</v>
      </c>
      <c r="S446" s="37"/>
    </row>
    <row r="447" spans="1:19" x14ac:dyDescent="0.2">
      <c r="A447" s="36"/>
      <c r="B447" s="38" t="str">
        <f>IF(MasterFees[[#This Row],[RVG Code]]="","",_xlfn.XLOOKUP(MasterFees[[#This Row],[RVG Code]],RVGCodes[Code],RVGCodes[Base Units],"Code not found"))</f>
        <v/>
      </c>
      <c r="C447" s="37" t="s">
        <v>447</v>
      </c>
      <c r="D447" s="44" t="s">
        <v>1108</v>
      </c>
      <c r="E447" s="44"/>
      <c r="F447" s="44" t="s">
        <v>1109</v>
      </c>
      <c r="G447" s="39">
        <v>4</v>
      </c>
      <c r="H447" s="39">
        <v>3</v>
      </c>
      <c r="I447" s="39">
        <v>0.2</v>
      </c>
      <c r="J447" s="39">
        <v>7.2</v>
      </c>
      <c r="K447" s="40">
        <v>393.8</v>
      </c>
      <c r="L447" s="45" t="s">
        <v>1015</v>
      </c>
      <c r="M447" s="41" t="str">
        <f>IF(MasterFees[[#This Row],[GST Basis]]="Excl",MasterFees[[#This Row],[Fee as Printed]],IF(MasterFees[[#This Row],[GST Basis]]="Incl",MasterFees[[#This Row],[Fee as Printed]]/(1+GST_Rate),""))</f>
        <v/>
      </c>
      <c r="N447" s="41" t="str">
        <f>IF(MasterFees[[#This Row],[GST Basis]]="Incl",MasterFees[[#This Row],[Fee as Printed]],IF(MasterFees[[#This Row],[GST Basis]]="Excl",MasterFees[[#This Row],[Fee as Printed]]*(1+GST_Rate),""))</f>
        <v/>
      </c>
      <c r="O447" s="42">
        <f>IF(N(MasterFees[[#This Row],[Total Units]])=0,"",MasterFees[[#This Row],[Fee as Printed]]/MasterFees[[#This Row],[Total Units]])</f>
        <v>54.694444444444443</v>
      </c>
      <c r="P447" s="43"/>
      <c r="Q447" s="46" t="s">
        <v>1013</v>
      </c>
      <c r="R447" s="46" t="s">
        <v>1555</v>
      </c>
      <c r="S447" s="37"/>
    </row>
    <row r="448" spans="1:19" x14ac:dyDescent="0.2">
      <c r="A448" s="36"/>
      <c r="B448" s="38" t="str">
        <f>IF(MasterFees[[#This Row],[RVG Code]]="","",_xlfn.XLOOKUP(MasterFees[[#This Row],[RVG Code]],RVGCodes[Code],RVGCodes[Base Units],"Code not found"))</f>
        <v/>
      </c>
      <c r="C448" s="37" t="s">
        <v>448</v>
      </c>
      <c r="D448" s="44" t="s">
        <v>1108</v>
      </c>
      <c r="E448" s="44"/>
      <c r="F448" s="44" t="s">
        <v>1109</v>
      </c>
      <c r="G448" s="39">
        <v>4</v>
      </c>
      <c r="H448" s="39">
        <v>3</v>
      </c>
      <c r="I448" s="39">
        <v>0</v>
      </c>
      <c r="J448" s="39">
        <v>7</v>
      </c>
      <c r="K448" s="40">
        <v>385</v>
      </c>
      <c r="L448" s="45" t="s">
        <v>1015</v>
      </c>
      <c r="M448" s="41" t="str">
        <f>IF(MasterFees[[#This Row],[GST Basis]]="Excl",MasterFees[[#This Row],[Fee as Printed]],IF(MasterFees[[#This Row],[GST Basis]]="Incl",MasterFees[[#This Row],[Fee as Printed]]/(1+GST_Rate),""))</f>
        <v/>
      </c>
      <c r="N448" s="41" t="str">
        <f>IF(MasterFees[[#This Row],[GST Basis]]="Incl",MasterFees[[#This Row],[Fee as Printed]],IF(MasterFees[[#This Row],[GST Basis]]="Excl",MasterFees[[#This Row],[Fee as Printed]]*(1+GST_Rate),""))</f>
        <v/>
      </c>
      <c r="O448" s="42">
        <f>IF(N(MasterFees[[#This Row],[Total Units]])=0,"",MasterFees[[#This Row],[Fee as Printed]]/MasterFees[[#This Row],[Total Units]])</f>
        <v>55</v>
      </c>
      <c r="P448" s="43"/>
      <c r="Q448" s="46" t="s">
        <v>1013</v>
      </c>
      <c r="R448" s="46" t="s">
        <v>1556</v>
      </c>
      <c r="S448" s="37"/>
    </row>
    <row r="449" spans="1:19" x14ac:dyDescent="0.2">
      <c r="A449" s="36"/>
      <c r="B449" s="38" t="str">
        <f>IF(MasterFees[[#This Row],[RVG Code]]="","",_xlfn.XLOOKUP(MasterFees[[#This Row],[RVG Code]],RVGCodes[Code],RVGCodes[Base Units],"Code not found"))</f>
        <v/>
      </c>
      <c r="C449" s="37" t="s">
        <v>449</v>
      </c>
      <c r="D449" s="44" t="s">
        <v>1108</v>
      </c>
      <c r="E449" s="44"/>
      <c r="F449" s="44" t="s">
        <v>1109</v>
      </c>
      <c r="G449" s="39">
        <v>4.0999999999999996</v>
      </c>
      <c r="H449" s="39">
        <v>3.2</v>
      </c>
      <c r="I449" s="39">
        <v>0.7</v>
      </c>
      <c r="J449" s="39">
        <v>8</v>
      </c>
      <c r="K449" s="40">
        <v>438.9</v>
      </c>
      <c r="L449" s="45" t="s">
        <v>1015</v>
      </c>
      <c r="M449" s="41" t="str">
        <f>IF(MasterFees[[#This Row],[GST Basis]]="Excl",MasterFees[[#This Row],[Fee as Printed]],IF(MasterFees[[#This Row],[GST Basis]]="Incl",MasterFees[[#This Row],[Fee as Printed]]/(1+GST_Rate),""))</f>
        <v/>
      </c>
      <c r="N449" s="41" t="str">
        <f>IF(MasterFees[[#This Row],[GST Basis]]="Incl",MasterFees[[#This Row],[Fee as Printed]],IF(MasterFees[[#This Row],[GST Basis]]="Excl",MasterFees[[#This Row],[Fee as Printed]]*(1+GST_Rate),""))</f>
        <v/>
      </c>
      <c r="O449" s="42">
        <f>IF(N(MasterFees[[#This Row],[Total Units]])=0,"",MasterFees[[#This Row],[Fee as Printed]]/MasterFees[[#This Row],[Total Units]])</f>
        <v>54.862499999999997</v>
      </c>
      <c r="P449" s="43"/>
      <c r="Q449" s="46" t="s">
        <v>1013</v>
      </c>
      <c r="R449" s="46" t="s">
        <v>1557</v>
      </c>
      <c r="S449" s="37"/>
    </row>
    <row r="450" spans="1:19" x14ac:dyDescent="0.2">
      <c r="A450" s="36"/>
      <c r="B450" s="38" t="str">
        <f>IF(MasterFees[[#This Row],[RVG Code]]="","",_xlfn.XLOOKUP(MasterFees[[#This Row],[RVG Code]],RVGCodes[Code],RVGCodes[Base Units],"Code not found"))</f>
        <v/>
      </c>
      <c r="C450" s="37" t="s">
        <v>450</v>
      </c>
      <c r="D450" s="44" t="s">
        <v>1108</v>
      </c>
      <c r="E450" s="44"/>
      <c r="F450" s="44" t="s">
        <v>1109</v>
      </c>
      <c r="G450" s="39">
        <v>8</v>
      </c>
      <c r="H450" s="39">
        <v>7</v>
      </c>
      <c r="I450" s="39">
        <v>0</v>
      </c>
      <c r="J450" s="39">
        <v>15</v>
      </c>
      <c r="K450" s="40">
        <v>825</v>
      </c>
      <c r="L450" s="45" t="s">
        <v>1015</v>
      </c>
      <c r="M450" s="41" t="str">
        <f>IF(MasterFees[[#This Row],[GST Basis]]="Excl",MasterFees[[#This Row],[Fee as Printed]],IF(MasterFees[[#This Row],[GST Basis]]="Incl",MasterFees[[#This Row],[Fee as Printed]]/(1+GST_Rate),""))</f>
        <v/>
      </c>
      <c r="N450" s="41" t="str">
        <f>IF(MasterFees[[#This Row],[GST Basis]]="Incl",MasterFees[[#This Row],[Fee as Printed]],IF(MasterFees[[#This Row],[GST Basis]]="Excl",MasterFees[[#This Row],[Fee as Printed]]*(1+GST_Rate),""))</f>
        <v/>
      </c>
      <c r="O450" s="42">
        <f>IF(N(MasterFees[[#This Row],[Total Units]])=0,"",MasterFees[[#This Row],[Fee as Printed]]/MasterFees[[#This Row],[Total Units]])</f>
        <v>55</v>
      </c>
      <c r="P450" s="43"/>
      <c r="Q450" s="46" t="s">
        <v>1013</v>
      </c>
      <c r="R450" s="46" t="s">
        <v>1558</v>
      </c>
      <c r="S450" s="37"/>
    </row>
    <row r="451" spans="1:19" x14ac:dyDescent="0.2">
      <c r="A451" s="36"/>
      <c r="B451" s="38" t="str">
        <f>IF(MasterFees[[#This Row],[RVG Code]]="","",_xlfn.XLOOKUP(MasterFees[[#This Row],[RVG Code]],RVGCodes[Code],RVGCodes[Base Units],"Code not found"))</f>
        <v/>
      </c>
      <c r="C451" s="37" t="s">
        <v>451</v>
      </c>
      <c r="D451" s="44" t="s">
        <v>1108</v>
      </c>
      <c r="E451" s="44"/>
      <c r="F451" s="44" t="s">
        <v>1109</v>
      </c>
      <c r="G451" s="39">
        <v>8</v>
      </c>
      <c r="H451" s="39">
        <v>11</v>
      </c>
      <c r="I451" s="39">
        <v>0</v>
      </c>
      <c r="J451" s="39">
        <v>19</v>
      </c>
      <c r="K451" s="40">
        <v>1045</v>
      </c>
      <c r="L451" s="45" t="s">
        <v>1015</v>
      </c>
      <c r="M451" s="41" t="str">
        <f>IF(MasterFees[[#This Row],[GST Basis]]="Excl",MasterFees[[#This Row],[Fee as Printed]],IF(MasterFees[[#This Row],[GST Basis]]="Incl",MasterFees[[#This Row],[Fee as Printed]]/(1+GST_Rate),""))</f>
        <v/>
      </c>
      <c r="N451" s="41" t="str">
        <f>IF(MasterFees[[#This Row],[GST Basis]]="Incl",MasterFees[[#This Row],[Fee as Printed]],IF(MasterFees[[#This Row],[GST Basis]]="Excl",MasterFees[[#This Row],[Fee as Printed]]*(1+GST_Rate),""))</f>
        <v/>
      </c>
      <c r="O451" s="42">
        <f>IF(N(MasterFees[[#This Row],[Total Units]])=0,"",MasterFees[[#This Row],[Fee as Printed]]/MasterFees[[#This Row],[Total Units]])</f>
        <v>55</v>
      </c>
      <c r="P451" s="43"/>
      <c r="Q451" s="46" t="s">
        <v>1013</v>
      </c>
      <c r="R451" s="46" t="s">
        <v>1559</v>
      </c>
      <c r="S451" s="37"/>
    </row>
    <row r="452" spans="1:19" x14ac:dyDescent="0.2">
      <c r="A452" s="36"/>
      <c r="B452" s="38" t="str">
        <f>IF(MasterFees[[#This Row],[RVG Code]]="","",_xlfn.XLOOKUP(MasterFees[[#This Row],[RVG Code]],RVGCodes[Code],RVGCodes[Base Units],"Code not found"))</f>
        <v/>
      </c>
      <c r="C452" s="37" t="s">
        <v>452</v>
      </c>
      <c r="D452" s="44" t="s">
        <v>1108</v>
      </c>
      <c r="E452" s="44"/>
      <c r="F452" s="44" t="s">
        <v>1109</v>
      </c>
      <c r="G452" s="39">
        <v>8.9</v>
      </c>
      <c r="H452" s="39">
        <v>9.4</v>
      </c>
      <c r="I452" s="39">
        <v>0.6</v>
      </c>
      <c r="J452" s="39">
        <v>18.899999999999999</v>
      </c>
      <c r="K452" s="40">
        <v>1037.8499999999999</v>
      </c>
      <c r="L452" s="45" t="s">
        <v>1015</v>
      </c>
      <c r="M452" s="41" t="str">
        <f>IF(MasterFees[[#This Row],[GST Basis]]="Excl",MasterFees[[#This Row],[Fee as Printed]],IF(MasterFees[[#This Row],[GST Basis]]="Incl",MasterFees[[#This Row],[Fee as Printed]]/(1+GST_Rate),""))</f>
        <v/>
      </c>
      <c r="N452" s="41" t="str">
        <f>IF(MasterFees[[#This Row],[GST Basis]]="Incl",MasterFees[[#This Row],[Fee as Printed]],IF(MasterFees[[#This Row],[GST Basis]]="Excl",MasterFees[[#This Row],[Fee as Printed]]*(1+GST_Rate),""))</f>
        <v/>
      </c>
      <c r="O452" s="42">
        <f>IF(N(MasterFees[[#This Row],[Total Units]])=0,"",MasterFees[[#This Row],[Fee as Printed]]/MasterFees[[#This Row],[Total Units]])</f>
        <v>54.912698412698411</v>
      </c>
      <c r="P452" s="43"/>
      <c r="Q452" s="46" t="s">
        <v>1013</v>
      </c>
      <c r="R452" s="46" t="s">
        <v>1560</v>
      </c>
      <c r="S452" s="37"/>
    </row>
    <row r="453" spans="1:19" x14ac:dyDescent="0.2">
      <c r="A453" s="36"/>
      <c r="B453" s="38" t="str">
        <f>IF(MasterFees[[#This Row],[RVG Code]]="","",_xlfn.XLOOKUP(MasterFees[[#This Row],[RVG Code]],RVGCodes[Code],RVGCodes[Base Units],"Code not found"))</f>
        <v/>
      </c>
      <c r="C453" s="37" t="s">
        <v>453</v>
      </c>
      <c r="D453" s="44" t="s">
        <v>1108</v>
      </c>
      <c r="E453" s="44"/>
      <c r="F453" s="44" t="s">
        <v>1109</v>
      </c>
      <c r="G453" s="39">
        <v>8</v>
      </c>
      <c r="H453" s="39">
        <v>7.2</v>
      </c>
      <c r="I453" s="39">
        <v>0.8</v>
      </c>
      <c r="J453" s="39">
        <v>16</v>
      </c>
      <c r="K453" s="40">
        <v>880</v>
      </c>
      <c r="L453" s="45" t="s">
        <v>1015</v>
      </c>
      <c r="M453" s="41" t="str">
        <f>IF(MasterFees[[#This Row],[GST Basis]]="Excl",MasterFees[[#This Row],[Fee as Printed]],IF(MasterFees[[#This Row],[GST Basis]]="Incl",MasterFees[[#This Row],[Fee as Printed]]/(1+GST_Rate),""))</f>
        <v/>
      </c>
      <c r="N453" s="41" t="str">
        <f>IF(MasterFees[[#This Row],[GST Basis]]="Incl",MasterFees[[#This Row],[Fee as Printed]],IF(MasterFees[[#This Row],[GST Basis]]="Excl",MasterFees[[#This Row],[Fee as Printed]]*(1+GST_Rate),""))</f>
        <v/>
      </c>
      <c r="O453" s="42">
        <f>IF(N(MasterFees[[#This Row],[Total Units]])=0,"",MasterFees[[#This Row],[Fee as Printed]]/MasterFees[[#This Row],[Total Units]])</f>
        <v>55</v>
      </c>
      <c r="P453" s="43"/>
      <c r="Q453" s="46" t="s">
        <v>1013</v>
      </c>
      <c r="R453" s="46" t="s">
        <v>1561</v>
      </c>
      <c r="S453" s="37"/>
    </row>
    <row r="454" spans="1:19" x14ac:dyDescent="0.2">
      <c r="A454" s="36"/>
      <c r="B454" s="38" t="str">
        <f>IF(MasterFees[[#This Row],[RVG Code]]="","",_xlfn.XLOOKUP(MasterFees[[#This Row],[RVG Code]],RVGCodes[Code],RVGCodes[Base Units],"Code not found"))</f>
        <v/>
      </c>
      <c r="C454" s="37" t="s">
        <v>454</v>
      </c>
      <c r="D454" s="44" t="s">
        <v>1108</v>
      </c>
      <c r="E454" s="44"/>
      <c r="F454" s="44" t="s">
        <v>1109</v>
      </c>
      <c r="G454" s="39">
        <v>3.2</v>
      </c>
      <c r="H454" s="39">
        <v>3.8</v>
      </c>
      <c r="I454" s="39">
        <v>0</v>
      </c>
      <c r="J454" s="39">
        <v>7</v>
      </c>
      <c r="K454" s="40">
        <v>385</v>
      </c>
      <c r="L454" s="45" t="s">
        <v>1015</v>
      </c>
      <c r="M454" s="41" t="str">
        <f>IF(MasterFees[[#This Row],[GST Basis]]="Excl",MasterFees[[#This Row],[Fee as Printed]],IF(MasterFees[[#This Row],[GST Basis]]="Incl",MasterFees[[#This Row],[Fee as Printed]]/(1+GST_Rate),""))</f>
        <v/>
      </c>
      <c r="N454" s="41" t="str">
        <f>IF(MasterFees[[#This Row],[GST Basis]]="Incl",MasterFees[[#This Row],[Fee as Printed]],IF(MasterFees[[#This Row],[GST Basis]]="Excl",MasterFees[[#This Row],[Fee as Printed]]*(1+GST_Rate),""))</f>
        <v/>
      </c>
      <c r="O454" s="42">
        <f>IF(N(MasterFees[[#This Row],[Total Units]])=0,"",MasterFees[[#This Row],[Fee as Printed]]/MasterFees[[#This Row],[Total Units]])</f>
        <v>55</v>
      </c>
      <c r="P454" s="43"/>
      <c r="Q454" s="46" t="s">
        <v>1013</v>
      </c>
      <c r="R454" s="46" t="s">
        <v>1562</v>
      </c>
      <c r="S454" s="37"/>
    </row>
    <row r="455" spans="1:19" x14ac:dyDescent="0.2">
      <c r="A455" s="36"/>
      <c r="B455" s="38" t="str">
        <f>IF(MasterFees[[#This Row],[RVG Code]]="","",_xlfn.XLOOKUP(MasterFees[[#This Row],[RVG Code]],RVGCodes[Code],RVGCodes[Base Units],"Code not found"))</f>
        <v/>
      </c>
      <c r="C455" s="37" t="s">
        <v>455</v>
      </c>
      <c r="D455" s="44" t="s">
        <v>1108</v>
      </c>
      <c r="E455" s="44"/>
      <c r="F455" s="44" t="s">
        <v>1109</v>
      </c>
      <c r="G455" s="39">
        <v>3.9</v>
      </c>
      <c r="H455" s="39">
        <v>3.7</v>
      </c>
      <c r="I455" s="39">
        <v>0.2</v>
      </c>
      <c r="J455" s="39">
        <v>7.7</v>
      </c>
      <c r="K455" s="40">
        <v>425.15</v>
      </c>
      <c r="L455" s="45" t="s">
        <v>1015</v>
      </c>
      <c r="M455" s="41" t="str">
        <f>IF(MasterFees[[#This Row],[GST Basis]]="Excl",MasterFees[[#This Row],[Fee as Printed]],IF(MasterFees[[#This Row],[GST Basis]]="Incl",MasterFees[[#This Row],[Fee as Printed]]/(1+GST_Rate),""))</f>
        <v/>
      </c>
      <c r="N455" s="41" t="str">
        <f>IF(MasterFees[[#This Row],[GST Basis]]="Incl",MasterFees[[#This Row],[Fee as Printed]],IF(MasterFees[[#This Row],[GST Basis]]="Excl",MasterFees[[#This Row],[Fee as Printed]]*(1+GST_Rate),""))</f>
        <v/>
      </c>
      <c r="O455" s="42">
        <f>IF(N(MasterFees[[#This Row],[Total Units]])=0,"",MasterFees[[#This Row],[Fee as Printed]]/MasterFees[[#This Row],[Total Units]])</f>
        <v>55.214285714285708</v>
      </c>
      <c r="P455" s="43"/>
      <c r="Q455" s="46" t="s">
        <v>1013</v>
      </c>
      <c r="R455" s="46" t="s">
        <v>1563</v>
      </c>
      <c r="S455" s="37"/>
    </row>
    <row r="456" spans="1:19" x14ac:dyDescent="0.2">
      <c r="A456" s="36"/>
      <c r="B456" s="38" t="str">
        <f>IF(MasterFees[[#This Row],[RVG Code]]="","",_xlfn.XLOOKUP(MasterFees[[#This Row],[RVG Code]],RVGCodes[Code],RVGCodes[Base Units],"Code not found"))</f>
        <v/>
      </c>
      <c r="C456" s="37" t="s">
        <v>456</v>
      </c>
      <c r="D456" s="44" t="s">
        <v>1108</v>
      </c>
      <c r="E456" s="44"/>
      <c r="F456" s="44" t="s">
        <v>1109</v>
      </c>
      <c r="G456" s="39">
        <v>0</v>
      </c>
      <c r="H456" s="39">
        <v>0</v>
      </c>
      <c r="I456" s="39">
        <v>0</v>
      </c>
      <c r="J456" s="39">
        <v>0</v>
      </c>
      <c r="K456" s="40">
        <v>0</v>
      </c>
      <c r="L456" s="45" t="s">
        <v>1015</v>
      </c>
      <c r="M456" s="41" t="str">
        <f>IF(MasterFees[[#This Row],[GST Basis]]="Excl",MasterFees[[#This Row],[Fee as Printed]],IF(MasterFees[[#This Row],[GST Basis]]="Incl",MasterFees[[#This Row],[Fee as Printed]]/(1+GST_Rate),""))</f>
        <v/>
      </c>
      <c r="N456" s="41" t="str">
        <f>IF(MasterFees[[#This Row],[GST Basis]]="Incl",MasterFees[[#This Row],[Fee as Printed]],IF(MasterFees[[#This Row],[GST Basis]]="Excl",MasterFees[[#This Row],[Fee as Printed]]*(1+GST_Rate),""))</f>
        <v/>
      </c>
      <c r="O456" s="42" t="str">
        <f>IF(N(MasterFees[[#This Row],[Total Units]])=0,"",MasterFees[[#This Row],[Fee as Printed]]/MasterFees[[#This Row],[Total Units]])</f>
        <v/>
      </c>
      <c r="P456" s="43"/>
      <c r="Q456" s="46" t="s">
        <v>1013</v>
      </c>
      <c r="R456" s="46" t="s">
        <v>1564</v>
      </c>
      <c r="S456" s="37"/>
    </row>
    <row r="457" spans="1:19" x14ac:dyDescent="0.2">
      <c r="A457" s="36"/>
      <c r="B457" s="38" t="str">
        <f>IF(MasterFees[[#This Row],[RVG Code]]="","",_xlfn.XLOOKUP(MasterFees[[#This Row],[RVG Code]],RVGCodes[Code],RVGCodes[Base Units],"Code not found"))</f>
        <v/>
      </c>
      <c r="C457" s="37" t="s">
        <v>457</v>
      </c>
      <c r="D457" s="44" t="s">
        <v>1108</v>
      </c>
      <c r="E457" s="44"/>
      <c r="F457" s="44" t="s">
        <v>1109</v>
      </c>
      <c r="G457" s="39">
        <v>8</v>
      </c>
      <c r="H457" s="39">
        <v>9.3000000000000007</v>
      </c>
      <c r="I457" s="39">
        <v>1.1000000000000001</v>
      </c>
      <c r="J457" s="39">
        <v>18.399999999999999</v>
      </c>
      <c r="K457" s="40">
        <v>1011.45</v>
      </c>
      <c r="L457" s="45" t="s">
        <v>1015</v>
      </c>
      <c r="M457" s="41" t="str">
        <f>IF(MasterFees[[#This Row],[GST Basis]]="Excl",MasterFees[[#This Row],[Fee as Printed]],IF(MasterFees[[#This Row],[GST Basis]]="Incl",MasterFees[[#This Row],[Fee as Printed]]/(1+GST_Rate),""))</f>
        <v/>
      </c>
      <c r="N457" s="41" t="str">
        <f>IF(MasterFees[[#This Row],[GST Basis]]="Incl",MasterFees[[#This Row],[Fee as Printed]],IF(MasterFees[[#This Row],[GST Basis]]="Excl",MasterFees[[#This Row],[Fee as Printed]]*(1+GST_Rate),""))</f>
        <v/>
      </c>
      <c r="O457" s="42">
        <f>IF(N(MasterFees[[#This Row],[Total Units]])=0,"",MasterFees[[#This Row],[Fee as Printed]]/MasterFees[[#This Row],[Total Units]])</f>
        <v>54.970108695652179</v>
      </c>
      <c r="P457" s="43"/>
      <c r="Q457" s="46" t="s">
        <v>1013</v>
      </c>
      <c r="R457" s="46" t="s">
        <v>1565</v>
      </c>
      <c r="S457" s="37"/>
    </row>
    <row r="458" spans="1:19" x14ac:dyDescent="0.2">
      <c r="A458" s="36"/>
      <c r="B458" s="38" t="str">
        <f>IF(MasterFees[[#This Row],[RVG Code]]="","",_xlfn.XLOOKUP(MasterFees[[#This Row],[RVG Code]],RVGCodes[Code],RVGCodes[Base Units],"Code not found"))</f>
        <v/>
      </c>
      <c r="C458" s="37" t="s">
        <v>458</v>
      </c>
      <c r="D458" s="44" t="s">
        <v>1108</v>
      </c>
      <c r="E458" s="44"/>
      <c r="F458" s="44" t="s">
        <v>1109</v>
      </c>
      <c r="G458" s="39">
        <v>5.0999999999999996</v>
      </c>
      <c r="H458" s="39">
        <v>4.5</v>
      </c>
      <c r="I458" s="39">
        <v>0.9</v>
      </c>
      <c r="J458" s="39">
        <v>10.4</v>
      </c>
      <c r="K458" s="40">
        <v>572</v>
      </c>
      <c r="L458" s="45" t="s">
        <v>1015</v>
      </c>
      <c r="M458" s="41" t="str">
        <f>IF(MasterFees[[#This Row],[GST Basis]]="Excl",MasterFees[[#This Row],[Fee as Printed]],IF(MasterFees[[#This Row],[GST Basis]]="Incl",MasterFees[[#This Row],[Fee as Printed]]/(1+GST_Rate),""))</f>
        <v/>
      </c>
      <c r="N458" s="41" t="str">
        <f>IF(MasterFees[[#This Row],[GST Basis]]="Incl",MasterFees[[#This Row],[Fee as Printed]],IF(MasterFees[[#This Row],[GST Basis]]="Excl",MasterFees[[#This Row],[Fee as Printed]]*(1+GST_Rate),""))</f>
        <v/>
      </c>
      <c r="O458" s="42">
        <f>IF(N(MasterFees[[#This Row],[Total Units]])=0,"",MasterFees[[#This Row],[Fee as Printed]]/MasterFees[[#This Row],[Total Units]])</f>
        <v>55</v>
      </c>
      <c r="P458" s="43"/>
      <c r="Q458" s="46" t="s">
        <v>1013</v>
      </c>
      <c r="R458" s="46" t="s">
        <v>1566</v>
      </c>
      <c r="S458" s="37"/>
    </row>
    <row r="459" spans="1:19" x14ac:dyDescent="0.2">
      <c r="A459" s="36"/>
      <c r="B459" s="38" t="str">
        <f>IF(MasterFees[[#This Row],[RVG Code]]="","",_xlfn.XLOOKUP(MasterFees[[#This Row],[RVG Code]],RVGCodes[Code],RVGCodes[Base Units],"Code not found"))</f>
        <v/>
      </c>
      <c r="C459" s="37" t="s">
        <v>459</v>
      </c>
      <c r="D459" s="44" t="s">
        <v>1108</v>
      </c>
      <c r="E459" s="44"/>
      <c r="F459" s="44" t="s">
        <v>1109</v>
      </c>
      <c r="G459" s="39">
        <v>8</v>
      </c>
      <c r="H459" s="39">
        <v>9.3000000000000007</v>
      </c>
      <c r="I459" s="39">
        <v>2</v>
      </c>
      <c r="J459" s="39">
        <v>19.3</v>
      </c>
      <c r="K459" s="40">
        <v>1058.75</v>
      </c>
      <c r="L459" s="45" t="s">
        <v>1015</v>
      </c>
      <c r="M459" s="41" t="str">
        <f>IF(MasterFees[[#This Row],[GST Basis]]="Excl",MasterFees[[#This Row],[Fee as Printed]],IF(MasterFees[[#This Row],[GST Basis]]="Incl",MasterFees[[#This Row],[Fee as Printed]]/(1+GST_Rate),""))</f>
        <v/>
      </c>
      <c r="N459" s="41" t="str">
        <f>IF(MasterFees[[#This Row],[GST Basis]]="Incl",MasterFees[[#This Row],[Fee as Printed]],IF(MasterFees[[#This Row],[GST Basis]]="Excl",MasterFees[[#This Row],[Fee as Printed]]*(1+GST_Rate),""))</f>
        <v/>
      </c>
      <c r="O459" s="42">
        <f>IF(N(MasterFees[[#This Row],[Total Units]])=0,"",MasterFees[[#This Row],[Fee as Printed]]/MasterFees[[#This Row],[Total Units]])</f>
        <v>54.857512953367873</v>
      </c>
      <c r="P459" s="43"/>
      <c r="Q459" s="46" t="s">
        <v>1013</v>
      </c>
      <c r="R459" s="46" t="s">
        <v>1567</v>
      </c>
      <c r="S459" s="37"/>
    </row>
    <row r="460" spans="1:19" x14ac:dyDescent="0.2">
      <c r="A460" s="36"/>
      <c r="B460" s="38" t="str">
        <f>IF(MasterFees[[#This Row],[RVG Code]]="","",_xlfn.XLOOKUP(MasterFees[[#This Row],[RVG Code]],RVGCodes[Code],RVGCodes[Base Units],"Code not found"))</f>
        <v/>
      </c>
      <c r="C460" s="37" t="s">
        <v>460</v>
      </c>
      <c r="D460" s="44" t="s">
        <v>1108</v>
      </c>
      <c r="E460" s="44"/>
      <c r="F460" s="44" t="s">
        <v>1109</v>
      </c>
      <c r="G460" s="39">
        <v>4</v>
      </c>
      <c r="H460" s="39">
        <v>2</v>
      </c>
      <c r="I460" s="39">
        <v>0</v>
      </c>
      <c r="J460" s="39">
        <v>6</v>
      </c>
      <c r="K460" s="40">
        <v>330</v>
      </c>
      <c r="L460" s="45" t="s">
        <v>1015</v>
      </c>
      <c r="M460" s="41" t="str">
        <f>IF(MasterFees[[#This Row],[GST Basis]]="Excl",MasterFees[[#This Row],[Fee as Printed]],IF(MasterFees[[#This Row],[GST Basis]]="Incl",MasterFees[[#This Row],[Fee as Printed]]/(1+GST_Rate),""))</f>
        <v/>
      </c>
      <c r="N460" s="41" t="str">
        <f>IF(MasterFees[[#This Row],[GST Basis]]="Incl",MasterFees[[#This Row],[Fee as Printed]],IF(MasterFees[[#This Row],[GST Basis]]="Excl",MasterFees[[#This Row],[Fee as Printed]]*(1+GST_Rate),""))</f>
        <v/>
      </c>
      <c r="O460" s="42">
        <f>IF(N(MasterFees[[#This Row],[Total Units]])=0,"",MasterFees[[#This Row],[Fee as Printed]]/MasterFees[[#This Row],[Total Units]])</f>
        <v>55</v>
      </c>
      <c r="P460" s="43"/>
      <c r="Q460" s="46" t="s">
        <v>1013</v>
      </c>
      <c r="R460" s="46" t="s">
        <v>1568</v>
      </c>
      <c r="S460" s="37"/>
    </row>
    <row r="461" spans="1:19" x14ac:dyDescent="0.2">
      <c r="A461" s="36"/>
      <c r="B461" s="38" t="str">
        <f>IF(MasterFees[[#This Row],[RVG Code]]="","",_xlfn.XLOOKUP(MasterFees[[#This Row],[RVG Code]],RVGCodes[Code],RVGCodes[Base Units],"Code not found"))</f>
        <v/>
      </c>
      <c r="C461" s="37" t="s">
        <v>461</v>
      </c>
      <c r="D461" s="44" t="s">
        <v>1108</v>
      </c>
      <c r="E461" s="44"/>
      <c r="F461" s="44" t="s">
        <v>1109</v>
      </c>
      <c r="G461" s="39">
        <v>6.4</v>
      </c>
      <c r="H461" s="39">
        <v>4.8</v>
      </c>
      <c r="I461" s="39">
        <v>0.9</v>
      </c>
      <c r="J461" s="39">
        <v>12.1</v>
      </c>
      <c r="K461" s="40">
        <v>666.05</v>
      </c>
      <c r="L461" s="45" t="s">
        <v>1015</v>
      </c>
      <c r="M461" s="41" t="str">
        <f>IF(MasterFees[[#This Row],[GST Basis]]="Excl",MasterFees[[#This Row],[Fee as Printed]],IF(MasterFees[[#This Row],[GST Basis]]="Incl",MasterFees[[#This Row],[Fee as Printed]]/(1+GST_Rate),""))</f>
        <v/>
      </c>
      <c r="N461" s="41" t="str">
        <f>IF(MasterFees[[#This Row],[GST Basis]]="Incl",MasterFees[[#This Row],[Fee as Printed]],IF(MasterFees[[#This Row],[GST Basis]]="Excl",MasterFees[[#This Row],[Fee as Printed]]*(1+GST_Rate),""))</f>
        <v/>
      </c>
      <c r="O461" s="42">
        <f>IF(N(MasterFees[[#This Row],[Total Units]])=0,"",MasterFees[[#This Row],[Fee as Printed]]/MasterFees[[#This Row],[Total Units]])</f>
        <v>55.045454545454547</v>
      </c>
      <c r="P461" s="43"/>
      <c r="Q461" s="46" t="s">
        <v>1013</v>
      </c>
      <c r="R461" s="46" t="s">
        <v>1569</v>
      </c>
      <c r="S461" s="37"/>
    </row>
    <row r="462" spans="1:19" x14ac:dyDescent="0.2">
      <c r="A462" s="36"/>
      <c r="B462" s="38" t="str">
        <f>IF(MasterFees[[#This Row],[RVG Code]]="","",_xlfn.XLOOKUP(MasterFees[[#This Row],[RVG Code]],RVGCodes[Code],RVGCodes[Base Units],"Code not found"))</f>
        <v/>
      </c>
      <c r="C462" s="37" t="s">
        <v>462</v>
      </c>
      <c r="D462" s="44" t="s">
        <v>1108</v>
      </c>
      <c r="E462" s="44"/>
      <c r="F462" s="44" t="s">
        <v>1109</v>
      </c>
      <c r="G462" s="39">
        <v>6</v>
      </c>
      <c r="H462" s="39">
        <v>6</v>
      </c>
      <c r="I462" s="39">
        <v>0.2</v>
      </c>
      <c r="J462" s="39">
        <v>12.2</v>
      </c>
      <c r="K462" s="40">
        <v>669.35</v>
      </c>
      <c r="L462" s="45" t="s">
        <v>1015</v>
      </c>
      <c r="M462" s="41" t="str">
        <f>IF(MasterFees[[#This Row],[GST Basis]]="Excl",MasterFees[[#This Row],[Fee as Printed]],IF(MasterFees[[#This Row],[GST Basis]]="Incl",MasterFees[[#This Row],[Fee as Printed]]/(1+GST_Rate),""))</f>
        <v/>
      </c>
      <c r="N462" s="41" t="str">
        <f>IF(MasterFees[[#This Row],[GST Basis]]="Incl",MasterFees[[#This Row],[Fee as Printed]],IF(MasterFees[[#This Row],[GST Basis]]="Excl",MasterFees[[#This Row],[Fee as Printed]]*(1+GST_Rate),""))</f>
        <v/>
      </c>
      <c r="O462" s="42">
        <f>IF(N(MasterFees[[#This Row],[Total Units]])=0,"",MasterFees[[#This Row],[Fee as Printed]]/MasterFees[[#This Row],[Total Units]])</f>
        <v>54.864754098360663</v>
      </c>
      <c r="P462" s="43"/>
      <c r="Q462" s="46" t="s">
        <v>1013</v>
      </c>
      <c r="R462" s="46" t="s">
        <v>1570</v>
      </c>
      <c r="S462" s="37"/>
    </row>
    <row r="463" spans="1:19" x14ac:dyDescent="0.2">
      <c r="A463" s="36"/>
      <c r="B463" s="38" t="str">
        <f>IF(MasterFees[[#This Row],[RVG Code]]="","",_xlfn.XLOOKUP(MasterFees[[#This Row],[RVG Code]],RVGCodes[Code],RVGCodes[Base Units],"Code not found"))</f>
        <v/>
      </c>
      <c r="C463" s="37" t="s">
        <v>463</v>
      </c>
      <c r="D463" s="44" t="s">
        <v>1108</v>
      </c>
      <c r="E463" s="44"/>
      <c r="F463" s="44" t="s">
        <v>1109</v>
      </c>
      <c r="G463" s="39">
        <v>5.7</v>
      </c>
      <c r="H463" s="39">
        <v>5.3</v>
      </c>
      <c r="I463" s="39">
        <v>0.7</v>
      </c>
      <c r="J463" s="39">
        <v>11.6</v>
      </c>
      <c r="K463" s="40">
        <v>636.35</v>
      </c>
      <c r="L463" s="45" t="s">
        <v>1015</v>
      </c>
      <c r="M463" s="41" t="str">
        <f>IF(MasterFees[[#This Row],[GST Basis]]="Excl",MasterFees[[#This Row],[Fee as Printed]],IF(MasterFees[[#This Row],[GST Basis]]="Incl",MasterFees[[#This Row],[Fee as Printed]]/(1+GST_Rate),""))</f>
        <v/>
      </c>
      <c r="N463" s="41" t="str">
        <f>IF(MasterFees[[#This Row],[GST Basis]]="Incl",MasterFees[[#This Row],[Fee as Printed]],IF(MasterFees[[#This Row],[GST Basis]]="Excl",MasterFees[[#This Row],[Fee as Printed]]*(1+GST_Rate),""))</f>
        <v/>
      </c>
      <c r="O463" s="42">
        <f>IF(N(MasterFees[[#This Row],[Total Units]])=0,"",MasterFees[[#This Row],[Fee as Printed]]/MasterFees[[#This Row],[Total Units]])</f>
        <v>54.857758620689658</v>
      </c>
      <c r="P463" s="43"/>
      <c r="Q463" s="46" t="s">
        <v>1013</v>
      </c>
      <c r="R463" s="46" t="s">
        <v>1571</v>
      </c>
      <c r="S463" s="37"/>
    </row>
    <row r="464" spans="1:19" x14ac:dyDescent="0.2">
      <c r="A464" s="36"/>
      <c r="B464" s="38" t="str">
        <f>IF(MasterFees[[#This Row],[RVG Code]]="","",_xlfn.XLOOKUP(MasterFees[[#This Row],[RVG Code]],RVGCodes[Code],RVGCodes[Base Units],"Code not found"))</f>
        <v/>
      </c>
      <c r="C464" s="37" t="s">
        <v>464</v>
      </c>
      <c r="D464" s="44" t="s">
        <v>1108</v>
      </c>
      <c r="E464" s="44"/>
      <c r="F464" s="44" t="s">
        <v>1109</v>
      </c>
      <c r="G464" s="39">
        <v>7.1</v>
      </c>
      <c r="H464" s="39">
        <v>8.1999999999999993</v>
      </c>
      <c r="I464" s="39">
        <v>0.6</v>
      </c>
      <c r="J464" s="39">
        <v>15.9</v>
      </c>
      <c r="K464" s="40">
        <v>873.95</v>
      </c>
      <c r="L464" s="45" t="s">
        <v>1015</v>
      </c>
      <c r="M464" s="41" t="str">
        <f>IF(MasterFees[[#This Row],[GST Basis]]="Excl",MasterFees[[#This Row],[Fee as Printed]],IF(MasterFees[[#This Row],[GST Basis]]="Incl",MasterFees[[#This Row],[Fee as Printed]]/(1+GST_Rate),""))</f>
        <v/>
      </c>
      <c r="N464" s="41" t="str">
        <f>IF(MasterFees[[#This Row],[GST Basis]]="Incl",MasterFees[[#This Row],[Fee as Printed]],IF(MasterFees[[#This Row],[GST Basis]]="Excl",MasterFees[[#This Row],[Fee as Printed]]*(1+GST_Rate),""))</f>
        <v/>
      </c>
      <c r="O464" s="42">
        <f>IF(N(MasterFees[[#This Row],[Total Units]])=0,"",MasterFees[[#This Row],[Fee as Printed]]/MasterFees[[#This Row],[Total Units]])</f>
        <v>54.965408805031451</v>
      </c>
      <c r="P464" s="43"/>
      <c r="Q464" s="46" t="s">
        <v>1013</v>
      </c>
      <c r="R464" s="46" t="s">
        <v>1572</v>
      </c>
      <c r="S464" s="37"/>
    </row>
    <row r="465" spans="1:19" x14ac:dyDescent="0.2">
      <c r="A465" s="36"/>
      <c r="B465" s="38" t="str">
        <f>IF(MasterFees[[#This Row],[RVG Code]]="","",_xlfn.XLOOKUP(MasterFees[[#This Row],[RVG Code]],RVGCodes[Code],RVGCodes[Base Units],"Code not found"))</f>
        <v/>
      </c>
      <c r="C465" s="37" t="s">
        <v>465</v>
      </c>
      <c r="D465" s="44" t="s">
        <v>1108</v>
      </c>
      <c r="E465" s="44"/>
      <c r="F465" s="44" t="s">
        <v>1109</v>
      </c>
      <c r="G465" s="39">
        <v>6</v>
      </c>
      <c r="H465" s="39">
        <v>5.8</v>
      </c>
      <c r="I465" s="39">
        <v>0.7</v>
      </c>
      <c r="J465" s="39">
        <v>12.4</v>
      </c>
      <c r="K465" s="40">
        <v>684.2</v>
      </c>
      <c r="L465" s="45" t="s">
        <v>1015</v>
      </c>
      <c r="M465" s="41" t="str">
        <f>IF(MasterFees[[#This Row],[GST Basis]]="Excl",MasterFees[[#This Row],[Fee as Printed]],IF(MasterFees[[#This Row],[GST Basis]]="Incl",MasterFees[[#This Row],[Fee as Printed]]/(1+GST_Rate),""))</f>
        <v/>
      </c>
      <c r="N465" s="41" t="str">
        <f>IF(MasterFees[[#This Row],[GST Basis]]="Incl",MasterFees[[#This Row],[Fee as Printed]],IF(MasterFees[[#This Row],[GST Basis]]="Excl",MasterFees[[#This Row],[Fee as Printed]]*(1+GST_Rate),""))</f>
        <v/>
      </c>
      <c r="O465" s="42">
        <f>IF(N(MasterFees[[#This Row],[Total Units]])=0,"",MasterFees[[#This Row],[Fee as Printed]]/MasterFees[[#This Row],[Total Units]])</f>
        <v>55.177419354838712</v>
      </c>
      <c r="P465" s="43"/>
      <c r="Q465" s="46" t="s">
        <v>1013</v>
      </c>
      <c r="R465" s="46" t="s">
        <v>1573</v>
      </c>
      <c r="S465" s="37"/>
    </row>
    <row r="466" spans="1:19" x14ac:dyDescent="0.2">
      <c r="A466" s="36"/>
      <c r="B466" s="38" t="str">
        <f>IF(MasterFees[[#This Row],[RVG Code]]="","",_xlfn.XLOOKUP(MasterFees[[#This Row],[RVG Code]],RVGCodes[Code],RVGCodes[Base Units],"Code not found"))</f>
        <v/>
      </c>
      <c r="C466" s="37" t="s">
        <v>466</v>
      </c>
      <c r="D466" s="44" t="s">
        <v>1108</v>
      </c>
      <c r="E466" s="44"/>
      <c r="F466" s="44" t="s">
        <v>1109</v>
      </c>
      <c r="G466" s="39">
        <v>6.2</v>
      </c>
      <c r="H466" s="39">
        <v>5.6</v>
      </c>
      <c r="I466" s="39">
        <v>0.8</v>
      </c>
      <c r="J466" s="39">
        <v>12.6</v>
      </c>
      <c r="K466" s="40">
        <v>693</v>
      </c>
      <c r="L466" s="45" t="s">
        <v>1015</v>
      </c>
      <c r="M466" s="41" t="str">
        <f>IF(MasterFees[[#This Row],[GST Basis]]="Excl",MasterFees[[#This Row],[Fee as Printed]],IF(MasterFees[[#This Row],[GST Basis]]="Incl",MasterFees[[#This Row],[Fee as Printed]]/(1+GST_Rate),""))</f>
        <v/>
      </c>
      <c r="N466" s="41" t="str">
        <f>IF(MasterFees[[#This Row],[GST Basis]]="Incl",MasterFees[[#This Row],[Fee as Printed]],IF(MasterFees[[#This Row],[GST Basis]]="Excl",MasterFees[[#This Row],[Fee as Printed]]*(1+GST_Rate),""))</f>
        <v/>
      </c>
      <c r="O466" s="42">
        <f>IF(N(MasterFees[[#This Row],[Total Units]])=0,"",MasterFees[[#This Row],[Fee as Printed]]/MasterFees[[#This Row],[Total Units]])</f>
        <v>55</v>
      </c>
      <c r="P466" s="43"/>
      <c r="Q466" s="46" t="s">
        <v>1013</v>
      </c>
      <c r="R466" s="46" t="s">
        <v>1574</v>
      </c>
      <c r="S466" s="37"/>
    </row>
    <row r="467" spans="1:19" x14ac:dyDescent="0.2">
      <c r="A467" s="36"/>
      <c r="B467" s="38" t="str">
        <f>IF(MasterFees[[#This Row],[RVG Code]]="","",_xlfn.XLOOKUP(MasterFees[[#This Row],[RVG Code]],RVGCodes[Code],RVGCodes[Base Units],"Code not found"))</f>
        <v/>
      </c>
      <c r="C467" s="37" t="s">
        <v>467</v>
      </c>
      <c r="D467" s="44" t="s">
        <v>1108</v>
      </c>
      <c r="E467" s="44"/>
      <c r="F467" s="44" t="s">
        <v>1109</v>
      </c>
      <c r="G467" s="39">
        <v>6</v>
      </c>
      <c r="H467" s="39">
        <v>6</v>
      </c>
      <c r="I467" s="39">
        <v>0</v>
      </c>
      <c r="J467" s="39">
        <v>12</v>
      </c>
      <c r="K467" s="40">
        <v>660</v>
      </c>
      <c r="L467" s="45" t="s">
        <v>1015</v>
      </c>
      <c r="M467" s="41" t="str">
        <f>IF(MasterFees[[#This Row],[GST Basis]]="Excl",MasterFees[[#This Row],[Fee as Printed]],IF(MasterFees[[#This Row],[GST Basis]]="Incl",MasterFees[[#This Row],[Fee as Printed]]/(1+GST_Rate),""))</f>
        <v/>
      </c>
      <c r="N467" s="41" t="str">
        <f>IF(MasterFees[[#This Row],[GST Basis]]="Incl",MasterFees[[#This Row],[Fee as Printed]],IF(MasterFees[[#This Row],[GST Basis]]="Excl",MasterFees[[#This Row],[Fee as Printed]]*(1+GST_Rate),""))</f>
        <v/>
      </c>
      <c r="O467" s="42">
        <f>IF(N(MasterFees[[#This Row],[Total Units]])=0,"",MasterFees[[#This Row],[Fee as Printed]]/MasterFees[[#This Row],[Total Units]])</f>
        <v>55</v>
      </c>
      <c r="P467" s="43"/>
      <c r="Q467" s="46" t="s">
        <v>1013</v>
      </c>
      <c r="R467" s="46" t="s">
        <v>1575</v>
      </c>
      <c r="S467" s="37"/>
    </row>
    <row r="468" spans="1:19" x14ac:dyDescent="0.2">
      <c r="A468" s="36"/>
      <c r="B468" s="38" t="str">
        <f>IF(MasterFees[[#This Row],[RVG Code]]="","",_xlfn.XLOOKUP(MasterFees[[#This Row],[RVG Code]],RVGCodes[Code],RVGCodes[Base Units],"Code not found"))</f>
        <v/>
      </c>
      <c r="C468" s="37" t="s">
        <v>468</v>
      </c>
      <c r="D468" s="44" t="s">
        <v>1108</v>
      </c>
      <c r="E468" s="44"/>
      <c r="F468" s="44" t="s">
        <v>1109</v>
      </c>
      <c r="G468" s="39">
        <v>6</v>
      </c>
      <c r="H468" s="39">
        <v>6.6</v>
      </c>
      <c r="I468" s="39">
        <v>0.6</v>
      </c>
      <c r="J468" s="39">
        <v>13.2</v>
      </c>
      <c r="K468" s="40">
        <v>728.2</v>
      </c>
      <c r="L468" s="45" t="s">
        <v>1015</v>
      </c>
      <c r="M468" s="41" t="str">
        <f>IF(MasterFees[[#This Row],[GST Basis]]="Excl",MasterFees[[#This Row],[Fee as Printed]],IF(MasterFees[[#This Row],[GST Basis]]="Incl",MasterFees[[#This Row],[Fee as Printed]]/(1+GST_Rate),""))</f>
        <v/>
      </c>
      <c r="N468" s="41" t="str">
        <f>IF(MasterFees[[#This Row],[GST Basis]]="Incl",MasterFees[[#This Row],[Fee as Printed]],IF(MasterFees[[#This Row],[GST Basis]]="Excl",MasterFees[[#This Row],[Fee as Printed]]*(1+GST_Rate),""))</f>
        <v/>
      </c>
      <c r="O468" s="42">
        <f>IF(N(MasterFees[[#This Row],[Total Units]])=0,"",MasterFees[[#This Row],[Fee as Printed]]/MasterFees[[#This Row],[Total Units]])</f>
        <v>55.166666666666671</v>
      </c>
      <c r="P468" s="43"/>
      <c r="Q468" s="46" t="s">
        <v>1013</v>
      </c>
      <c r="R468" s="46" t="s">
        <v>1576</v>
      </c>
      <c r="S468" s="37"/>
    </row>
    <row r="469" spans="1:19" x14ac:dyDescent="0.2">
      <c r="A469" s="36"/>
      <c r="B469" s="38" t="str">
        <f>IF(MasterFees[[#This Row],[RVG Code]]="","",_xlfn.XLOOKUP(MasterFees[[#This Row],[RVG Code]],RVGCodes[Code],RVGCodes[Base Units],"Code not found"))</f>
        <v/>
      </c>
      <c r="C469" s="37" t="s">
        <v>469</v>
      </c>
      <c r="D469" s="44" t="s">
        <v>1108</v>
      </c>
      <c r="E469" s="44"/>
      <c r="F469" s="44" t="s">
        <v>1109</v>
      </c>
      <c r="G469" s="39">
        <v>6</v>
      </c>
      <c r="H469" s="39">
        <v>6.4</v>
      </c>
      <c r="I469" s="39">
        <v>0.6</v>
      </c>
      <c r="J469" s="39">
        <v>13</v>
      </c>
      <c r="K469" s="40">
        <v>712.8</v>
      </c>
      <c r="L469" s="45" t="s">
        <v>1015</v>
      </c>
      <c r="M469" s="41" t="str">
        <f>IF(MasterFees[[#This Row],[GST Basis]]="Excl",MasterFees[[#This Row],[Fee as Printed]],IF(MasterFees[[#This Row],[GST Basis]]="Incl",MasterFees[[#This Row],[Fee as Printed]]/(1+GST_Rate),""))</f>
        <v/>
      </c>
      <c r="N469" s="41" t="str">
        <f>IF(MasterFees[[#This Row],[GST Basis]]="Incl",MasterFees[[#This Row],[Fee as Printed]],IF(MasterFees[[#This Row],[GST Basis]]="Excl",MasterFees[[#This Row],[Fee as Printed]]*(1+GST_Rate),""))</f>
        <v/>
      </c>
      <c r="O469" s="42">
        <f>IF(N(MasterFees[[#This Row],[Total Units]])=0,"",MasterFees[[#This Row],[Fee as Printed]]/MasterFees[[#This Row],[Total Units]])</f>
        <v>54.830769230769228</v>
      </c>
      <c r="P469" s="43"/>
      <c r="Q469" s="46" t="s">
        <v>1013</v>
      </c>
      <c r="R469" s="46" t="s">
        <v>1577</v>
      </c>
      <c r="S469" s="37"/>
    </row>
    <row r="470" spans="1:19" x14ac:dyDescent="0.2">
      <c r="A470" s="36"/>
      <c r="B470" s="38" t="str">
        <f>IF(MasterFees[[#This Row],[RVG Code]]="","",_xlfn.XLOOKUP(MasterFees[[#This Row],[RVG Code]],RVGCodes[Code],RVGCodes[Base Units],"Code not found"))</f>
        <v/>
      </c>
      <c r="C470" s="37" t="s">
        <v>470</v>
      </c>
      <c r="D470" s="44" t="s">
        <v>1108</v>
      </c>
      <c r="E470" s="44"/>
      <c r="F470" s="44" t="s">
        <v>1109</v>
      </c>
      <c r="G470" s="39">
        <v>8</v>
      </c>
      <c r="H470" s="39">
        <v>7</v>
      </c>
      <c r="I470" s="39">
        <v>3</v>
      </c>
      <c r="J470" s="39">
        <v>18</v>
      </c>
      <c r="K470" s="40">
        <v>990</v>
      </c>
      <c r="L470" s="45" t="s">
        <v>1015</v>
      </c>
      <c r="M470" s="41" t="str">
        <f>IF(MasterFees[[#This Row],[GST Basis]]="Excl",MasterFees[[#This Row],[Fee as Printed]],IF(MasterFees[[#This Row],[GST Basis]]="Incl",MasterFees[[#This Row],[Fee as Printed]]/(1+GST_Rate),""))</f>
        <v/>
      </c>
      <c r="N470" s="41" t="str">
        <f>IF(MasterFees[[#This Row],[GST Basis]]="Incl",MasterFees[[#This Row],[Fee as Printed]],IF(MasterFees[[#This Row],[GST Basis]]="Excl",MasterFees[[#This Row],[Fee as Printed]]*(1+GST_Rate),""))</f>
        <v/>
      </c>
      <c r="O470" s="42">
        <f>IF(N(MasterFees[[#This Row],[Total Units]])=0,"",MasterFees[[#This Row],[Fee as Printed]]/MasterFees[[#This Row],[Total Units]])</f>
        <v>55</v>
      </c>
      <c r="P470" s="43"/>
      <c r="Q470" s="46" t="s">
        <v>1013</v>
      </c>
      <c r="R470" s="46" t="s">
        <v>1578</v>
      </c>
      <c r="S470" s="37"/>
    </row>
    <row r="471" spans="1:19" x14ac:dyDescent="0.2">
      <c r="A471" s="36"/>
      <c r="B471" s="38" t="str">
        <f>IF(MasterFees[[#This Row],[RVG Code]]="","",_xlfn.XLOOKUP(MasterFees[[#This Row],[RVG Code]],RVGCodes[Code],RVGCodes[Base Units],"Code not found"))</f>
        <v/>
      </c>
      <c r="C471" s="37" t="s">
        <v>471</v>
      </c>
      <c r="D471" s="44" t="s">
        <v>1108</v>
      </c>
      <c r="E471" s="44"/>
      <c r="F471" s="44" t="s">
        <v>1109</v>
      </c>
      <c r="G471" s="39">
        <v>6</v>
      </c>
      <c r="H471" s="39">
        <v>5</v>
      </c>
      <c r="I471" s="39">
        <v>1</v>
      </c>
      <c r="J471" s="39">
        <v>12</v>
      </c>
      <c r="K471" s="40">
        <v>660</v>
      </c>
      <c r="L471" s="45" t="s">
        <v>1015</v>
      </c>
      <c r="M471" s="41" t="str">
        <f>IF(MasterFees[[#This Row],[GST Basis]]="Excl",MasterFees[[#This Row],[Fee as Printed]],IF(MasterFees[[#This Row],[GST Basis]]="Incl",MasterFees[[#This Row],[Fee as Printed]]/(1+GST_Rate),""))</f>
        <v/>
      </c>
      <c r="N471" s="41" t="str">
        <f>IF(MasterFees[[#This Row],[GST Basis]]="Incl",MasterFees[[#This Row],[Fee as Printed]],IF(MasterFees[[#This Row],[GST Basis]]="Excl",MasterFees[[#This Row],[Fee as Printed]]*(1+GST_Rate),""))</f>
        <v/>
      </c>
      <c r="O471" s="42">
        <f>IF(N(MasterFees[[#This Row],[Total Units]])=0,"",MasterFees[[#This Row],[Fee as Printed]]/MasterFees[[#This Row],[Total Units]])</f>
        <v>55</v>
      </c>
      <c r="P471" s="43"/>
      <c r="Q471" s="46" t="s">
        <v>1013</v>
      </c>
      <c r="R471" s="46" t="s">
        <v>1579</v>
      </c>
      <c r="S471" s="37"/>
    </row>
    <row r="472" spans="1:19" x14ac:dyDescent="0.2">
      <c r="A472" s="36"/>
      <c r="B472" s="38" t="str">
        <f>IF(MasterFees[[#This Row],[RVG Code]]="","",_xlfn.XLOOKUP(MasterFees[[#This Row],[RVG Code]],RVGCodes[Code],RVGCodes[Base Units],"Code not found"))</f>
        <v/>
      </c>
      <c r="C472" s="37" t="s">
        <v>472</v>
      </c>
      <c r="D472" s="44" t="s">
        <v>1108</v>
      </c>
      <c r="E472" s="44"/>
      <c r="F472" s="44" t="s">
        <v>1109</v>
      </c>
      <c r="G472" s="39">
        <v>6.3</v>
      </c>
      <c r="H472" s="39">
        <v>12.5</v>
      </c>
      <c r="I472" s="39">
        <v>1.2</v>
      </c>
      <c r="J472" s="39">
        <v>20</v>
      </c>
      <c r="K472" s="40">
        <v>1099.45</v>
      </c>
      <c r="L472" s="45" t="s">
        <v>1015</v>
      </c>
      <c r="M472" s="41" t="str">
        <f>IF(MasterFees[[#This Row],[GST Basis]]="Excl",MasterFees[[#This Row],[Fee as Printed]],IF(MasterFees[[#This Row],[GST Basis]]="Incl",MasterFees[[#This Row],[Fee as Printed]]/(1+GST_Rate),""))</f>
        <v/>
      </c>
      <c r="N472" s="41" t="str">
        <f>IF(MasterFees[[#This Row],[GST Basis]]="Incl",MasterFees[[#This Row],[Fee as Printed]],IF(MasterFees[[#This Row],[GST Basis]]="Excl",MasterFees[[#This Row],[Fee as Printed]]*(1+GST_Rate),""))</f>
        <v/>
      </c>
      <c r="O472" s="42">
        <f>IF(N(MasterFees[[#This Row],[Total Units]])=0,"",MasterFees[[#This Row],[Fee as Printed]]/MasterFees[[#This Row],[Total Units]])</f>
        <v>54.972500000000004</v>
      </c>
      <c r="P472" s="43"/>
      <c r="Q472" s="46" t="s">
        <v>1013</v>
      </c>
      <c r="R472" s="46" t="s">
        <v>1580</v>
      </c>
      <c r="S472" s="37"/>
    </row>
    <row r="473" spans="1:19" x14ac:dyDescent="0.2">
      <c r="A473" s="36"/>
      <c r="B473" s="38" t="str">
        <f>IF(MasterFees[[#This Row],[RVG Code]]="","",_xlfn.XLOOKUP(MasterFees[[#This Row],[RVG Code]],RVGCodes[Code],RVGCodes[Base Units],"Code not found"))</f>
        <v/>
      </c>
      <c r="C473" s="37" t="s">
        <v>473</v>
      </c>
      <c r="D473" s="44" t="s">
        <v>1108</v>
      </c>
      <c r="E473" s="44"/>
      <c r="F473" s="44" t="s">
        <v>1109</v>
      </c>
      <c r="G473" s="39">
        <v>7</v>
      </c>
      <c r="H473" s="39">
        <v>8.6999999999999993</v>
      </c>
      <c r="I473" s="39">
        <v>0.3</v>
      </c>
      <c r="J473" s="39">
        <v>16</v>
      </c>
      <c r="K473" s="40">
        <v>879.45</v>
      </c>
      <c r="L473" s="45" t="s">
        <v>1015</v>
      </c>
      <c r="M473" s="41" t="str">
        <f>IF(MasterFees[[#This Row],[GST Basis]]="Excl",MasterFees[[#This Row],[Fee as Printed]],IF(MasterFees[[#This Row],[GST Basis]]="Incl",MasterFees[[#This Row],[Fee as Printed]]/(1+GST_Rate),""))</f>
        <v/>
      </c>
      <c r="N473" s="41" t="str">
        <f>IF(MasterFees[[#This Row],[GST Basis]]="Incl",MasterFees[[#This Row],[Fee as Printed]],IF(MasterFees[[#This Row],[GST Basis]]="Excl",MasterFees[[#This Row],[Fee as Printed]]*(1+GST_Rate),""))</f>
        <v/>
      </c>
      <c r="O473" s="42">
        <f>IF(N(MasterFees[[#This Row],[Total Units]])=0,"",MasterFees[[#This Row],[Fee as Printed]]/MasterFees[[#This Row],[Total Units]])</f>
        <v>54.965625000000003</v>
      </c>
      <c r="P473" s="43"/>
      <c r="Q473" s="46" t="s">
        <v>1013</v>
      </c>
      <c r="R473" s="46" t="s">
        <v>1581</v>
      </c>
      <c r="S473" s="37"/>
    </row>
    <row r="474" spans="1:19" x14ac:dyDescent="0.2">
      <c r="A474" s="36"/>
      <c r="B474" s="38" t="str">
        <f>IF(MasterFees[[#This Row],[RVG Code]]="","",_xlfn.XLOOKUP(MasterFees[[#This Row],[RVG Code]],RVGCodes[Code],RVGCodes[Base Units],"Code not found"))</f>
        <v/>
      </c>
      <c r="C474" s="37" t="s">
        <v>474</v>
      </c>
      <c r="D474" s="44" t="s">
        <v>1108</v>
      </c>
      <c r="E474" s="44"/>
      <c r="F474" s="44" t="s">
        <v>1109</v>
      </c>
      <c r="G474" s="39">
        <v>6.5</v>
      </c>
      <c r="H474" s="39">
        <v>7</v>
      </c>
      <c r="I474" s="39">
        <v>0</v>
      </c>
      <c r="J474" s="39">
        <v>13.5</v>
      </c>
      <c r="K474" s="40">
        <v>742.5</v>
      </c>
      <c r="L474" s="45" t="s">
        <v>1015</v>
      </c>
      <c r="M474" s="41" t="str">
        <f>IF(MasterFees[[#This Row],[GST Basis]]="Excl",MasterFees[[#This Row],[Fee as Printed]],IF(MasterFees[[#This Row],[GST Basis]]="Incl",MasterFees[[#This Row],[Fee as Printed]]/(1+GST_Rate),""))</f>
        <v/>
      </c>
      <c r="N474" s="41" t="str">
        <f>IF(MasterFees[[#This Row],[GST Basis]]="Incl",MasterFees[[#This Row],[Fee as Printed]],IF(MasterFees[[#This Row],[GST Basis]]="Excl",MasterFees[[#This Row],[Fee as Printed]]*(1+GST_Rate),""))</f>
        <v/>
      </c>
      <c r="O474" s="42">
        <f>IF(N(MasterFees[[#This Row],[Total Units]])=0,"",MasterFees[[#This Row],[Fee as Printed]]/MasterFees[[#This Row],[Total Units]])</f>
        <v>55</v>
      </c>
      <c r="P474" s="43"/>
      <c r="Q474" s="46" t="s">
        <v>1013</v>
      </c>
      <c r="R474" s="46" t="s">
        <v>1582</v>
      </c>
      <c r="S474" s="37"/>
    </row>
    <row r="475" spans="1:19" x14ac:dyDescent="0.2">
      <c r="A475" s="36"/>
      <c r="B475" s="38" t="str">
        <f>IF(MasterFees[[#This Row],[RVG Code]]="","",_xlfn.XLOOKUP(MasterFees[[#This Row],[RVG Code]],RVGCodes[Code],RVGCodes[Base Units],"Code not found"))</f>
        <v/>
      </c>
      <c r="C475" s="37" t="s">
        <v>475</v>
      </c>
      <c r="D475" s="44" t="s">
        <v>1108</v>
      </c>
      <c r="E475" s="44"/>
      <c r="F475" s="44" t="s">
        <v>1109</v>
      </c>
      <c r="G475" s="39">
        <v>8</v>
      </c>
      <c r="H475" s="39">
        <v>5</v>
      </c>
      <c r="I475" s="39">
        <v>0</v>
      </c>
      <c r="J475" s="39">
        <v>13</v>
      </c>
      <c r="K475" s="40">
        <v>715</v>
      </c>
      <c r="L475" s="45" t="s">
        <v>1015</v>
      </c>
      <c r="M475" s="41" t="str">
        <f>IF(MasterFees[[#This Row],[GST Basis]]="Excl",MasterFees[[#This Row],[Fee as Printed]],IF(MasterFees[[#This Row],[GST Basis]]="Incl",MasterFees[[#This Row],[Fee as Printed]]/(1+GST_Rate),""))</f>
        <v/>
      </c>
      <c r="N475" s="41" t="str">
        <f>IF(MasterFees[[#This Row],[GST Basis]]="Incl",MasterFees[[#This Row],[Fee as Printed]],IF(MasterFees[[#This Row],[GST Basis]]="Excl",MasterFees[[#This Row],[Fee as Printed]]*(1+GST_Rate),""))</f>
        <v/>
      </c>
      <c r="O475" s="42">
        <f>IF(N(MasterFees[[#This Row],[Total Units]])=0,"",MasterFees[[#This Row],[Fee as Printed]]/MasterFees[[#This Row],[Total Units]])</f>
        <v>55</v>
      </c>
      <c r="P475" s="43"/>
      <c r="Q475" s="46" t="s">
        <v>1013</v>
      </c>
      <c r="R475" s="46" t="s">
        <v>1583</v>
      </c>
      <c r="S475" s="37"/>
    </row>
    <row r="476" spans="1:19" x14ac:dyDescent="0.2">
      <c r="A476" s="36"/>
      <c r="B476" s="38" t="str">
        <f>IF(MasterFees[[#This Row],[RVG Code]]="","",_xlfn.XLOOKUP(MasterFees[[#This Row],[RVG Code]],RVGCodes[Code],RVGCodes[Base Units],"Code not found"))</f>
        <v/>
      </c>
      <c r="C476" s="37" t="s">
        <v>476</v>
      </c>
      <c r="D476" s="44" t="s">
        <v>1108</v>
      </c>
      <c r="E476" s="44"/>
      <c r="F476" s="44" t="s">
        <v>1109</v>
      </c>
      <c r="G476" s="39">
        <v>7.8</v>
      </c>
      <c r="H476" s="39">
        <v>8.3000000000000007</v>
      </c>
      <c r="I476" s="39">
        <v>0.8</v>
      </c>
      <c r="J476" s="39">
        <v>16.899999999999999</v>
      </c>
      <c r="K476" s="40">
        <v>929.5</v>
      </c>
      <c r="L476" s="45" t="s">
        <v>1015</v>
      </c>
      <c r="M476" s="41" t="str">
        <f>IF(MasterFees[[#This Row],[GST Basis]]="Excl",MasterFees[[#This Row],[Fee as Printed]],IF(MasterFees[[#This Row],[GST Basis]]="Incl",MasterFees[[#This Row],[Fee as Printed]]/(1+GST_Rate),""))</f>
        <v/>
      </c>
      <c r="N476" s="41" t="str">
        <f>IF(MasterFees[[#This Row],[GST Basis]]="Incl",MasterFees[[#This Row],[Fee as Printed]],IF(MasterFees[[#This Row],[GST Basis]]="Excl",MasterFees[[#This Row],[Fee as Printed]]*(1+GST_Rate),""))</f>
        <v/>
      </c>
      <c r="O476" s="42">
        <f>IF(N(MasterFees[[#This Row],[Total Units]])=0,"",MasterFees[[#This Row],[Fee as Printed]]/MasterFees[[#This Row],[Total Units]])</f>
        <v>55.000000000000007</v>
      </c>
      <c r="P476" s="43"/>
      <c r="Q476" s="46" t="s">
        <v>1013</v>
      </c>
      <c r="R476" s="46" t="s">
        <v>1584</v>
      </c>
      <c r="S476" s="37"/>
    </row>
    <row r="477" spans="1:19" x14ac:dyDescent="0.2">
      <c r="A477" s="36"/>
      <c r="B477" s="38" t="str">
        <f>IF(MasterFees[[#This Row],[RVG Code]]="","",_xlfn.XLOOKUP(MasterFees[[#This Row],[RVG Code]],RVGCodes[Code],RVGCodes[Base Units],"Code not found"))</f>
        <v/>
      </c>
      <c r="C477" s="37" t="s">
        <v>477</v>
      </c>
      <c r="D477" s="44" t="s">
        <v>1108</v>
      </c>
      <c r="E477" s="44"/>
      <c r="F477" s="44" t="s">
        <v>1109</v>
      </c>
      <c r="G477" s="39">
        <v>4</v>
      </c>
      <c r="H477" s="39">
        <v>4.4000000000000004</v>
      </c>
      <c r="I477" s="39">
        <v>1</v>
      </c>
      <c r="J477" s="39">
        <v>9.4</v>
      </c>
      <c r="K477" s="40">
        <v>518.1</v>
      </c>
      <c r="L477" s="45" t="s">
        <v>1015</v>
      </c>
      <c r="M477" s="41" t="str">
        <f>IF(MasterFees[[#This Row],[GST Basis]]="Excl",MasterFees[[#This Row],[Fee as Printed]],IF(MasterFees[[#This Row],[GST Basis]]="Incl",MasterFees[[#This Row],[Fee as Printed]]/(1+GST_Rate),""))</f>
        <v/>
      </c>
      <c r="N477" s="41" t="str">
        <f>IF(MasterFees[[#This Row],[GST Basis]]="Incl",MasterFees[[#This Row],[Fee as Printed]],IF(MasterFees[[#This Row],[GST Basis]]="Excl",MasterFees[[#This Row],[Fee as Printed]]*(1+GST_Rate),""))</f>
        <v/>
      </c>
      <c r="O477" s="42">
        <f>IF(N(MasterFees[[#This Row],[Total Units]])=0,"",MasterFees[[#This Row],[Fee as Printed]]/MasterFees[[#This Row],[Total Units]])</f>
        <v>55.117021276595743</v>
      </c>
      <c r="P477" s="43"/>
      <c r="Q477" s="46" t="s">
        <v>1013</v>
      </c>
      <c r="R477" s="46" t="s">
        <v>1585</v>
      </c>
      <c r="S477" s="37"/>
    </row>
    <row r="478" spans="1:19" x14ac:dyDescent="0.2">
      <c r="A478" s="36"/>
      <c r="B478" s="38" t="str">
        <f>IF(MasterFees[[#This Row],[RVG Code]]="","",_xlfn.XLOOKUP(MasterFees[[#This Row],[RVG Code]],RVGCodes[Code],RVGCodes[Base Units],"Code not found"))</f>
        <v/>
      </c>
      <c r="C478" s="37" t="s">
        <v>478</v>
      </c>
      <c r="D478" s="44" t="s">
        <v>1108</v>
      </c>
      <c r="E478" s="44"/>
      <c r="F478" s="44" t="s">
        <v>1109</v>
      </c>
      <c r="G478" s="39">
        <v>3.4</v>
      </c>
      <c r="H478" s="39">
        <v>2.6</v>
      </c>
      <c r="I478" s="39">
        <v>0.7</v>
      </c>
      <c r="J478" s="39">
        <v>6.7</v>
      </c>
      <c r="K478" s="40">
        <v>369.05</v>
      </c>
      <c r="L478" s="45" t="s">
        <v>1015</v>
      </c>
      <c r="M478" s="41" t="str">
        <f>IF(MasterFees[[#This Row],[GST Basis]]="Excl",MasterFees[[#This Row],[Fee as Printed]],IF(MasterFees[[#This Row],[GST Basis]]="Incl",MasterFees[[#This Row],[Fee as Printed]]/(1+GST_Rate),""))</f>
        <v/>
      </c>
      <c r="N478" s="41" t="str">
        <f>IF(MasterFees[[#This Row],[GST Basis]]="Incl",MasterFees[[#This Row],[Fee as Printed]],IF(MasterFees[[#This Row],[GST Basis]]="Excl",MasterFees[[#This Row],[Fee as Printed]]*(1+GST_Rate),""))</f>
        <v/>
      </c>
      <c r="O478" s="42">
        <f>IF(N(MasterFees[[#This Row],[Total Units]])=0,"",MasterFees[[#This Row],[Fee as Printed]]/MasterFees[[#This Row],[Total Units]])</f>
        <v>55.082089552238806</v>
      </c>
      <c r="P478" s="43"/>
      <c r="Q478" s="46" t="s">
        <v>1013</v>
      </c>
      <c r="R478" s="46" t="s">
        <v>1586</v>
      </c>
      <c r="S478" s="37"/>
    </row>
    <row r="479" spans="1:19" x14ac:dyDescent="0.2">
      <c r="A479" s="36"/>
      <c r="B479" s="38" t="str">
        <f>IF(MasterFees[[#This Row],[RVG Code]]="","",_xlfn.XLOOKUP(MasterFees[[#This Row],[RVG Code]],RVGCodes[Code],RVGCodes[Base Units],"Code not found"))</f>
        <v/>
      </c>
      <c r="C479" s="37" t="s">
        <v>479</v>
      </c>
      <c r="D479" s="44" t="s">
        <v>1108</v>
      </c>
      <c r="E479" s="44"/>
      <c r="F479" s="44" t="s">
        <v>1109</v>
      </c>
      <c r="G479" s="39">
        <v>3.9</v>
      </c>
      <c r="H479" s="39">
        <v>3.1</v>
      </c>
      <c r="I479" s="39">
        <v>1.3</v>
      </c>
      <c r="J479" s="39">
        <v>8.1999999999999993</v>
      </c>
      <c r="K479" s="40">
        <v>450.45</v>
      </c>
      <c r="L479" s="45" t="s">
        <v>1015</v>
      </c>
      <c r="M479" s="41" t="str">
        <f>IF(MasterFees[[#This Row],[GST Basis]]="Excl",MasterFees[[#This Row],[Fee as Printed]],IF(MasterFees[[#This Row],[GST Basis]]="Incl",MasterFees[[#This Row],[Fee as Printed]]/(1+GST_Rate),""))</f>
        <v/>
      </c>
      <c r="N479" s="41" t="str">
        <f>IF(MasterFees[[#This Row],[GST Basis]]="Incl",MasterFees[[#This Row],[Fee as Printed]],IF(MasterFees[[#This Row],[GST Basis]]="Excl",MasterFees[[#This Row],[Fee as Printed]]*(1+GST_Rate),""))</f>
        <v/>
      </c>
      <c r="O479" s="42">
        <f>IF(N(MasterFees[[#This Row],[Total Units]])=0,"",MasterFees[[#This Row],[Fee as Printed]]/MasterFees[[#This Row],[Total Units]])</f>
        <v>54.932926829268297</v>
      </c>
      <c r="P479" s="43"/>
      <c r="Q479" s="46" t="s">
        <v>1013</v>
      </c>
      <c r="R479" s="46" t="s">
        <v>1587</v>
      </c>
      <c r="S479" s="37"/>
    </row>
    <row r="480" spans="1:19" x14ac:dyDescent="0.2">
      <c r="A480" s="36"/>
      <c r="B480" s="38" t="str">
        <f>IF(MasterFees[[#This Row],[RVG Code]]="","",_xlfn.XLOOKUP(MasterFees[[#This Row],[RVG Code]],RVGCodes[Code],RVGCodes[Base Units],"Code not found"))</f>
        <v/>
      </c>
      <c r="C480" s="37" t="s">
        <v>480</v>
      </c>
      <c r="D480" s="44" t="s">
        <v>1108</v>
      </c>
      <c r="E480" s="44"/>
      <c r="F480" s="44" t="s">
        <v>1109</v>
      </c>
      <c r="G480" s="39">
        <v>4.8</v>
      </c>
      <c r="H480" s="39">
        <v>5.3</v>
      </c>
      <c r="I480" s="39">
        <v>0.8</v>
      </c>
      <c r="J480" s="39">
        <v>10.9</v>
      </c>
      <c r="K480" s="40">
        <v>598.4</v>
      </c>
      <c r="L480" s="45" t="s">
        <v>1015</v>
      </c>
      <c r="M480" s="41" t="str">
        <f>IF(MasterFees[[#This Row],[GST Basis]]="Excl",MasterFees[[#This Row],[Fee as Printed]],IF(MasterFees[[#This Row],[GST Basis]]="Incl",MasterFees[[#This Row],[Fee as Printed]]/(1+GST_Rate),""))</f>
        <v/>
      </c>
      <c r="N480" s="41" t="str">
        <f>IF(MasterFees[[#This Row],[GST Basis]]="Incl",MasterFees[[#This Row],[Fee as Printed]],IF(MasterFees[[#This Row],[GST Basis]]="Excl",MasterFees[[#This Row],[Fee as Printed]]*(1+GST_Rate),""))</f>
        <v/>
      </c>
      <c r="O480" s="42">
        <f>IF(N(MasterFees[[#This Row],[Total Units]])=0,"",MasterFees[[#This Row],[Fee as Printed]]/MasterFees[[#This Row],[Total Units]])</f>
        <v>54.899082568807337</v>
      </c>
      <c r="P480" s="43"/>
      <c r="Q480" s="46" t="s">
        <v>1013</v>
      </c>
      <c r="R480" s="46" t="s">
        <v>1588</v>
      </c>
      <c r="S480" s="37"/>
    </row>
    <row r="481" spans="1:19" x14ac:dyDescent="0.2">
      <c r="A481" s="36"/>
      <c r="B481" s="38" t="str">
        <f>IF(MasterFees[[#This Row],[RVG Code]]="","",_xlfn.XLOOKUP(MasterFees[[#This Row],[RVG Code]],RVGCodes[Code],RVGCodes[Base Units],"Code not found"))</f>
        <v/>
      </c>
      <c r="C481" s="37" t="s">
        <v>481</v>
      </c>
      <c r="D481" s="44" t="s">
        <v>1108</v>
      </c>
      <c r="E481" s="44"/>
      <c r="F481" s="44" t="s">
        <v>1109</v>
      </c>
      <c r="G481" s="39">
        <v>8</v>
      </c>
      <c r="H481" s="39">
        <v>8</v>
      </c>
      <c r="I481" s="39">
        <v>0</v>
      </c>
      <c r="J481" s="39">
        <v>16</v>
      </c>
      <c r="K481" s="40">
        <v>880</v>
      </c>
      <c r="L481" s="45" t="s">
        <v>1015</v>
      </c>
      <c r="M481" s="41" t="str">
        <f>IF(MasterFees[[#This Row],[GST Basis]]="Excl",MasterFees[[#This Row],[Fee as Printed]],IF(MasterFees[[#This Row],[GST Basis]]="Incl",MasterFees[[#This Row],[Fee as Printed]]/(1+GST_Rate),""))</f>
        <v/>
      </c>
      <c r="N481" s="41" t="str">
        <f>IF(MasterFees[[#This Row],[GST Basis]]="Incl",MasterFees[[#This Row],[Fee as Printed]],IF(MasterFees[[#This Row],[GST Basis]]="Excl",MasterFees[[#This Row],[Fee as Printed]]*(1+GST_Rate),""))</f>
        <v/>
      </c>
      <c r="O481" s="42">
        <f>IF(N(MasterFees[[#This Row],[Total Units]])=0,"",MasterFees[[#This Row],[Fee as Printed]]/MasterFees[[#This Row],[Total Units]])</f>
        <v>55</v>
      </c>
      <c r="P481" s="43"/>
      <c r="Q481" s="46" t="s">
        <v>1013</v>
      </c>
      <c r="R481" s="46" t="s">
        <v>1589</v>
      </c>
      <c r="S481" s="37"/>
    </row>
    <row r="482" spans="1:19" x14ac:dyDescent="0.2">
      <c r="A482" s="36"/>
      <c r="B482" s="38" t="str">
        <f>IF(MasterFees[[#This Row],[RVG Code]]="","",_xlfn.XLOOKUP(MasterFees[[#This Row],[RVG Code]],RVGCodes[Code],RVGCodes[Base Units],"Code not found"))</f>
        <v/>
      </c>
      <c r="C482" s="37" t="s">
        <v>482</v>
      </c>
      <c r="D482" s="44" t="s">
        <v>1108</v>
      </c>
      <c r="E482" s="44"/>
      <c r="F482" s="44" t="s">
        <v>1109</v>
      </c>
      <c r="G482" s="39">
        <v>8</v>
      </c>
      <c r="H482" s="39">
        <v>27</v>
      </c>
      <c r="I482" s="39">
        <v>0</v>
      </c>
      <c r="J482" s="39">
        <v>35</v>
      </c>
      <c r="K482" s="40">
        <v>1925</v>
      </c>
      <c r="L482" s="45" t="s">
        <v>1015</v>
      </c>
      <c r="M482" s="41" t="str">
        <f>IF(MasterFees[[#This Row],[GST Basis]]="Excl",MasterFees[[#This Row],[Fee as Printed]],IF(MasterFees[[#This Row],[GST Basis]]="Incl",MasterFees[[#This Row],[Fee as Printed]]/(1+GST_Rate),""))</f>
        <v/>
      </c>
      <c r="N482" s="41" t="str">
        <f>IF(MasterFees[[#This Row],[GST Basis]]="Incl",MasterFees[[#This Row],[Fee as Printed]],IF(MasterFees[[#This Row],[GST Basis]]="Excl",MasterFees[[#This Row],[Fee as Printed]]*(1+GST_Rate),""))</f>
        <v/>
      </c>
      <c r="O482" s="42">
        <f>IF(N(MasterFees[[#This Row],[Total Units]])=0,"",MasterFees[[#This Row],[Fee as Printed]]/MasterFees[[#This Row],[Total Units]])</f>
        <v>55</v>
      </c>
      <c r="P482" s="43"/>
      <c r="Q482" s="46" t="s">
        <v>1013</v>
      </c>
      <c r="R482" s="46" t="s">
        <v>1590</v>
      </c>
      <c r="S482" s="37"/>
    </row>
    <row r="483" spans="1:19" x14ac:dyDescent="0.2">
      <c r="A483" s="36"/>
      <c r="B483" s="38" t="str">
        <f>IF(MasterFees[[#This Row],[RVG Code]]="","",_xlfn.XLOOKUP(MasterFees[[#This Row],[RVG Code]],RVGCodes[Code],RVGCodes[Base Units],"Code not found"))</f>
        <v/>
      </c>
      <c r="C483" s="37" t="s">
        <v>483</v>
      </c>
      <c r="D483" s="44" t="s">
        <v>1108</v>
      </c>
      <c r="E483" s="44"/>
      <c r="F483" s="44" t="s">
        <v>1109</v>
      </c>
      <c r="G483" s="39">
        <v>8.1999999999999993</v>
      </c>
      <c r="H483" s="39">
        <v>12.8</v>
      </c>
      <c r="I483" s="39">
        <v>1.3</v>
      </c>
      <c r="J483" s="39">
        <v>22.2</v>
      </c>
      <c r="K483" s="40">
        <v>1221.55</v>
      </c>
      <c r="L483" s="45" t="s">
        <v>1015</v>
      </c>
      <c r="M483" s="41" t="str">
        <f>IF(MasterFees[[#This Row],[GST Basis]]="Excl",MasterFees[[#This Row],[Fee as Printed]],IF(MasterFees[[#This Row],[GST Basis]]="Incl",MasterFees[[#This Row],[Fee as Printed]]/(1+GST_Rate),""))</f>
        <v/>
      </c>
      <c r="N483" s="41" t="str">
        <f>IF(MasterFees[[#This Row],[GST Basis]]="Incl",MasterFees[[#This Row],[Fee as Printed]],IF(MasterFees[[#This Row],[GST Basis]]="Excl",MasterFees[[#This Row],[Fee as Printed]]*(1+GST_Rate),""))</f>
        <v/>
      </c>
      <c r="O483" s="42">
        <f>IF(N(MasterFees[[#This Row],[Total Units]])=0,"",MasterFees[[#This Row],[Fee as Printed]]/MasterFees[[#This Row],[Total Units]])</f>
        <v>55.024774774774777</v>
      </c>
      <c r="P483" s="43"/>
      <c r="Q483" s="46" t="s">
        <v>1013</v>
      </c>
      <c r="R483" s="46" t="s">
        <v>1591</v>
      </c>
      <c r="S483" s="37"/>
    </row>
    <row r="484" spans="1:19" x14ac:dyDescent="0.2">
      <c r="A484" s="36"/>
      <c r="B484" s="38" t="str">
        <f>IF(MasterFees[[#This Row],[RVG Code]]="","",_xlfn.XLOOKUP(MasterFees[[#This Row],[RVG Code]],RVGCodes[Code],RVGCodes[Base Units],"Code not found"))</f>
        <v/>
      </c>
      <c r="C484" s="37" t="s">
        <v>484</v>
      </c>
      <c r="D484" s="44" t="s">
        <v>1108</v>
      </c>
      <c r="E484" s="44"/>
      <c r="F484" s="44" t="s">
        <v>1109</v>
      </c>
      <c r="G484" s="39">
        <v>5.4</v>
      </c>
      <c r="H484" s="39">
        <v>4.4000000000000004</v>
      </c>
      <c r="I484" s="39">
        <v>0.7</v>
      </c>
      <c r="J484" s="39">
        <v>10.5</v>
      </c>
      <c r="K484" s="40">
        <v>576.95000000000005</v>
      </c>
      <c r="L484" s="45" t="s">
        <v>1015</v>
      </c>
      <c r="M484" s="41" t="str">
        <f>IF(MasterFees[[#This Row],[GST Basis]]="Excl",MasterFees[[#This Row],[Fee as Printed]],IF(MasterFees[[#This Row],[GST Basis]]="Incl",MasterFees[[#This Row],[Fee as Printed]]/(1+GST_Rate),""))</f>
        <v/>
      </c>
      <c r="N484" s="41" t="str">
        <f>IF(MasterFees[[#This Row],[GST Basis]]="Incl",MasterFees[[#This Row],[Fee as Printed]],IF(MasterFees[[#This Row],[GST Basis]]="Excl",MasterFees[[#This Row],[Fee as Printed]]*(1+GST_Rate),""))</f>
        <v/>
      </c>
      <c r="O484" s="42">
        <f>IF(N(MasterFees[[#This Row],[Total Units]])=0,"",MasterFees[[#This Row],[Fee as Printed]]/MasterFees[[#This Row],[Total Units]])</f>
        <v>54.94761904761905</v>
      </c>
      <c r="P484" s="43"/>
      <c r="Q484" s="46" t="s">
        <v>1013</v>
      </c>
      <c r="R484" s="46" t="s">
        <v>1592</v>
      </c>
      <c r="S484" s="37"/>
    </row>
    <row r="485" spans="1:19" x14ac:dyDescent="0.2">
      <c r="A485" s="36"/>
      <c r="B485" s="38" t="str">
        <f>IF(MasterFees[[#This Row],[RVG Code]]="","",_xlfn.XLOOKUP(MasterFees[[#This Row],[RVG Code]],RVGCodes[Code],RVGCodes[Base Units],"Code not found"))</f>
        <v/>
      </c>
      <c r="C485" s="37" t="s">
        <v>485</v>
      </c>
      <c r="D485" s="44" t="s">
        <v>1108</v>
      </c>
      <c r="E485" s="44"/>
      <c r="F485" s="44" t="s">
        <v>1109</v>
      </c>
      <c r="G485" s="39">
        <v>6.3</v>
      </c>
      <c r="H485" s="39">
        <v>8.6999999999999993</v>
      </c>
      <c r="I485" s="39">
        <v>0.4</v>
      </c>
      <c r="J485" s="39">
        <v>15.3</v>
      </c>
      <c r="K485" s="40">
        <v>842.05</v>
      </c>
      <c r="L485" s="45" t="s">
        <v>1015</v>
      </c>
      <c r="M485" s="41" t="str">
        <f>IF(MasterFees[[#This Row],[GST Basis]]="Excl",MasterFees[[#This Row],[Fee as Printed]],IF(MasterFees[[#This Row],[GST Basis]]="Incl",MasterFees[[#This Row],[Fee as Printed]]/(1+GST_Rate),""))</f>
        <v/>
      </c>
      <c r="N485" s="41" t="str">
        <f>IF(MasterFees[[#This Row],[GST Basis]]="Incl",MasterFees[[#This Row],[Fee as Printed]],IF(MasterFees[[#This Row],[GST Basis]]="Excl",MasterFees[[#This Row],[Fee as Printed]]*(1+GST_Rate),""))</f>
        <v/>
      </c>
      <c r="O485" s="42">
        <f>IF(N(MasterFees[[#This Row],[Total Units]])=0,"",MasterFees[[#This Row],[Fee as Printed]]/MasterFees[[#This Row],[Total Units]])</f>
        <v>55.035947712418292</v>
      </c>
      <c r="P485" s="43"/>
      <c r="Q485" s="46" t="s">
        <v>1013</v>
      </c>
      <c r="R485" s="46" t="s">
        <v>1593</v>
      </c>
      <c r="S485" s="37"/>
    </row>
    <row r="486" spans="1:19" x14ac:dyDescent="0.2">
      <c r="A486" s="36"/>
      <c r="B486" s="38" t="str">
        <f>IF(MasterFees[[#This Row],[RVG Code]]="","",_xlfn.XLOOKUP(MasterFees[[#This Row],[RVG Code]],RVGCodes[Code],RVGCodes[Base Units],"Code not found"))</f>
        <v/>
      </c>
      <c r="C486" s="37" t="s">
        <v>486</v>
      </c>
      <c r="D486" s="44" t="s">
        <v>1108</v>
      </c>
      <c r="E486" s="44"/>
      <c r="F486" s="44" t="s">
        <v>1109</v>
      </c>
      <c r="G486" s="39">
        <v>0</v>
      </c>
      <c r="H486" s="39">
        <v>0</v>
      </c>
      <c r="I486" s="39">
        <v>0</v>
      </c>
      <c r="J486" s="39">
        <v>0</v>
      </c>
      <c r="K486" s="40">
        <v>0</v>
      </c>
      <c r="L486" s="45" t="s">
        <v>1015</v>
      </c>
      <c r="M486" s="41" t="str">
        <f>IF(MasterFees[[#This Row],[GST Basis]]="Excl",MasterFees[[#This Row],[Fee as Printed]],IF(MasterFees[[#This Row],[GST Basis]]="Incl",MasterFees[[#This Row],[Fee as Printed]]/(1+GST_Rate),""))</f>
        <v/>
      </c>
      <c r="N486" s="41" t="str">
        <f>IF(MasterFees[[#This Row],[GST Basis]]="Incl",MasterFees[[#This Row],[Fee as Printed]],IF(MasterFees[[#This Row],[GST Basis]]="Excl",MasterFees[[#This Row],[Fee as Printed]]*(1+GST_Rate),""))</f>
        <v/>
      </c>
      <c r="O486" s="42" t="str">
        <f>IF(N(MasterFees[[#This Row],[Total Units]])=0,"",MasterFees[[#This Row],[Fee as Printed]]/MasterFees[[#This Row],[Total Units]])</f>
        <v/>
      </c>
      <c r="P486" s="43"/>
      <c r="Q486" s="46" t="s">
        <v>1013</v>
      </c>
      <c r="R486" s="46" t="s">
        <v>1594</v>
      </c>
      <c r="S486" s="37"/>
    </row>
    <row r="487" spans="1:19" x14ac:dyDescent="0.2">
      <c r="A487" s="36"/>
      <c r="B487" s="38" t="str">
        <f>IF(MasterFees[[#This Row],[RVG Code]]="","",_xlfn.XLOOKUP(MasterFees[[#This Row],[RVG Code]],RVGCodes[Code],RVGCodes[Base Units],"Code not found"))</f>
        <v/>
      </c>
      <c r="C487" s="37" t="s">
        <v>487</v>
      </c>
      <c r="D487" s="44" t="s">
        <v>1108</v>
      </c>
      <c r="E487" s="44"/>
      <c r="F487" s="44" t="s">
        <v>1109</v>
      </c>
      <c r="G487" s="39">
        <v>5.2</v>
      </c>
      <c r="H487" s="39">
        <v>4.7</v>
      </c>
      <c r="I487" s="39">
        <v>0.7</v>
      </c>
      <c r="J487" s="39">
        <v>10.5</v>
      </c>
      <c r="K487" s="40">
        <v>577.5</v>
      </c>
      <c r="L487" s="45" t="s">
        <v>1015</v>
      </c>
      <c r="M487" s="41" t="str">
        <f>IF(MasterFees[[#This Row],[GST Basis]]="Excl",MasterFees[[#This Row],[Fee as Printed]],IF(MasterFees[[#This Row],[GST Basis]]="Incl",MasterFees[[#This Row],[Fee as Printed]]/(1+GST_Rate),""))</f>
        <v/>
      </c>
      <c r="N487" s="41" t="str">
        <f>IF(MasterFees[[#This Row],[GST Basis]]="Incl",MasterFees[[#This Row],[Fee as Printed]],IF(MasterFees[[#This Row],[GST Basis]]="Excl",MasterFees[[#This Row],[Fee as Printed]]*(1+GST_Rate),""))</f>
        <v/>
      </c>
      <c r="O487" s="42">
        <f>IF(N(MasterFees[[#This Row],[Total Units]])=0,"",MasterFees[[#This Row],[Fee as Printed]]/MasterFees[[#This Row],[Total Units]])</f>
        <v>55</v>
      </c>
      <c r="P487" s="43"/>
      <c r="Q487" s="46" t="s">
        <v>1013</v>
      </c>
      <c r="R487" s="46" t="s">
        <v>1595</v>
      </c>
      <c r="S487" s="37"/>
    </row>
    <row r="488" spans="1:19" x14ac:dyDescent="0.2">
      <c r="A488" s="36"/>
      <c r="B488" s="38" t="str">
        <f>IF(MasterFees[[#This Row],[RVG Code]]="","",_xlfn.XLOOKUP(MasterFees[[#This Row],[RVG Code]],RVGCodes[Code],RVGCodes[Base Units],"Code not found"))</f>
        <v/>
      </c>
      <c r="C488" s="37" t="s">
        <v>488</v>
      </c>
      <c r="D488" s="44" t="s">
        <v>1108</v>
      </c>
      <c r="E488" s="44"/>
      <c r="F488" s="44" t="s">
        <v>1109</v>
      </c>
      <c r="G488" s="39">
        <v>5</v>
      </c>
      <c r="H488" s="39">
        <v>5.0999999999999996</v>
      </c>
      <c r="I488" s="39">
        <v>0.6</v>
      </c>
      <c r="J488" s="39">
        <v>10.7</v>
      </c>
      <c r="K488" s="40">
        <v>589.04999999999995</v>
      </c>
      <c r="L488" s="45" t="s">
        <v>1015</v>
      </c>
      <c r="M488" s="41" t="str">
        <f>IF(MasterFees[[#This Row],[GST Basis]]="Excl",MasterFees[[#This Row],[Fee as Printed]],IF(MasterFees[[#This Row],[GST Basis]]="Incl",MasterFees[[#This Row],[Fee as Printed]]/(1+GST_Rate),""))</f>
        <v/>
      </c>
      <c r="N488" s="41" t="str">
        <f>IF(MasterFees[[#This Row],[GST Basis]]="Incl",MasterFees[[#This Row],[Fee as Printed]],IF(MasterFees[[#This Row],[GST Basis]]="Excl",MasterFees[[#This Row],[Fee as Printed]]*(1+GST_Rate),""))</f>
        <v/>
      </c>
      <c r="O488" s="42">
        <f>IF(N(MasterFees[[#This Row],[Total Units]])=0,"",MasterFees[[#This Row],[Fee as Printed]]/MasterFees[[#This Row],[Total Units]])</f>
        <v>55.05140186915888</v>
      </c>
      <c r="P488" s="43"/>
      <c r="Q488" s="46" t="s">
        <v>1013</v>
      </c>
      <c r="R488" s="46" t="s">
        <v>1596</v>
      </c>
      <c r="S488" s="37"/>
    </row>
    <row r="489" spans="1:19" x14ac:dyDescent="0.2">
      <c r="A489" s="36"/>
      <c r="B489" s="38" t="str">
        <f>IF(MasterFees[[#This Row],[RVG Code]]="","",_xlfn.XLOOKUP(MasterFees[[#This Row],[RVG Code]],RVGCodes[Code],RVGCodes[Base Units],"Code not found"))</f>
        <v/>
      </c>
      <c r="C489" s="37" t="s">
        <v>489</v>
      </c>
      <c r="D489" s="44" t="s">
        <v>1108</v>
      </c>
      <c r="E489" s="44"/>
      <c r="F489" s="44" t="s">
        <v>1109</v>
      </c>
      <c r="G489" s="39">
        <v>4.8</v>
      </c>
      <c r="H489" s="39">
        <v>4.8</v>
      </c>
      <c r="I489" s="39">
        <v>0.4</v>
      </c>
      <c r="J489" s="39">
        <v>10</v>
      </c>
      <c r="K489" s="40">
        <v>550</v>
      </c>
      <c r="L489" s="45" t="s">
        <v>1015</v>
      </c>
      <c r="M489" s="41" t="str">
        <f>IF(MasterFees[[#This Row],[GST Basis]]="Excl",MasterFees[[#This Row],[Fee as Printed]],IF(MasterFees[[#This Row],[GST Basis]]="Incl",MasterFees[[#This Row],[Fee as Printed]]/(1+GST_Rate),""))</f>
        <v/>
      </c>
      <c r="N489" s="41" t="str">
        <f>IF(MasterFees[[#This Row],[GST Basis]]="Incl",MasterFees[[#This Row],[Fee as Printed]],IF(MasterFees[[#This Row],[GST Basis]]="Excl",MasterFees[[#This Row],[Fee as Printed]]*(1+GST_Rate),""))</f>
        <v/>
      </c>
      <c r="O489" s="42">
        <f>IF(N(MasterFees[[#This Row],[Total Units]])=0,"",MasterFees[[#This Row],[Fee as Printed]]/MasterFees[[#This Row],[Total Units]])</f>
        <v>55</v>
      </c>
      <c r="P489" s="43"/>
      <c r="Q489" s="46" t="s">
        <v>1013</v>
      </c>
      <c r="R489" s="46" t="s">
        <v>1597</v>
      </c>
      <c r="S489" s="37"/>
    </row>
    <row r="490" spans="1:19" x14ac:dyDescent="0.2">
      <c r="A490" s="36"/>
      <c r="B490" s="38" t="str">
        <f>IF(MasterFees[[#This Row],[RVG Code]]="","",_xlfn.XLOOKUP(MasterFees[[#This Row],[RVG Code]],RVGCodes[Code],RVGCodes[Base Units],"Code not found"))</f>
        <v/>
      </c>
      <c r="C490" s="37" t="s">
        <v>490</v>
      </c>
      <c r="D490" s="44" t="s">
        <v>1108</v>
      </c>
      <c r="E490" s="44"/>
      <c r="F490" s="44" t="s">
        <v>1109</v>
      </c>
      <c r="G490" s="39">
        <v>14</v>
      </c>
      <c r="H490" s="39">
        <v>16</v>
      </c>
      <c r="I490" s="39">
        <v>4</v>
      </c>
      <c r="J490" s="39">
        <v>34</v>
      </c>
      <c r="K490" s="40">
        <v>1870</v>
      </c>
      <c r="L490" s="45" t="s">
        <v>1015</v>
      </c>
      <c r="M490" s="41" t="str">
        <f>IF(MasterFees[[#This Row],[GST Basis]]="Excl",MasterFees[[#This Row],[Fee as Printed]],IF(MasterFees[[#This Row],[GST Basis]]="Incl",MasterFees[[#This Row],[Fee as Printed]]/(1+GST_Rate),""))</f>
        <v/>
      </c>
      <c r="N490" s="41" t="str">
        <f>IF(MasterFees[[#This Row],[GST Basis]]="Incl",MasterFees[[#This Row],[Fee as Printed]],IF(MasterFees[[#This Row],[GST Basis]]="Excl",MasterFees[[#This Row],[Fee as Printed]]*(1+GST_Rate),""))</f>
        <v/>
      </c>
      <c r="O490" s="42">
        <f>IF(N(MasterFees[[#This Row],[Total Units]])=0,"",MasterFees[[#This Row],[Fee as Printed]]/MasterFees[[#This Row],[Total Units]])</f>
        <v>55</v>
      </c>
      <c r="P490" s="43"/>
      <c r="Q490" s="46" t="s">
        <v>1013</v>
      </c>
      <c r="R490" s="46" t="s">
        <v>1598</v>
      </c>
      <c r="S490" s="37"/>
    </row>
    <row r="491" spans="1:19" x14ac:dyDescent="0.2">
      <c r="A491" s="36"/>
      <c r="B491" s="38" t="str">
        <f>IF(MasterFees[[#This Row],[RVG Code]]="","",_xlfn.XLOOKUP(MasterFees[[#This Row],[RVG Code]],RVGCodes[Code],RVGCodes[Base Units],"Code not found"))</f>
        <v/>
      </c>
      <c r="C491" s="37" t="s">
        <v>491</v>
      </c>
      <c r="D491" s="44" t="s">
        <v>1108</v>
      </c>
      <c r="E491" s="44"/>
      <c r="F491" s="44" t="s">
        <v>1109</v>
      </c>
      <c r="G491" s="39">
        <v>5</v>
      </c>
      <c r="H491" s="39">
        <v>6</v>
      </c>
      <c r="I491" s="39">
        <v>0</v>
      </c>
      <c r="J491" s="39">
        <v>11</v>
      </c>
      <c r="K491" s="40">
        <v>605</v>
      </c>
      <c r="L491" s="45" t="s">
        <v>1015</v>
      </c>
      <c r="M491" s="41" t="str">
        <f>IF(MasterFees[[#This Row],[GST Basis]]="Excl",MasterFees[[#This Row],[Fee as Printed]],IF(MasterFees[[#This Row],[GST Basis]]="Incl",MasterFees[[#This Row],[Fee as Printed]]/(1+GST_Rate),""))</f>
        <v/>
      </c>
      <c r="N491" s="41" t="str">
        <f>IF(MasterFees[[#This Row],[GST Basis]]="Incl",MasterFees[[#This Row],[Fee as Printed]],IF(MasterFees[[#This Row],[GST Basis]]="Excl",MasterFees[[#This Row],[Fee as Printed]]*(1+GST_Rate),""))</f>
        <v/>
      </c>
      <c r="O491" s="42">
        <f>IF(N(MasterFees[[#This Row],[Total Units]])=0,"",MasterFees[[#This Row],[Fee as Printed]]/MasterFees[[#This Row],[Total Units]])</f>
        <v>55</v>
      </c>
      <c r="P491" s="43"/>
      <c r="Q491" s="46" t="s">
        <v>1013</v>
      </c>
      <c r="R491" s="46" t="s">
        <v>1599</v>
      </c>
      <c r="S491" s="37"/>
    </row>
    <row r="492" spans="1:19" x14ac:dyDescent="0.2">
      <c r="A492" s="36"/>
      <c r="B492" s="38" t="str">
        <f>IF(MasterFees[[#This Row],[RVG Code]]="","",_xlfn.XLOOKUP(MasterFees[[#This Row],[RVG Code]],RVGCodes[Code],RVGCodes[Base Units],"Code not found"))</f>
        <v/>
      </c>
      <c r="C492" s="37" t="s">
        <v>492</v>
      </c>
      <c r="D492" s="44" t="s">
        <v>1108</v>
      </c>
      <c r="E492" s="44"/>
      <c r="F492" s="44" t="s">
        <v>1109</v>
      </c>
      <c r="G492" s="39">
        <v>5</v>
      </c>
      <c r="H492" s="39">
        <v>6</v>
      </c>
      <c r="I492" s="39">
        <v>0</v>
      </c>
      <c r="J492" s="39">
        <v>11</v>
      </c>
      <c r="K492" s="40">
        <v>605</v>
      </c>
      <c r="L492" s="45" t="s">
        <v>1015</v>
      </c>
      <c r="M492" s="41" t="str">
        <f>IF(MasterFees[[#This Row],[GST Basis]]="Excl",MasterFees[[#This Row],[Fee as Printed]],IF(MasterFees[[#This Row],[GST Basis]]="Incl",MasterFees[[#This Row],[Fee as Printed]]/(1+GST_Rate),""))</f>
        <v/>
      </c>
      <c r="N492" s="41" t="str">
        <f>IF(MasterFees[[#This Row],[GST Basis]]="Incl",MasterFees[[#This Row],[Fee as Printed]],IF(MasterFees[[#This Row],[GST Basis]]="Excl",MasterFees[[#This Row],[Fee as Printed]]*(1+GST_Rate),""))</f>
        <v/>
      </c>
      <c r="O492" s="42">
        <f>IF(N(MasterFees[[#This Row],[Total Units]])=0,"",MasterFees[[#This Row],[Fee as Printed]]/MasterFees[[#This Row],[Total Units]])</f>
        <v>55</v>
      </c>
      <c r="P492" s="43"/>
      <c r="Q492" s="46" t="s">
        <v>1013</v>
      </c>
      <c r="R492" s="46" t="s">
        <v>1600</v>
      </c>
      <c r="S492" s="37"/>
    </row>
    <row r="493" spans="1:19" x14ac:dyDescent="0.2">
      <c r="A493" s="36"/>
      <c r="B493" s="38" t="str">
        <f>IF(MasterFees[[#This Row],[RVG Code]]="","",_xlfn.XLOOKUP(MasterFees[[#This Row],[RVG Code]],RVGCodes[Code],RVGCodes[Base Units],"Code not found"))</f>
        <v/>
      </c>
      <c r="C493" s="37" t="s">
        <v>493</v>
      </c>
      <c r="D493" s="44" t="s">
        <v>1108</v>
      </c>
      <c r="E493" s="44"/>
      <c r="F493" s="44" t="s">
        <v>1109</v>
      </c>
      <c r="G493" s="39">
        <v>7.3</v>
      </c>
      <c r="H493" s="39">
        <v>8</v>
      </c>
      <c r="I493" s="39">
        <v>0.9</v>
      </c>
      <c r="J493" s="39">
        <v>16.2</v>
      </c>
      <c r="K493" s="40">
        <v>891.55</v>
      </c>
      <c r="L493" s="45" t="s">
        <v>1015</v>
      </c>
      <c r="M493" s="41" t="str">
        <f>IF(MasterFees[[#This Row],[GST Basis]]="Excl",MasterFees[[#This Row],[Fee as Printed]],IF(MasterFees[[#This Row],[GST Basis]]="Incl",MasterFees[[#This Row],[Fee as Printed]]/(1+GST_Rate),""))</f>
        <v/>
      </c>
      <c r="N493" s="41" t="str">
        <f>IF(MasterFees[[#This Row],[GST Basis]]="Incl",MasterFees[[#This Row],[Fee as Printed]],IF(MasterFees[[#This Row],[GST Basis]]="Excl",MasterFees[[#This Row],[Fee as Printed]]*(1+GST_Rate),""))</f>
        <v/>
      </c>
      <c r="O493" s="42">
        <f>IF(N(MasterFees[[#This Row],[Total Units]])=0,"",MasterFees[[#This Row],[Fee as Printed]]/MasterFees[[#This Row],[Total Units]])</f>
        <v>55.033950617283949</v>
      </c>
      <c r="P493" s="43"/>
      <c r="Q493" s="46" t="s">
        <v>1013</v>
      </c>
      <c r="R493" s="46" t="s">
        <v>1601</v>
      </c>
      <c r="S493" s="37"/>
    </row>
    <row r="494" spans="1:19" x14ac:dyDescent="0.2">
      <c r="A494" s="36"/>
      <c r="B494" s="38" t="str">
        <f>IF(MasterFees[[#This Row],[RVG Code]]="","",_xlfn.XLOOKUP(MasterFees[[#This Row],[RVG Code]],RVGCodes[Code],RVGCodes[Base Units],"Code not found"))</f>
        <v/>
      </c>
      <c r="C494" s="37" t="s">
        <v>494</v>
      </c>
      <c r="D494" s="44" t="s">
        <v>1108</v>
      </c>
      <c r="E494" s="44"/>
      <c r="F494" s="44" t="s">
        <v>1109</v>
      </c>
      <c r="G494" s="39">
        <v>5.2</v>
      </c>
      <c r="H494" s="39">
        <v>7.1</v>
      </c>
      <c r="I494" s="39">
        <v>1</v>
      </c>
      <c r="J494" s="39">
        <v>13.3</v>
      </c>
      <c r="K494" s="40">
        <v>730.4</v>
      </c>
      <c r="L494" s="45" t="s">
        <v>1015</v>
      </c>
      <c r="M494" s="41" t="str">
        <f>IF(MasterFees[[#This Row],[GST Basis]]="Excl",MasterFees[[#This Row],[Fee as Printed]],IF(MasterFees[[#This Row],[GST Basis]]="Incl",MasterFees[[#This Row],[Fee as Printed]]/(1+GST_Rate),""))</f>
        <v/>
      </c>
      <c r="N494" s="41" t="str">
        <f>IF(MasterFees[[#This Row],[GST Basis]]="Incl",MasterFees[[#This Row],[Fee as Printed]],IF(MasterFees[[#This Row],[GST Basis]]="Excl",MasterFees[[#This Row],[Fee as Printed]]*(1+GST_Rate),""))</f>
        <v/>
      </c>
      <c r="O494" s="42">
        <f>IF(N(MasterFees[[#This Row],[Total Units]])=0,"",MasterFees[[#This Row],[Fee as Printed]]/MasterFees[[#This Row],[Total Units]])</f>
        <v>54.917293233082702</v>
      </c>
      <c r="P494" s="43"/>
      <c r="Q494" s="46" t="s">
        <v>1013</v>
      </c>
      <c r="R494" s="46" t="s">
        <v>1602</v>
      </c>
      <c r="S494" s="37"/>
    </row>
    <row r="495" spans="1:19" x14ac:dyDescent="0.2">
      <c r="A495" s="36"/>
      <c r="B495" s="38" t="str">
        <f>IF(MasterFees[[#This Row],[RVG Code]]="","",_xlfn.XLOOKUP(MasterFees[[#This Row],[RVG Code]],RVGCodes[Code],RVGCodes[Base Units],"Code not found"))</f>
        <v/>
      </c>
      <c r="C495" s="37" t="s">
        <v>495</v>
      </c>
      <c r="D495" s="44" t="s">
        <v>1108</v>
      </c>
      <c r="E495" s="44"/>
      <c r="F495" s="44" t="s">
        <v>1109</v>
      </c>
      <c r="G495" s="39">
        <v>5.7</v>
      </c>
      <c r="H495" s="39">
        <v>5.0999999999999996</v>
      </c>
      <c r="I495" s="39">
        <v>0.5</v>
      </c>
      <c r="J495" s="39">
        <v>11.3</v>
      </c>
      <c r="K495" s="40">
        <v>619.29999999999995</v>
      </c>
      <c r="L495" s="45" t="s">
        <v>1015</v>
      </c>
      <c r="M495" s="41" t="str">
        <f>IF(MasterFees[[#This Row],[GST Basis]]="Excl",MasterFees[[#This Row],[Fee as Printed]],IF(MasterFees[[#This Row],[GST Basis]]="Incl",MasterFees[[#This Row],[Fee as Printed]]/(1+GST_Rate),""))</f>
        <v/>
      </c>
      <c r="N495" s="41" t="str">
        <f>IF(MasterFees[[#This Row],[GST Basis]]="Incl",MasterFees[[#This Row],[Fee as Printed]],IF(MasterFees[[#This Row],[GST Basis]]="Excl",MasterFees[[#This Row],[Fee as Printed]]*(1+GST_Rate),""))</f>
        <v/>
      </c>
      <c r="O495" s="42">
        <f>IF(N(MasterFees[[#This Row],[Total Units]])=0,"",MasterFees[[#This Row],[Fee as Printed]]/MasterFees[[#This Row],[Total Units]])</f>
        <v>54.805309734513266</v>
      </c>
      <c r="P495" s="43"/>
      <c r="Q495" s="46" t="s">
        <v>1013</v>
      </c>
      <c r="R495" s="46" t="s">
        <v>1603</v>
      </c>
      <c r="S495" s="37"/>
    </row>
    <row r="496" spans="1:19" x14ac:dyDescent="0.2">
      <c r="A496" s="36"/>
      <c r="B496" s="38" t="str">
        <f>IF(MasterFees[[#This Row],[RVG Code]]="","",_xlfn.XLOOKUP(MasterFees[[#This Row],[RVG Code]],RVGCodes[Code],RVGCodes[Base Units],"Code not found"))</f>
        <v/>
      </c>
      <c r="C496" s="37" t="s">
        <v>496</v>
      </c>
      <c r="D496" s="44" t="s">
        <v>1108</v>
      </c>
      <c r="E496" s="44"/>
      <c r="F496" s="44" t="s">
        <v>1109</v>
      </c>
      <c r="G496" s="39">
        <v>6.4</v>
      </c>
      <c r="H496" s="39">
        <v>5.0999999999999996</v>
      </c>
      <c r="I496" s="39">
        <v>0.7</v>
      </c>
      <c r="J496" s="39">
        <v>12.2</v>
      </c>
      <c r="K496" s="40">
        <v>673.2</v>
      </c>
      <c r="L496" s="45" t="s">
        <v>1015</v>
      </c>
      <c r="M496" s="41" t="str">
        <f>IF(MasterFees[[#This Row],[GST Basis]]="Excl",MasterFees[[#This Row],[Fee as Printed]],IF(MasterFees[[#This Row],[GST Basis]]="Incl",MasterFees[[#This Row],[Fee as Printed]]/(1+GST_Rate),""))</f>
        <v/>
      </c>
      <c r="N496" s="41" t="str">
        <f>IF(MasterFees[[#This Row],[GST Basis]]="Incl",MasterFees[[#This Row],[Fee as Printed]],IF(MasterFees[[#This Row],[GST Basis]]="Excl",MasterFees[[#This Row],[Fee as Printed]]*(1+GST_Rate),""))</f>
        <v/>
      </c>
      <c r="O496" s="42">
        <f>IF(N(MasterFees[[#This Row],[Total Units]])=0,"",MasterFees[[#This Row],[Fee as Printed]]/MasterFees[[#This Row],[Total Units]])</f>
        <v>55.180327868852466</v>
      </c>
      <c r="P496" s="43"/>
      <c r="Q496" s="46" t="s">
        <v>1013</v>
      </c>
      <c r="R496" s="46" t="s">
        <v>1604</v>
      </c>
      <c r="S496" s="37"/>
    </row>
    <row r="497" spans="1:19" x14ac:dyDescent="0.2">
      <c r="A497" s="36"/>
      <c r="B497" s="38" t="str">
        <f>IF(MasterFees[[#This Row],[RVG Code]]="","",_xlfn.XLOOKUP(MasterFees[[#This Row],[RVG Code]],RVGCodes[Code],RVGCodes[Base Units],"Code not found"))</f>
        <v/>
      </c>
      <c r="C497" s="37" t="s">
        <v>497</v>
      </c>
      <c r="D497" s="44" t="s">
        <v>1108</v>
      </c>
      <c r="E497" s="44"/>
      <c r="F497" s="44" t="s">
        <v>1109</v>
      </c>
      <c r="G497" s="39">
        <v>9.3000000000000007</v>
      </c>
      <c r="H497" s="39">
        <v>11.3</v>
      </c>
      <c r="I497" s="39">
        <v>0.8</v>
      </c>
      <c r="J497" s="39">
        <v>21.3</v>
      </c>
      <c r="K497" s="40">
        <v>1173.1500000000001</v>
      </c>
      <c r="L497" s="45" t="s">
        <v>1015</v>
      </c>
      <c r="M497" s="41" t="str">
        <f>IF(MasterFees[[#This Row],[GST Basis]]="Excl",MasterFees[[#This Row],[Fee as Printed]],IF(MasterFees[[#This Row],[GST Basis]]="Incl",MasterFees[[#This Row],[Fee as Printed]]/(1+GST_Rate),""))</f>
        <v/>
      </c>
      <c r="N497" s="41" t="str">
        <f>IF(MasterFees[[#This Row],[GST Basis]]="Incl",MasterFees[[#This Row],[Fee as Printed]],IF(MasterFees[[#This Row],[GST Basis]]="Excl",MasterFees[[#This Row],[Fee as Printed]]*(1+GST_Rate),""))</f>
        <v/>
      </c>
      <c r="O497" s="42">
        <f>IF(N(MasterFees[[#This Row],[Total Units]])=0,"",MasterFees[[#This Row],[Fee as Printed]]/MasterFees[[#This Row],[Total Units]])</f>
        <v>55.077464788732399</v>
      </c>
      <c r="P497" s="43"/>
      <c r="Q497" s="46" t="s">
        <v>1013</v>
      </c>
      <c r="R497" s="46" t="s">
        <v>1605</v>
      </c>
      <c r="S497" s="37"/>
    </row>
    <row r="498" spans="1:19" x14ac:dyDescent="0.2">
      <c r="A498" s="36"/>
      <c r="B498" s="38" t="str">
        <f>IF(MasterFees[[#This Row],[RVG Code]]="","",_xlfn.XLOOKUP(MasterFees[[#This Row],[RVG Code]],RVGCodes[Code],RVGCodes[Base Units],"Code not found"))</f>
        <v/>
      </c>
      <c r="C498" s="37" t="s">
        <v>498</v>
      </c>
      <c r="D498" s="44" t="s">
        <v>1108</v>
      </c>
      <c r="E498" s="44"/>
      <c r="F498" s="44" t="s">
        <v>1109</v>
      </c>
      <c r="G498" s="39">
        <v>7.1</v>
      </c>
      <c r="H498" s="39">
        <v>4.7</v>
      </c>
      <c r="I498" s="39">
        <v>0.7</v>
      </c>
      <c r="J498" s="39">
        <v>12.5</v>
      </c>
      <c r="K498" s="40">
        <v>684.75</v>
      </c>
      <c r="L498" s="45" t="s">
        <v>1015</v>
      </c>
      <c r="M498" s="41" t="str">
        <f>IF(MasterFees[[#This Row],[GST Basis]]="Excl",MasterFees[[#This Row],[Fee as Printed]],IF(MasterFees[[#This Row],[GST Basis]]="Incl",MasterFees[[#This Row],[Fee as Printed]]/(1+GST_Rate),""))</f>
        <v/>
      </c>
      <c r="N498" s="41" t="str">
        <f>IF(MasterFees[[#This Row],[GST Basis]]="Incl",MasterFees[[#This Row],[Fee as Printed]],IF(MasterFees[[#This Row],[GST Basis]]="Excl",MasterFees[[#This Row],[Fee as Printed]]*(1+GST_Rate),""))</f>
        <v/>
      </c>
      <c r="O498" s="42">
        <f>IF(N(MasterFees[[#This Row],[Total Units]])=0,"",MasterFees[[#This Row],[Fee as Printed]]/MasterFees[[#This Row],[Total Units]])</f>
        <v>54.78</v>
      </c>
      <c r="P498" s="43"/>
      <c r="Q498" s="46" t="s">
        <v>1013</v>
      </c>
      <c r="R498" s="46" t="s">
        <v>1606</v>
      </c>
      <c r="S498" s="37"/>
    </row>
    <row r="499" spans="1:19" x14ac:dyDescent="0.2">
      <c r="A499" s="36"/>
      <c r="B499" s="38" t="str">
        <f>IF(MasterFees[[#This Row],[RVG Code]]="","",_xlfn.XLOOKUP(MasterFees[[#This Row],[RVG Code]],RVGCodes[Code],RVGCodes[Base Units],"Code not found"))</f>
        <v/>
      </c>
      <c r="C499" s="37" t="s">
        <v>499</v>
      </c>
      <c r="D499" s="44" t="s">
        <v>1108</v>
      </c>
      <c r="E499" s="44"/>
      <c r="F499" s="44" t="s">
        <v>1109</v>
      </c>
      <c r="G499" s="39">
        <v>5.3</v>
      </c>
      <c r="H499" s="39">
        <v>4.5</v>
      </c>
      <c r="I499" s="39">
        <v>0.7</v>
      </c>
      <c r="J499" s="39">
        <v>10.5</v>
      </c>
      <c r="K499" s="40">
        <v>576.95000000000005</v>
      </c>
      <c r="L499" s="45" t="s">
        <v>1015</v>
      </c>
      <c r="M499" s="41" t="str">
        <f>IF(MasterFees[[#This Row],[GST Basis]]="Excl",MasterFees[[#This Row],[Fee as Printed]],IF(MasterFees[[#This Row],[GST Basis]]="Incl",MasterFees[[#This Row],[Fee as Printed]]/(1+GST_Rate),""))</f>
        <v/>
      </c>
      <c r="N499" s="41" t="str">
        <f>IF(MasterFees[[#This Row],[GST Basis]]="Incl",MasterFees[[#This Row],[Fee as Printed]],IF(MasterFees[[#This Row],[GST Basis]]="Excl",MasterFees[[#This Row],[Fee as Printed]]*(1+GST_Rate),""))</f>
        <v/>
      </c>
      <c r="O499" s="42">
        <f>IF(N(MasterFees[[#This Row],[Total Units]])=0,"",MasterFees[[#This Row],[Fee as Printed]]/MasterFees[[#This Row],[Total Units]])</f>
        <v>54.94761904761905</v>
      </c>
      <c r="P499" s="43"/>
      <c r="Q499" s="46" t="s">
        <v>1013</v>
      </c>
      <c r="R499" s="46" t="s">
        <v>1607</v>
      </c>
      <c r="S499" s="37"/>
    </row>
    <row r="500" spans="1:19" x14ac:dyDescent="0.2">
      <c r="A500" s="36"/>
      <c r="B500" s="38" t="str">
        <f>IF(MasterFees[[#This Row],[RVG Code]]="","",_xlfn.XLOOKUP(MasterFees[[#This Row],[RVG Code]],RVGCodes[Code],RVGCodes[Base Units],"Code not found"))</f>
        <v/>
      </c>
      <c r="C500" s="37" t="s">
        <v>500</v>
      </c>
      <c r="D500" s="44" t="s">
        <v>1108</v>
      </c>
      <c r="E500" s="44"/>
      <c r="F500" s="44" t="s">
        <v>1109</v>
      </c>
      <c r="G500" s="39">
        <v>5.0999999999999996</v>
      </c>
      <c r="H500" s="39">
        <v>5</v>
      </c>
      <c r="I500" s="39">
        <v>0.6</v>
      </c>
      <c r="J500" s="39">
        <v>10.7</v>
      </c>
      <c r="K500" s="40">
        <v>590.70000000000005</v>
      </c>
      <c r="L500" s="45" t="s">
        <v>1015</v>
      </c>
      <c r="M500" s="41" t="str">
        <f>IF(MasterFees[[#This Row],[GST Basis]]="Excl",MasterFees[[#This Row],[Fee as Printed]],IF(MasterFees[[#This Row],[GST Basis]]="Incl",MasterFees[[#This Row],[Fee as Printed]]/(1+GST_Rate),""))</f>
        <v/>
      </c>
      <c r="N500" s="41" t="str">
        <f>IF(MasterFees[[#This Row],[GST Basis]]="Incl",MasterFees[[#This Row],[Fee as Printed]],IF(MasterFees[[#This Row],[GST Basis]]="Excl",MasterFees[[#This Row],[Fee as Printed]]*(1+GST_Rate),""))</f>
        <v/>
      </c>
      <c r="O500" s="42">
        <f>IF(N(MasterFees[[#This Row],[Total Units]])=0,"",MasterFees[[#This Row],[Fee as Printed]]/MasterFees[[#This Row],[Total Units]])</f>
        <v>55.205607476635521</v>
      </c>
      <c r="P500" s="43"/>
      <c r="Q500" s="46" t="s">
        <v>1013</v>
      </c>
      <c r="R500" s="46" t="s">
        <v>1608</v>
      </c>
      <c r="S500" s="37"/>
    </row>
    <row r="501" spans="1:19" x14ac:dyDescent="0.2">
      <c r="A501" s="36"/>
      <c r="B501" s="38" t="str">
        <f>IF(MasterFees[[#This Row],[RVG Code]]="","",_xlfn.XLOOKUP(MasterFees[[#This Row],[RVG Code]],RVGCodes[Code],RVGCodes[Base Units],"Code not found"))</f>
        <v/>
      </c>
      <c r="C501" s="37" t="s">
        <v>501</v>
      </c>
      <c r="D501" s="44" t="s">
        <v>1108</v>
      </c>
      <c r="E501" s="44"/>
      <c r="F501" s="44" t="s">
        <v>1109</v>
      </c>
      <c r="G501" s="39">
        <v>5.0999999999999996</v>
      </c>
      <c r="H501" s="39">
        <v>4.7</v>
      </c>
      <c r="I501" s="39">
        <v>0.3</v>
      </c>
      <c r="J501" s="39">
        <v>10</v>
      </c>
      <c r="K501" s="40">
        <v>549.45000000000005</v>
      </c>
      <c r="L501" s="45" t="s">
        <v>1015</v>
      </c>
      <c r="M501" s="41" t="str">
        <f>IF(MasterFees[[#This Row],[GST Basis]]="Excl",MasterFees[[#This Row],[Fee as Printed]],IF(MasterFees[[#This Row],[GST Basis]]="Incl",MasterFees[[#This Row],[Fee as Printed]]/(1+GST_Rate),""))</f>
        <v/>
      </c>
      <c r="N501" s="41" t="str">
        <f>IF(MasterFees[[#This Row],[GST Basis]]="Incl",MasterFees[[#This Row],[Fee as Printed]],IF(MasterFees[[#This Row],[GST Basis]]="Excl",MasterFees[[#This Row],[Fee as Printed]]*(1+GST_Rate),""))</f>
        <v/>
      </c>
      <c r="O501" s="42">
        <f>IF(N(MasterFees[[#This Row],[Total Units]])=0,"",MasterFees[[#This Row],[Fee as Printed]]/MasterFees[[#This Row],[Total Units]])</f>
        <v>54.945000000000007</v>
      </c>
      <c r="P501" s="43"/>
      <c r="Q501" s="46" t="s">
        <v>1013</v>
      </c>
      <c r="R501" s="46" t="s">
        <v>1609</v>
      </c>
      <c r="S501" s="37"/>
    </row>
    <row r="502" spans="1:19" x14ac:dyDescent="0.2">
      <c r="A502" s="36"/>
      <c r="B502" s="38" t="str">
        <f>IF(MasterFees[[#This Row],[RVG Code]]="","",_xlfn.XLOOKUP(MasterFees[[#This Row],[RVG Code]],RVGCodes[Code],RVGCodes[Base Units],"Code not found"))</f>
        <v/>
      </c>
      <c r="C502" s="37" t="s">
        <v>502</v>
      </c>
      <c r="D502" s="44" t="s">
        <v>1108</v>
      </c>
      <c r="E502" s="44"/>
      <c r="F502" s="44" t="s">
        <v>1109</v>
      </c>
      <c r="G502" s="39">
        <v>4.8</v>
      </c>
      <c r="H502" s="39">
        <v>6.9</v>
      </c>
      <c r="I502" s="39">
        <v>0.7</v>
      </c>
      <c r="J502" s="39">
        <v>12.4</v>
      </c>
      <c r="K502" s="40">
        <v>680.9</v>
      </c>
      <c r="L502" s="45" t="s">
        <v>1015</v>
      </c>
      <c r="M502" s="41" t="str">
        <f>IF(MasterFees[[#This Row],[GST Basis]]="Excl",MasterFees[[#This Row],[Fee as Printed]],IF(MasterFees[[#This Row],[GST Basis]]="Incl",MasterFees[[#This Row],[Fee as Printed]]/(1+GST_Rate),""))</f>
        <v/>
      </c>
      <c r="N502" s="41" t="str">
        <f>IF(MasterFees[[#This Row],[GST Basis]]="Incl",MasterFees[[#This Row],[Fee as Printed]],IF(MasterFees[[#This Row],[GST Basis]]="Excl",MasterFees[[#This Row],[Fee as Printed]]*(1+GST_Rate),""))</f>
        <v/>
      </c>
      <c r="O502" s="42">
        <f>IF(N(MasterFees[[#This Row],[Total Units]])=0,"",MasterFees[[#This Row],[Fee as Printed]]/MasterFees[[#This Row],[Total Units]])</f>
        <v>54.911290322580641</v>
      </c>
      <c r="P502" s="43"/>
      <c r="Q502" s="46" t="s">
        <v>1013</v>
      </c>
      <c r="R502" s="46" t="s">
        <v>1610</v>
      </c>
      <c r="S502" s="37"/>
    </row>
    <row r="503" spans="1:19" x14ac:dyDescent="0.2">
      <c r="A503" s="36"/>
      <c r="B503" s="38" t="str">
        <f>IF(MasterFees[[#This Row],[RVG Code]]="","",_xlfn.XLOOKUP(MasterFees[[#This Row],[RVG Code]],RVGCodes[Code],RVGCodes[Base Units],"Code not found"))</f>
        <v/>
      </c>
      <c r="C503" s="37" t="s">
        <v>503</v>
      </c>
      <c r="D503" s="44" t="s">
        <v>1108</v>
      </c>
      <c r="E503" s="44"/>
      <c r="F503" s="44" t="s">
        <v>1109</v>
      </c>
      <c r="G503" s="39">
        <v>10</v>
      </c>
      <c r="H503" s="39">
        <v>10</v>
      </c>
      <c r="I503" s="39">
        <v>4</v>
      </c>
      <c r="J503" s="39">
        <v>24</v>
      </c>
      <c r="K503" s="40">
        <v>1320</v>
      </c>
      <c r="L503" s="45" t="s">
        <v>1015</v>
      </c>
      <c r="M503" s="41" t="str">
        <f>IF(MasterFees[[#This Row],[GST Basis]]="Excl",MasterFees[[#This Row],[Fee as Printed]],IF(MasterFees[[#This Row],[GST Basis]]="Incl",MasterFees[[#This Row],[Fee as Printed]]/(1+GST_Rate),""))</f>
        <v/>
      </c>
      <c r="N503" s="41" t="str">
        <f>IF(MasterFees[[#This Row],[GST Basis]]="Incl",MasterFees[[#This Row],[Fee as Printed]],IF(MasterFees[[#This Row],[GST Basis]]="Excl",MasterFees[[#This Row],[Fee as Printed]]*(1+GST_Rate),""))</f>
        <v/>
      </c>
      <c r="O503" s="42">
        <f>IF(N(MasterFees[[#This Row],[Total Units]])=0,"",MasterFees[[#This Row],[Fee as Printed]]/MasterFees[[#This Row],[Total Units]])</f>
        <v>55</v>
      </c>
      <c r="P503" s="43"/>
      <c r="Q503" s="46" t="s">
        <v>1013</v>
      </c>
      <c r="R503" s="46" t="s">
        <v>1611</v>
      </c>
      <c r="S503" s="37"/>
    </row>
    <row r="504" spans="1:19" x14ac:dyDescent="0.2">
      <c r="A504" s="36"/>
      <c r="B504" s="38" t="str">
        <f>IF(MasterFees[[#This Row],[RVG Code]]="","",_xlfn.XLOOKUP(MasterFees[[#This Row],[RVG Code]],RVGCodes[Code],RVGCodes[Base Units],"Code not found"))</f>
        <v/>
      </c>
      <c r="C504" s="37" t="s">
        <v>504</v>
      </c>
      <c r="D504" s="44" t="s">
        <v>1108</v>
      </c>
      <c r="E504" s="44"/>
      <c r="F504" s="44" t="s">
        <v>1109</v>
      </c>
      <c r="G504" s="39">
        <v>8.3000000000000007</v>
      </c>
      <c r="H504" s="39">
        <v>16.399999999999999</v>
      </c>
      <c r="I504" s="39">
        <v>1.4</v>
      </c>
      <c r="J504" s="39">
        <v>26</v>
      </c>
      <c r="K504" s="40">
        <v>1432.2</v>
      </c>
      <c r="L504" s="45" t="s">
        <v>1015</v>
      </c>
      <c r="M504" s="41" t="str">
        <f>IF(MasterFees[[#This Row],[GST Basis]]="Excl",MasterFees[[#This Row],[Fee as Printed]],IF(MasterFees[[#This Row],[GST Basis]]="Incl",MasterFees[[#This Row],[Fee as Printed]]/(1+GST_Rate),""))</f>
        <v/>
      </c>
      <c r="N504" s="41" t="str">
        <f>IF(MasterFees[[#This Row],[GST Basis]]="Incl",MasterFees[[#This Row],[Fee as Printed]],IF(MasterFees[[#This Row],[GST Basis]]="Excl",MasterFees[[#This Row],[Fee as Printed]]*(1+GST_Rate),""))</f>
        <v/>
      </c>
      <c r="O504" s="42">
        <f>IF(N(MasterFees[[#This Row],[Total Units]])=0,"",MasterFees[[#This Row],[Fee as Printed]]/MasterFees[[#This Row],[Total Units]])</f>
        <v>55.08461538461539</v>
      </c>
      <c r="P504" s="43"/>
      <c r="Q504" s="46" t="s">
        <v>1013</v>
      </c>
      <c r="R504" s="46" t="s">
        <v>1612</v>
      </c>
      <c r="S504" s="37"/>
    </row>
    <row r="505" spans="1:19" x14ac:dyDescent="0.2">
      <c r="A505" s="36"/>
      <c r="B505" s="38" t="str">
        <f>IF(MasterFees[[#This Row],[RVG Code]]="","",_xlfn.XLOOKUP(MasterFees[[#This Row],[RVG Code]],RVGCodes[Code],RVGCodes[Base Units],"Code not found"))</f>
        <v/>
      </c>
      <c r="C505" s="37" t="s">
        <v>505</v>
      </c>
      <c r="D505" s="44" t="s">
        <v>1108</v>
      </c>
      <c r="E505" s="44"/>
      <c r="F505" s="44" t="s">
        <v>1109</v>
      </c>
      <c r="G505" s="39">
        <v>10</v>
      </c>
      <c r="H505" s="39">
        <v>16</v>
      </c>
      <c r="I505" s="39">
        <v>3</v>
      </c>
      <c r="J505" s="39">
        <v>29</v>
      </c>
      <c r="K505" s="40">
        <v>1595</v>
      </c>
      <c r="L505" s="45" t="s">
        <v>1015</v>
      </c>
      <c r="M505" s="41" t="str">
        <f>IF(MasterFees[[#This Row],[GST Basis]]="Excl",MasterFees[[#This Row],[Fee as Printed]],IF(MasterFees[[#This Row],[GST Basis]]="Incl",MasterFees[[#This Row],[Fee as Printed]]/(1+GST_Rate),""))</f>
        <v/>
      </c>
      <c r="N505" s="41" t="str">
        <f>IF(MasterFees[[#This Row],[GST Basis]]="Incl",MasterFees[[#This Row],[Fee as Printed]],IF(MasterFees[[#This Row],[GST Basis]]="Excl",MasterFees[[#This Row],[Fee as Printed]]*(1+GST_Rate),""))</f>
        <v/>
      </c>
      <c r="O505" s="42">
        <f>IF(N(MasterFees[[#This Row],[Total Units]])=0,"",MasterFees[[#This Row],[Fee as Printed]]/MasterFees[[#This Row],[Total Units]])</f>
        <v>55</v>
      </c>
      <c r="P505" s="43"/>
      <c r="Q505" s="46" t="s">
        <v>1013</v>
      </c>
      <c r="R505" s="46" t="s">
        <v>1613</v>
      </c>
      <c r="S505" s="37"/>
    </row>
    <row r="506" spans="1:19" x14ac:dyDescent="0.2">
      <c r="A506" s="36"/>
      <c r="B506" s="38" t="str">
        <f>IF(MasterFees[[#This Row],[RVG Code]]="","",_xlfn.XLOOKUP(MasterFees[[#This Row],[RVG Code]],RVGCodes[Code],RVGCodes[Base Units],"Code not found"))</f>
        <v/>
      </c>
      <c r="C506" s="37" t="s">
        <v>506</v>
      </c>
      <c r="D506" s="44" t="s">
        <v>1108</v>
      </c>
      <c r="E506" s="44"/>
      <c r="F506" s="44" t="s">
        <v>1109</v>
      </c>
      <c r="G506" s="39">
        <v>6.5</v>
      </c>
      <c r="H506" s="39">
        <v>6</v>
      </c>
      <c r="I506" s="39">
        <v>0</v>
      </c>
      <c r="J506" s="39">
        <v>12.5</v>
      </c>
      <c r="K506" s="40">
        <v>687.5</v>
      </c>
      <c r="L506" s="45" t="s">
        <v>1015</v>
      </c>
      <c r="M506" s="41" t="str">
        <f>IF(MasterFees[[#This Row],[GST Basis]]="Excl",MasterFees[[#This Row],[Fee as Printed]],IF(MasterFees[[#This Row],[GST Basis]]="Incl",MasterFees[[#This Row],[Fee as Printed]]/(1+GST_Rate),""))</f>
        <v/>
      </c>
      <c r="N506" s="41" t="str">
        <f>IF(MasterFees[[#This Row],[GST Basis]]="Incl",MasterFees[[#This Row],[Fee as Printed]],IF(MasterFees[[#This Row],[GST Basis]]="Excl",MasterFees[[#This Row],[Fee as Printed]]*(1+GST_Rate),""))</f>
        <v/>
      </c>
      <c r="O506" s="42">
        <f>IF(N(MasterFees[[#This Row],[Total Units]])=0,"",MasterFees[[#This Row],[Fee as Printed]]/MasterFees[[#This Row],[Total Units]])</f>
        <v>55</v>
      </c>
      <c r="P506" s="43"/>
      <c r="Q506" s="46" t="s">
        <v>1013</v>
      </c>
      <c r="R506" s="46" t="s">
        <v>1614</v>
      </c>
      <c r="S506" s="37"/>
    </row>
    <row r="507" spans="1:19" x14ac:dyDescent="0.2">
      <c r="A507" s="36"/>
      <c r="B507" s="38" t="str">
        <f>IF(MasterFees[[#This Row],[RVG Code]]="","",_xlfn.XLOOKUP(MasterFees[[#This Row],[RVG Code]],RVGCodes[Code],RVGCodes[Base Units],"Code not found"))</f>
        <v/>
      </c>
      <c r="C507" s="37" t="s">
        <v>507</v>
      </c>
      <c r="D507" s="44" t="s">
        <v>1108</v>
      </c>
      <c r="E507" s="44"/>
      <c r="F507" s="44" t="s">
        <v>1109</v>
      </c>
      <c r="G507" s="39">
        <v>5</v>
      </c>
      <c r="H507" s="39">
        <v>6</v>
      </c>
      <c r="I507" s="39">
        <v>1</v>
      </c>
      <c r="J507" s="39">
        <v>12</v>
      </c>
      <c r="K507" s="40">
        <v>660</v>
      </c>
      <c r="L507" s="45" t="s">
        <v>1015</v>
      </c>
      <c r="M507" s="41" t="str">
        <f>IF(MasterFees[[#This Row],[GST Basis]]="Excl",MasterFees[[#This Row],[Fee as Printed]],IF(MasterFees[[#This Row],[GST Basis]]="Incl",MasterFees[[#This Row],[Fee as Printed]]/(1+GST_Rate),""))</f>
        <v/>
      </c>
      <c r="N507" s="41" t="str">
        <f>IF(MasterFees[[#This Row],[GST Basis]]="Incl",MasterFees[[#This Row],[Fee as Printed]],IF(MasterFees[[#This Row],[GST Basis]]="Excl",MasterFees[[#This Row],[Fee as Printed]]*(1+GST_Rate),""))</f>
        <v/>
      </c>
      <c r="O507" s="42">
        <f>IF(N(MasterFees[[#This Row],[Total Units]])=0,"",MasterFees[[#This Row],[Fee as Printed]]/MasterFees[[#This Row],[Total Units]])</f>
        <v>55</v>
      </c>
      <c r="P507" s="43"/>
      <c r="Q507" s="46" t="s">
        <v>1013</v>
      </c>
      <c r="R507" s="46" t="s">
        <v>1615</v>
      </c>
      <c r="S507" s="37"/>
    </row>
    <row r="508" spans="1:19" x14ac:dyDescent="0.2">
      <c r="A508" s="36"/>
      <c r="B508" s="38" t="str">
        <f>IF(MasterFees[[#This Row],[RVG Code]]="","",_xlfn.XLOOKUP(MasterFees[[#This Row],[RVG Code]],RVGCodes[Code],RVGCodes[Base Units],"Code not found"))</f>
        <v/>
      </c>
      <c r="C508" s="37" t="s">
        <v>508</v>
      </c>
      <c r="D508" s="44" t="s">
        <v>1108</v>
      </c>
      <c r="E508" s="44"/>
      <c r="F508" s="44" t="s">
        <v>1109</v>
      </c>
      <c r="G508" s="39">
        <v>5.4</v>
      </c>
      <c r="H508" s="39">
        <v>4.9000000000000004</v>
      </c>
      <c r="I508" s="39">
        <v>0.7</v>
      </c>
      <c r="J508" s="39">
        <v>11.1</v>
      </c>
      <c r="K508" s="40">
        <v>608.29999999999995</v>
      </c>
      <c r="L508" s="45" t="s">
        <v>1015</v>
      </c>
      <c r="M508" s="41" t="str">
        <f>IF(MasterFees[[#This Row],[GST Basis]]="Excl",MasterFees[[#This Row],[Fee as Printed]],IF(MasterFees[[#This Row],[GST Basis]]="Incl",MasterFees[[#This Row],[Fee as Printed]]/(1+GST_Rate),""))</f>
        <v/>
      </c>
      <c r="N508" s="41" t="str">
        <f>IF(MasterFees[[#This Row],[GST Basis]]="Incl",MasterFees[[#This Row],[Fee as Printed]],IF(MasterFees[[#This Row],[GST Basis]]="Excl",MasterFees[[#This Row],[Fee as Printed]]*(1+GST_Rate),""))</f>
        <v/>
      </c>
      <c r="O508" s="42">
        <f>IF(N(MasterFees[[#This Row],[Total Units]])=0,"",MasterFees[[#This Row],[Fee as Printed]]/MasterFees[[#This Row],[Total Units]])</f>
        <v>54.801801801801801</v>
      </c>
      <c r="P508" s="43"/>
      <c r="Q508" s="46" t="s">
        <v>1013</v>
      </c>
      <c r="R508" s="46" t="s">
        <v>1616</v>
      </c>
      <c r="S508" s="37"/>
    </row>
    <row r="509" spans="1:19" x14ac:dyDescent="0.2">
      <c r="A509" s="36"/>
      <c r="B509" s="38" t="str">
        <f>IF(MasterFees[[#This Row],[RVG Code]]="","",_xlfn.XLOOKUP(MasterFees[[#This Row],[RVG Code]],RVGCodes[Code],RVGCodes[Base Units],"Code not found"))</f>
        <v/>
      </c>
      <c r="C509" s="37" t="s">
        <v>509</v>
      </c>
      <c r="D509" s="44" t="s">
        <v>1108</v>
      </c>
      <c r="E509" s="44"/>
      <c r="F509" s="44" t="s">
        <v>1109</v>
      </c>
      <c r="G509" s="39">
        <v>5.4</v>
      </c>
      <c r="H509" s="39">
        <v>5.4</v>
      </c>
      <c r="I509" s="39">
        <v>1.4</v>
      </c>
      <c r="J509" s="39">
        <v>12.2</v>
      </c>
      <c r="K509" s="40">
        <v>671</v>
      </c>
      <c r="L509" s="45" t="s">
        <v>1015</v>
      </c>
      <c r="M509" s="41" t="str">
        <f>IF(MasterFees[[#This Row],[GST Basis]]="Excl",MasterFees[[#This Row],[Fee as Printed]],IF(MasterFees[[#This Row],[GST Basis]]="Incl",MasterFees[[#This Row],[Fee as Printed]]/(1+GST_Rate),""))</f>
        <v/>
      </c>
      <c r="N509" s="41" t="str">
        <f>IF(MasterFees[[#This Row],[GST Basis]]="Incl",MasterFees[[#This Row],[Fee as Printed]],IF(MasterFees[[#This Row],[GST Basis]]="Excl",MasterFees[[#This Row],[Fee as Printed]]*(1+GST_Rate),""))</f>
        <v/>
      </c>
      <c r="O509" s="42">
        <f>IF(N(MasterFees[[#This Row],[Total Units]])=0,"",MasterFees[[#This Row],[Fee as Printed]]/MasterFees[[#This Row],[Total Units]])</f>
        <v>55</v>
      </c>
      <c r="P509" s="43"/>
      <c r="Q509" s="46" t="s">
        <v>1013</v>
      </c>
      <c r="R509" s="46" t="s">
        <v>1617</v>
      </c>
      <c r="S509" s="37"/>
    </row>
    <row r="510" spans="1:19" x14ac:dyDescent="0.2">
      <c r="A510" s="36"/>
      <c r="B510" s="38" t="str">
        <f>IF(MasterFees[[#This Row],[RVG Code]]="","",_xlfn.XLOOKUP(MasterFees[[#This Row],[RVG Code]],RVGCodes[Code],RVGCodes[Base Units],"Code not found"))</f>
        <v/>
      </c>
      <c r="C510" s="37" t="s">
        <v>510</v>
      </c>
      <c r="D510" s="44" t="s">
        <v>1108</v>
      </c>
      <c r="E510" s="44"/>
      <c r="F510" s="44" t="s">
        <v>1109</v>
      </c>
      <c r="G510" s="39">
        <v>6</v>
      </c>
      <c r="H510" s="39">
        <v>7.3</v>
      </c>
      <c r="I510" s="39">
        <v>0.2</v>
      </c>
      <c r="J510" s="39">
        <v>13.5</v>
      </c>
      <c r="K510" s="40">
        <v>742.5</v>
      </c>
      <c r="L510" s="45" t="s">
        <v>1015</v>
      </c>
      <c r="M510" s="41" t="str">
        <f>IF(MasterFees[[#This Row],[GST Basis]]="Excl",MasterFees[[#This Row],[Fee as Printed]],IF(MasterFees[[#This Row],[GST Basis]]="Incl",MasterFees[[#This Row],[Fee as Printed]]/(1+GST_Rate),""))</f>
        <v/>
      </c>
      <c r="N510" s="41" t="str">
        <f>IF(MasterFees[[#This Row],[GST Basis]]="Incl",MasterFees[[#This Row],[Fee as Printed]],IF(MasterFees[[#This Row],[GST Basis]]="Excl",MasterFees[[#This Row],[Fee as Printed]]*(1+GST_Rate),""))</f>
        <v/>
      </c>
      <c r="O510" s="42">
        <f>IF(N(MasterFees[[#This Row],[Total Units]])=0,"",MasterFees[[#This Row],[Fee as Printed]]/MasterFees[[#This Row],[Total Units]])</f>
        <v>55</v>
      </c>
      <c r="P510" s="43"/>
      <c r="Q510" s="46" t="s">
        <v>1013</v>
      </c>
      <c r="R510" s="46" t="s">
        <v>1618</v>
      </c>
      <c r="S510" s="37"/>
    </row>
    <row r="511" spans="1:19" x14ac:dyDescent="0.2">
      <c r="A511" s="36"/>
      <c r="B511" s="38" t="str">
        <f>IF(MasterFees[[#This Row],[RVG Code]]="","",_xlfn.XLOOKUP(MasterFees[[#This Row],[RVG Code]],RVGCodes[Code],RVGCodes[Base Units],"Code not found"))</f>
        <v/>
      </c>
      <c r="C511" s="37" t="s">
        <v>511</v>
      </c>
      <c r="D511" s="44" t="s">
        <v>1108</v>
      </c>
      <c r="E511" s="44"/>
      <c r="F511" s="44" t="s">
        <v>1109</v>
      </c>
      <c r="G511" s="39">
        <v>9</v>
      </c>
      <c r="H511" s="39">
        <v>12</v>
      </c>
      <c r="I511" s="39">
        <v>2.9</v>
      </c>
      <c r="J511" s="39">
        <v>23.9</v>
      </c>
      <c r="K511" s="40">
        <v>1311.75</v>
      </c>
      <c r="L511" s="45" t="s">
        <v>1015</v>
      </c>
      <c r="M511" s="41" t="str">
        <f>IF(MasterFees[[#This Row],[GST Basis]]="Excl",MasterFees[[#This Row],[Fee as Printed]],IF(MasterFees[[#This Row],[GST Basis]]="Incl",MasterFees[[#This Row],[Fee as Printed]]/(1+GST_Rate),""))</f>
        <v/>
      </c>
      <c r="N511" s="41" t="str">
        <f>IF(MasterFees[[#This Row],[GST Basis]]="Incl",MasterFees[[#This Row],[Fee as Printed]],IF(MasterFees[[#This Row],[GST Basis]]="Excl",MasterFees[[#This Row],[Fee as Printed]]*(1+GST_Rate),""))</f>
        <v/>
      </c>
      <c r="O511" s="42">
        <f>IF(N(MasterFees[[#This Row],[Total Units]])=0,"",MasterFees[[#This Row],[Fee as Printed]]/MasterFees[[#This Row],[Total Units]])</f>
        <v>54.884937238493727</v>
      </c>
      <c r="P511" s="43"/>
      <c r="Q511" s="46" t="s">
        <v>1013</v>
      </c>
      <c r="R511" s="46" t="s">
        <v>1619</v>
      </c>
      <c r="S511" s="37"/>
    </row>
    <row r="512" spans="1:19" x14ac:dyDescent="0.2">
      <c r="A512" s="36"/>
      <c r="B512" s="38" t="str">
        <f>IF(MasterFees[[#This Row],[RVG Code]]="","",_xlfn.XLOOKUP(MasterFees[[#This Row],[RVG Code]],RVGCodes[Code],RVGCodes[Base Units],"Code not found"))</f>
        <v/>
      </c>
      <c r="C512" s="37" t="s">
        <v>512</v>
      </c>
      <c r="D512" s="44" t="s">
        <v>1108</v>
      </c>
      <c r="E512" s="44"/>
      <c r="F512" s="44" t="s">
        <v>1109</v>
      </c>
      <c r="G512" s="39">
        <v>4.5</v>
      </c>
      <c r="H512" s="39">
        <v>3.2</v>
      </c>
      <c r="I512" s="39">
        <v>0.4</v>
      </c>
      <c r="J512" s="39">
        <v>8.1</v>
      </c>
      <c r="K512" s="40">
        <v>444.4</v>
      </c>
      <c r="L512" s="45" t="s">
        <v>1015</v>
      </c>
      <c r="M512" s="41" t="str">
        <f>IF(MasterFees[[#This Row],[GST Basis]]="Excl",MasterFees[[#This Row],[Fee as Printed]],IF(MasterFees[[#This Row],[GST Basis]]="Incl",MasterFees[[#This Row],[Fee as Printed]]/(1+GST_Rate),""))</f>
        <v/>
      </c>
      <c r="N512" s="41" t="str">
        <f>IF(MasterFees[[#This Row],[GST Basis]]="Incl",MasterFees[[#This Row],[Fee as Printed]],IF(MasterFees[[#This Row],[GST Basis]]="Excl",MasterFees[[#This Row],[Fee as Printed]]*(1+GST_Rate),""))</f>
        <v/>
      </c>
      <c r="O512" s="42">
        <f>IF(N(MasterFees[[#This Row],[Total Units]])=0,"",MasterFees[[#This Row],[Fee as Printed]]/MasterFees[[#This Row],[Total Units]])</f>
        <v>54.864197530864196</v>
      </c>
      <c r="P512" s="43"/>
      <c r="Q512" s="46" t="s">
        <v>1013</v>
      </c>
      <c r="R512" s="46" t="s">
        <v>1620</v>
      </c>
      <c r="S512" s="37"/>
    </row>
    <row r="513" spans="1:19" x14ac:dyDescent="0.2">
      <c r="A513" s="36"/>
      <c r="B513" s="38" t="str">
        <f>IF(MasterFees[[#This Row],[RVG Code]]="","",_xlfn.XLOOKUP(MasterFees[[#This Row],[RVG Code]],RVGCodes[Code],RVGCodes[Base Units],"Code not found"))</f>
        <v/>
      </c>
      <c r="C513" s="37" t="s">
        <v>513</v>
      </c>
      <c r="D513" s="44" t="s">
        <v>1108</v>
      </c>
      <c r="E513" s="44"/>
      <c r="F513" s="44" t="s">
        <v>1109</v>
      </c>
      <c r="G513" s="39">
        <v>6.7</v>
      </c>
      <c r="H513" s="39">
        <v>8.6999999999999993</v>
      </c>
      <c r="I513" s="39">
        <v>0.4</v>
      </c>
      <c r="J513" s="39">
        <v>15.8</v>
      </c>
      <c r="K513" s="40">
        <v>867.35</v>
      </c>
      <c r="L513" s="45" t="s">
        <v>1015</v>
      </c>
      <c r="M513" s="41" t="str">
        <f>IF(MasterFees[[#This Row],[GST Basis]]="Excl",MasterFees[[#This Row],[Fee as Printed]],IF(MasterFees[[#This Row],[GST Basis]]="Incl",MasterFees[[#This Row],[Fee as Printed]]/(1+GST_Rate),""))</f>
        <v/>
      </c>
      <c r="N513" s="41" t="str">
        <f>IF(MasterFees[[#This Row],[GST Basis]]="Incl",MasterFees[[#This Row],[Fee as Printed]],IF(MasterFees[[#This Row],[GST Basis]]="Excl",MasterFees[[#This Row],[Fee as Printed]]*(1+GST_Rate),""))</f>
        <v/>
      </c>
      <c r="O513" s="42">
        <f>IF(N(MasterFees[[#This Row],[Total Units]])=0,"",MasterFees[[#This Row],[Fee as Printed]]/MasterFees[[#This Row],[Total Units]])</f>
        <v>54.895569620253163</v>
      </c>
      <c r="P513" s="43"/>
      <c r="Q513" s="46" t="s">
        <v>1013</v>
      </c>
      <c r="R513" s="46" t="s">
        <v>1621</v>
      </c>
      <c r="S513" s="37"/>
    </row>
    <row r="514" spans="1:19" x14ac:dyDescent="0.2">
      <c r="A514" s="36"/>
      <c r="B514" s="38" t="str">
        <f>IF(MasterFees[[#This Row],[RVG Code]]="","",_xlfn.XLOOKUP(MasterFees[[#This Row],[RVG Code]],RVGCodes[Code],RVGCodes[Base Units],"Code not found"))</f>
        <v/>
      </c>
      <c r="C514" s="37" t="s">
        <v>514</v>
      </c>
      <c r="D514" s="44" t="s">
        <v>1108</v>
      </c>
      <c r="E514" s="44"/>
      <c r="F514" s="44" t="s">
        <v>1109</v>
      </c>
      <c r="G514" s="39">
        <v>5.6</v>
      </c>
      <c r="H514" s="39">
        <v>4.2</v>
      </c>
      <c r="I514" s="39">
        <v>0.3</v>
      </c>
      <c r="J514" s="39">
        <v>10.1</v>
      </c>
      <c r="K514" s="40">
        <v>557.70000000000005</v>
      </c>
      <c r="L514" s="45" t="s">
        <v>1015</v>
      </c>
      <c r="M514" s="41" t="str">
        <f>IF(MasterFees[[#This Row],[GST Basis]]="Excl",MasterFees[[#This Row],[Fee as Printed]],IF(MasterFees[[#This Row],[GST Basis]]="Incl",MasterFees[[#This Row],[Fee as Printed]]/(1+GST_Rate),""))</f>
        <v/>
      </c>
      <c r="N514" s="41" t="str">
        <f>IF(MasterFees[[#This Row],[GST Basis]]="Incl",MasterFees[[#This Row],[Fee as Printed]],IF(MasterFees[[#This Row],[GST Basis]]="Excl",MasterFees[[#This Row],[Fee as Printed]]*(1+GST_Rate),""))</f>
        <v/>
      </c>
      <c r="O514" s="42">
        <f>IF(N(MasterFees[[#This Row],[Total Units]])=0,"",MasterFees[[#This Row],[Fee as Printed]]/MasterFees[[#This Row],[Total Units]])</f>
        <v>55.217821782178227</v>
      </c>
      <c r="P514" s="43"/>
      <c r="Q514" s="46" t="s">
        <v>1013</v>
      </c>
      <c r="R514" s="46" t="s">
        <v>1622</v>
      </c>
      <c r="S514" s="37"/>
    </row>
    <row r="515" spans="1:19" x14ac:dyDescent="0.2">
      <c r="A515" s="36"/>
      <c r="B515" s="38" t="str">
        <f>IF(MasterFees[[#This Row],[RVG Code]]="","",_xlfn.XLOOKUP(MasterFees[[#This Row],[RVG Code]],RVGCodes[Code],RVGCodes[Base Units],"Code not found"))</f>
        <v/>
      </c>
      <c r="C515" s="37" t="s">
        <v>515</v>
      </c>
      <c r="D515" s="44" t="s">
        <v>1108</v>
      </c>
      <c r="E515" s="44"/>
      <c r="F515" s="44" t="s">
        <v>1109</v>
      </c>
      <c r="G515" s="39">
        <v>8</v>
      </c>
      <c r="H515" s="39">
        <v>5</v>
      </c>
      <c r="I515" s="39">
        <v>0</v>
      </c>
      <c r="J515" s="39">
        <v>13</v>
      </c>
      <c r="K515" s="40">
        <v>715</v>
      </c>
      <c r="L515" s="45" t="s">
        <v>1015</v>
      </c>
      <c r="M515" s="41" t="str">
        <f>IF(MasterFees[[#This Row],[GST Basis]]="Excl",MasterFees[[#This Row],[Fee as Printed]],IF(MasterFees[[#This Row],[GST Basis]]="Incl",MasterFees[[#This Row],[Fee as Printed]]/(1+GST_Rate),""))</f>
        <v/>
      </c>
      <c r="N515" s="41" t="str">
        <f>IF(MasterFees[[#This Row],[GST Basis]]="Incl",MasterFees[[#This Row],[Fee as Printed]],IF(MasterFees[[#This Row],[GST Basis]]="Excl",MasterFees[[#This Row],[Fee as Printed]]*(1+GST_Rate),""))</f>
        <v/>
      </c>
      <c r="O515" s="42">
        <f>IF(N(MasterFees[[#This Row],[Total Units]])=0,"",MasterFees[[#This Row],[Fee as Printed]]/MasterFees[[#This Row],[Total Units]])</f>
        <v>55</v>
      </c>
      <c r="P515" s="43"/>
      <c r="Q515" s="46" t="s">
        <v>1013</v>
      </c>
      <c r="R515" s="46" t="s">
        <v>1623</v>
      </c>
      <c r="S515" s="37"/>
    </row>
    <row r="516" spans="1:19" x14ac:dyDescent="0.2">
      <c r="A516" s="36"/>
      <c r="B516" s="38" t="str">
        <f>IF(MasterFees[[#This Row],[RVG Code]]="","",_xlfn.XLOOKUP(MasterFees[[#This Row],[RVG Code]],RVGCodes[Code],RVGCodes[Base Units],"Code not found"))</f>
        <v/>
      </c>
      <c r="C516" s="37" t="s">
        <v>516</v>
      </c>
      <c r="D516" s="44" t="s">
        <v>1108</v>
      </c>
      <c r="E516" s="44"/>
      <c r="F516" s="44" t="s">
        <v>1109</v>
      </c>
      <c r="G516" s="39">
        <v>6</v>
      </c>
      <c r="H516" s="39">
        <v>3</v>
      </c>
      <c r="I516" s="39">
        <v>0</v>
      </c>
      <c r="J516" s="39">
        <v>9</v>
      </c>
      <c r="K516" s="40">
        <v>495</v>
      </c>
      <c r="L516" s="45" t="s">
        <v>1015</v>
      </c>
      <c r="M516" s="41" t="str">
        <f>IF(MasterFees[[#This Row],[GST Basis]]="Excl",MasterFees[[#This Row],[Fee as Printed]],IF(MasterFees[[#This Row],[GST Basis]]="Incl",MasterFees[[#This Row],[Fee as Printed]]/(1+GST_Rate),""))</f>
        <v/>
      </c>
      <c r="N516" s="41" t="str">
        <f>IF(MasterFees[[#This Row],[GST Basis]]="Incl",MasterFees[[#This Row],[Fee as Printed]],IF(MasterFees[[#This Row],[GST Basis]]="Excl",MasterFees[[#This Row],[Fee as Printed]]*(1+GST_Rate),""))</f>
        <v/>
      </c>
      <c r="O516" s="42">
        <f>IF(N(MasterFees[[#This Row],[Total Units]])=0,"",MasterFees[[#This Row],[Fee as Printed]]/MasterFees[[#This Row],[Total Units]])</f>
        <v>55</v>
      </c>
      <c r="P516" s="43"/>
      <c r="Q516" s="46" t="s">
        <v>1013</v>
      </c>
      <c r="R516" s="46" t="s">
        <v>1624</v>
      </c>
      <c r="S516" s="37"/>
    </row>
    <row r="517" spans="1:19" x14ac:dyDescent="0.2">
      <c r="A517" s="36"/>
      <c r="B517" s="38" t="str">
        <f>IF(MasterFees[[#This Row],[RVG Code]]="","",_xlfn.XLOOKUP(MasterFees[[#This Row],[RVG Code]],RVGCodes[Code],RVGCodes[Base Units],"Code not found"))</f>
        <v/>
      </c>
      <c r="C517" s="37" t="s">
        <v>517</v>
      </c>
      <c r="D517" s="44" t="s">
        <v>1108</v>
      </c>
      <c r="E517" s="44"/>
      <c r="F517" s="44" t="s">
        <v>1109</v>
      </c>
      <c r="G517" s="39">
        <v>6</v>
      </c>
      <c r="H517" s="39">
        <v>8</v>
      </c>
      <c r="I517" s="39">
        <v>1</v>
      </c>
      <c r="J517" s="39">
        <v>15</v>
      </c>
      <c r="K517" s="40">
        <v>825</v>
      </c>
      <c r="L517" s="45" t="s">
        <v>1015</v>
      </c>
      <c r="M517" s="41" t="str">
        <f>IF(MasterFees[[#This Row],[GST Basis]]="Excl",MasterFees[[#This Row],[Fee as Printed]],IF(MasterFees[[#This Row],[GST Basis]]="Incl",MasterFees[[#This Row],[Fee as Printed]]/(1+GST_Rate),""))</f>
        <v/>
      </c>
      <c r="N517" s="41" t="str">
        <f>IF(MasterFees[[#This Row],[GST Basis]]="Incl",MasterFees[[#This Row],[Fee as Printed]],IF(MasterFees[[#This Row],[GST Basis]]="Excl",MasterFees[[#This Row],[Fee as Printed]]*(1+GST_Rate),""))</f>
        <v/>
      </c>
      <c r="O517" s="42">
        <f>IF(N(MasterFees[[#This Row],[Total Units]])=0,"",MasterFees[[#This Row],[Fee as Printed]]/MasterFees[[#This Row],[Total Units]])</f>
        <v>55</v>
      </c>
      <c r="P517" s="43"/>
      <c r="Q517" s="46" t="s">
        <v>1013</v>
      </c>
      <c r="R517" s="46" t="s">
        <v>1625</v>
      </c>
      <c r="S517" s="37"/>
    </row>
    <row r="518" spans="1:19" x14ac:dyDescent="0.2">
      <c r="A518" s="36"/>
      <c r="B518" s="38" t="str">
        <f>IF(MasterFees[[#This Row],[RVG Code]]="","",_xlfn.XLOOKUP(MasterFees[[#This Row],[RVG Code]],RVGCodes[Code],RVGCodes[Base Units],"Code not found"))</f>
        <v/>
      </c>
      <c r="C518" s="37" t="s">
        <v>518</v>
      </c>
      <c r="D518" s="44" t="s">
        <v>1108</v>
      </c>
      <c r="E518" s="44"/>
      <c r="F518" s="44" t="s">
        <v>1109</v>
      </c>
      <c r="G518" s="39">
        <v>6.5</v>
      </c>
      <c r="H518" s="39">
        <v>7.6</v>
      </c>
      <c r="I518" s="39">
        <v>1.1000000000000001</v>
      </c>
      <c r="J518" s="39">
        <v>15.3</v>
      </c>
      <c r="K518" s="40">
        <v>839.3</v>
      </c>
      <c r="L518" s="45" t="s">
        <v>1015</v>
      </c>
      <c r="M518" s="41" t="str">
        <f>IF(MasterFees[[#This Row],[GST Basis]]="Excl",MasterFees[[#This Row],[Fee as Printed]],IF(MasterFees[[#This Row],[GST Basis]]="Incl",MasterFees[[#This Row],[Fee as Printed]]/(1+GST_Rate),""))</f>
        <v/>
      </c>
      <c r="N518" s="41" t="str">
        <f>IF(MasterFees[[#This Row],[GST Basis]]="Incl",MasterFees[[#This Row],[Fee as Printed]],IF(MasterFees[[#This Row],[GST Basis]]="Excl",MasterFees[[#This Row],[Fee as Printed]]*(1+GST_Rate),""))</f>
        <v/>
      </c>
      <c r="O518" s="42">
        <f>IF(N(MasterFees[[#This Row],[Total Units]])=0,"",MasterFees[[#This Row],[Fee as Printed]]/MasterFees[[#This Row],[Total Units]])</f>
        <v>54.856209150326791</v>
      </c>
      <c r="P518" s="43"/>
      <c r="Q518" s="46" t="s">
        <v>1013</v>
      </c>
      <c r="R518" s="46" t="s">
        <v>1626</v>
      </c>
      <c r="S518" s="37"/>
    </row>
    <row r="519" spans="1:19" x14ac:dyDescent="0.2">
      <c r="A519" s="36"/>
      <c r="B519" s="38" t="str">
        <f>IF(MasterFees[[#This Row],[RVG Code]]="","",_xlfn.XLOOKUP(MasterFees[[#This Row],[RVG Code]],RVGCodes[Code],RVGCodes[Base Units],"Code not found"))</f>
        <v/>
      </c>
      <c r="C519" s="37" t="s">
        <v>519</v>
      </c>
      <c r="D519" s="44" t="s">
        <v>1108</v>
      </c>
      <c r="E519" s="44"/>
      <c r="F519" s="44" t="s">
        <v>1109</v>
      </c>
      <c r="G519" s="39">
        <v>6</v>
      </c>
      <c r="H519" s="39">
        <v>6</v>
      </c>
      <c r="I519" s="39">
        <v>0</v>
      </c>
      <c r="J519" s="39">
        <v>12</v>
      </c>
      <c r="K519" s="40">
        <v>660</v>
      </c>
      <c r="L519" s="45" t="s">
        <v>1015</v>
      </c>
      <c r="M519" s="41" t="str">
        <f>IF(MasterFees[[#This Row],[GST Basis]]="Excl",MasterFees[[#This Row],[Fee as Printed]],IF(MasterFees[[#This Row],[GST Basis]]="Incl",MasterFees[[#This Row],[Fee as Printed]]/(1+GST_Rate),""))</f>
        <v/>
      </c>
      <c r="N519" s="41" t="str">
        <f>IF(MasterFees[[#This Row],[GST Basis]]="Incl",MasterFees[[#This Row],[Fee as Printed]],IF(MasterFees[[#This Row],[GST Basis]]="Excl",MasterFees[[#This Row],[Fee as Printed]]*(1+GST_Rate),""))</f>
        <v/>
      </c>
      <c r="O519" s="42">
        <f>IF(N(MasterFees[[#This Row],[Total Units]])=0,"",MasterFees[[#This Row],[Fee as Printed]]/MasterFees[[#This Row],[Total Units]])</f>
        <v>55</v>
      </c>
      <c r="P519" s="43"/>
      <c r="Q519" s="46" t="s">
        <v>1013</v>
      </c>
      <c r="R519" s="46" t="s">
        <v>1627</v>
      </c>
      <c r="S519" s="37"/>
    </row>
    <row r="520" spans="1:19" x14ac:dyDescent="0.2">
      <c r="A520" s="36"/>
      <c r="B520" s="38" t="str">
        <f>IF(MasterFees[[#This Row],[RVG Code]]="","",_xlfn.XLOOKUP(MasterFees[[#This Row],[RVG Code]],RVGCodes[Code],RVGCodes[Base Units],"Code not found"))</f>
        <v/>
      </c>
      <c r="C520" s="37" t="s">
        <v>520</v>
      </c>
      <c r="D520" s="44" t="s">
        <v>1108</v>
      </c>
      <c r="E520" s="44"/>
      <c r="F520" s="44" t="s">
        <v>1109</v>
      </c>
      <c r="G520" s="39">
        <v>7</v>
      </c>
      <c r="H520" s="39">
        <v>21</v>
      </c>
      <c r="I520" s="39">
        <v>3</v>
      </c>
      <c r="J520" s="39">
        <v>31</v>
      </c>
      <c r="K520" s="40">
        <v>1705</v>
      </c>
      <c r="L520" s="45" t="s">
        <v>1015</v>
      </c>
      <c r="M520" s="41" t="str">
        <f>IF(MasterFees[[#This Row],[GST Basis]]="Excl",MasterFees[[#This Row],[Fee as Printed]],IF(MasterFees[[#This Row],[GST Basis]]="Incl",MasterFees[[#This Row],[Fee as Printed]]/(1+GST_Rate),""))</f>
        <v/>
      </c>
      <c r="N520" s="41" t="str">
        <f>IF(MasterFees[[#This Row],[GST Basis]]="Incl",MasterFees[[#This Row],[Fee as Printed]],IF(MasterFees[[#This Row],[GST Basis]]="Excl",MasterFees[[#This Row],[Fee as Printed]]*(1+GST_Rate),""))</f>
        <v/>
      </c>
      <c r="O520" s="42">
        <f>IF(N(MasterFees[[#This Row],[Total Units]])=0,"",MasterFees[[#This Row],[Fee as Printed]]/MasterFees[[#This Row],[Total Units]])</f>
        <v>55</v>
      </c>
      <c r="P520" s="43"/>
      <c r="Q520" s="46" t="s">
        <v>1013</v>
      </c>
      <c r="R520" s="46" t="s">
        <v>1628</v>
      </c>
      <c r="S520" s="37"/>
    </row>
    <row r="521" spans="1:19" x14ac:dyDescent="0.2">
      <c r="A521" s="36"/>
      <c r="B521" s="38" t="str">
        <f>IF(MasterFees[[#This Row],[RVG Code]]="","",_xlfn.XLOOKUP(MasterFees[[#This Row],[RVG Code]],RVGCodes[Code],RVGCodes[Base Units],"Code not found"))</f>
        <v/>
      </c>
      <c r="C521" s="37" t="s">
        <v>521</v>
      </c>
      <c r="D521" s="44" t="s">
        <v>1108</v>
      </c>
      <c r="E521" s="44"/>
      <c r="F521" s="44" t="s">
        <v>1109</v>
      </c>
      <c r="G521" s="39">
        <v>5.3</v>
      </c>
      <c r="H521" s="39">
        <v>4.7</v>
      </c>
      <c r="I521" s="39">
        <v>1.3</v>
      </c>
      <c r="J521" s="39">
        <v>11.3</v>
      </c>
      <c r="K521" s="40">
        <v>622.6</v>
      </c>
      <c r="L521" s="45" t="s">
        <v>1015</v>
      </c>
      <c r="M521" s="41" t="str">
        <f>IF(MasterFees[[#This Row],[GST Basis]]="Excl",MasterFees[[#This Row],[Fee as Printed]],IF(MasterFees[[#This Row],[GST Basis]]="Incl",MasterFees[[#This Row],[Fee as Printed]]/(1+GST_Rate),""))</f>
        <v/>
      </c>
      <c r="N521" s="41" t="str">
        <f>IF(MasterFees[[#This Row],[GST Basis]]="Incl",MasterFees[[#This Row],[Fee as Printed]],IF(MasterFees[[#This Row],[GST Basis]]="Excl",MasterFees[[#This Row],[Fee as Printed]]*(1+GST_Rate),""))</f>
        <v/>
      </c>
      <c r="O521" s="42">
        <f>IF(N(MasterFees[[#This Row],[Total Units]])=0,"",MasterFees[[#This Row],[Fee as Printed]]/MasterFees[[#This Row],[Total Units]])</f>
        <v>55.097345132743364</v>
      </c>
      <c r="P521" s="43"/>
      <c r="Q521" s="46" t="s">
        <v>1013</v>
      </c>
      <c r="R521" s="46" t="s">
        <v>1629</v>
      </c>
      <c r="S521" s="37"/>
    </row>
    <row r="522" spans="1:19" x14ac:dyDescent="0.2">
      <c r="A522" s="36"/>
      <c r="B522" s="38" t="str">
        <f>IF(MasterFees[[#This Row],[RVG Code]]="","",_xlfn.XLOOKUP(MasterFees[[#This Row],[RVG Code]],RVGCodes[Code],RVGCodes[Base Units],"Code not found"))</f>
        <v/>
      </c>
      <c r="C522" s="37" t="s">
        <v>522</v>
      </c>
      <c r="D522" s="44" t="s">
        <v>1108</v>
      </c>
      <c r="E522" s="44"/>
      <c r="F522" s="44" t="s">
        <v>1109</v>
      </c>
      <c r="G522" s="39">
        <v>6.1</v>
      </c>
      <c r="H522" s="39">
        <v>7.7</v>
      </c>
      <c r="I522" s="39">
        <v>0.5</v>
      </c>
      <c r="J522" s="39">
        <v>14.3</v>
      </c>
      <c r="K522" s="40">
        <v>785.4</v>
      </c>
      <c r="L522" s="45" t="s">
        <v>1015</v>
      </c>
      <c r="M522" s="41" t="str">
        <f>IF(MasterFees[[#This Row],[GST Basis]]="Excl",MasterFees[[#This Row],[Fee as Printed]],IF(MasterFees[[#This Row],[GST Basis]]="Incl",MasterFees[[#This Row],[Fee as Printed]]/(1+GST_Rate),""))</f>
        <v/>
      </c>
      <c r="N522" s="41" t="str">
        <f>IF(MasterFees[[#This Row],[GST Basis]]="Incl",MasterFees[[#This Row],[Fee as Printed]],IF(MasterFees[[#This Row],[GST Basis]]="Excl",MasterFees[[#This Row],[Fee as Printed]]*(1+GST_Rate),""))</f>
        <v/>
      </c>
      <c r="O522" s="42">
        <f>IF(N(MasterFees[[#This Row],[Total Units]])=0,"",MasterFees[[#This Row],[Fee as Printed]]/MasterFees[[#This Row],[Total Units]])</f>
        <v>54.92307692307692</v>
      </c>
      <c r="P522" s="43"/>
      <c r="Q522" s="46" t="s">
        <v>1013</v>
      </c>
      <c r="R522" s="46" t="s">
        <v>1630</v>
      </c>
      <c r="S522" s="37"/>
    </row>
    <row r="523" spans="1:19" x14ac:dyDescent="0.2">
      <c r="A523" s="36"/>
      <c r="B523" s="38" t="str">
        <f>IF(MasterFees[[#This Row],[RVG Code]]="","",_xlfn.XLOOKUP(MasterFees[[#This Row],[RVG Code]],RVGCodes[Code],RVGCodes[Base Units],"Code not found"))</f>
        <v/>
      </c>
      <c r="C523" s="37" t="s">
        <v>523</v>
      </c>
      <c r="D523" s="44" t="s">
        <v>1108</v>
      </c>
      <c r="E523" s="44"/>
      <c r="F523" s="44" t="s">
        <v>1109</v>
      </c>
      <c r="G523" s="39">
        <v>4</v>
      </c>
      <c r="H523" s="39">
        <v>2</v>
      </c>
      <c r="I523" s="39">
        <v>0</v>
      </c>
      <c r="J523" s="39">
        <v>6</v>
      </c>
      <c r="K523" s="40">
        <v>330</v>
      </c>
      <c r="L523" s="45" t="s">
        <v>1015</v>
      </c>
      <c r="M523" s="41" t="str">
        <f>IF(MasterFees[[#This Row],[GST Basis]]="Excl",MasterFees[[#This Row],[Fee as Printed]],IF(MasterFees[[#This Row],[GST Basis]]="Incl",MasterFees[[#This Row],[Fee as Printed]]/(1+GST_Rate),""))</f>
        <v/>
      </c>
      <c r="N523" s="41" t="str">
        <f>IF(MasterFees[[#This Row],[GST Basis]]="Incl",MasterFees[[#This Row],[Fee as Printed]],IF(MasterFees[[#This Row],[GST Basis]]="Excl",MasterFees[[#This Row],[Fee as Printed]]*(1+GST_Rate),""))</f>
        <v/>
      </c>
      <c r="O523" s="42">
        <f>IF(N(MasterFees[[#This Row],[Total Units]])=0,"",MasterFees[[#This Row],[Fee as Printed]]/MasterFees[[#This Row],[Total Units]])</f>
        <v>55</v>
      </c>
      <c r="P523" s="43"/>
      <c r="Q523" s="46" t="s">
        <v>1013</v>
      </c>
      <c r="R523" s="46" t="s">
        <v>1631</v>
      </c>
      <c r="S523" s="37"/>
    </row>
    <row r="524" spans="1:19" x14ac:dyDescent="0.2">
      <c r="A524" s="36"/>
      <c r="B524" s="38" t="str">
        <f>IF(MasterFees[[#This Row],[RVG Code]]="","",_xlfn.XLOOKUP(MasterFees[[#This Row],[RVG Code]],RVGCodes[Code],RVGCodes[Base Units],"Code not found"))</f>
        <v/>
      </c>
      <c r="C524" s="37" t="s">
        <v>524</v>
      </c>
      <c r="D524" s="44" t="s">
        <v>1108</v>
      </c>
      <c r="E524" s="44"/>
      <c r="F524" s="44" t="s">
        <v>1109</v>
      </c>
      <c r="G524" s="39">
        <v>10</v>
      </c>
      <c r="H524" s="39">
        <v>12</v>
      </c>
      <c r="I524" s="39">
        <v>0</v>
      </c>
      <c r="J524" s="39">
        <v>22</v>
      </c>
      <c r="K524" s="40">
        <v>1210</v>
      </c>
      <c r="L524" s="45" t="s">
        <v>1015</v>
      </c>
      <c r="M524" s="41" t="str">
        <f>IF(MasterFees[[#This Row],[GST Basis]]="Excl",MasterFees[[#This Row],[Fee as Printed]],IF(MasterFees[[#This Row],[GST Basis]]="Incl",MasterFees[[#This Row],[Fee as Printed]]/(1+GST_Rate),""))</f>
        <v/>
      </c>
      <c r="N524" s="41" t="str">
        <f>IF(MasterFees[[#This Row],[GST Basis]]="Incl",MasterFees[[#This Row],[Fee as Printed]],IF(MasterFees[[#This Row],[GST Basis]]="Excl",MasterFees[[#This Row],[Fee as Printed]]*(1+GST_Rate),""))</f>
        <v/>
      </c>
      <c r="O524" s="42">
        <f>IF(N(MasterFees[[#This Row],[Total Units]])=0,"",MasterFees[[#This Row],[Fee as Printed]]/MasterFees[[#This Row],[Total Units]])</f>
        <v>55</v>
      </c>
      <c r="P524" s="43"/>
      <c r="Q524" s="46" t="s">
        <v>1013</v>
      </c>
      <c r="R524" s="46" t="s">
        <v>1632</v>
      </c>
      <c r="S524" s="37"/>
    </row>
    <row r="525" spans="1:19" x14ac:dyDescent="0.2">
      <c r="A525" s="36"/>
      <c r="B525" s="38" t="str">
        <f>IF(MasterFees[[#This Row],[RVG Code]]="","",_xlfn.XLOOKUP(MasterFees[[#This Row],[RVG Code]],RVGCodes[Code],RVGCodes[Base Units],"Code not found"))</f>
        <v/>
      </c>
      <c r="C525" s="37" t="s">
        <v>525</v>
      </c>
      <c r="D525" s="44" t="s">
        <v>1108</v>
      </c>
      <c r="E525" s="44"/>
      <c r="F525" s="44" t="s">
        <v>1109</v>
      </c>
      <c r="G525" s="39">
        <v>4</v>
      </c>
      <c r="H525" s="39">
        <v>3.3</v>
      </c>
      <c r="I525" s="39">
        <v>0.5</v>
      </c>
      <c r="J525" s="39">
        <v>7.8</v>
      </c>
      <c r="K525" s="40">
        <v>426.25</v>
      </c>
      <c r="L525" s="45" t="s">
        <v>1015</v>
      </c>
      <c r="M525" s="41" t="str">
        <f>IF(MasterFees[[#This Row],[GST Basis]]="Excl",MasterFees[[#This Row],[Fee as Printed]],IF(MasterFees[[#This Row],[GST Basis]]="Incl",MasterFees[[#This Row],[Fee as Printed]]/(1+GST_Rate),""))</f>
        <v/>
      </c>
      <c r="N525" s="41" t="str">
        <f>IF(MasterFees[[#This Row],[GST Basis]]="Incl",MasterFees[[#This Row],[Fee as Printed]],IF(MasterFees[[#This Row],[GST Basis]]="Excl",MasterFees[[#This Row],[Fee as Printed]]*(1+GST_Rate),""))</f>
        <v/>
      </c>
      <c r="O525" s="42">
        <f>IF(N(MasterFees[[#This Row],[Total Units]])=0,"",MasterFees[[#This Row],[Fee as Printed]]/MasterFees[[#This Row],[Total Units]])</f>
        <v>54.647435897435898</v>
      </c>
      <c r="P525" s="43"/>
      <c r="Q525" s="46" t="s">
        <v>1013</v>
      </c>
      <c r="R525" s="46" t="s">
        <v>1633</v>
      </c>
      <c r="S525" s="37"/>
    </row>
    <row r="526" spans="1:19" x14ac:dyDescent="0.2">
      <c r="A526" s="36"/>
      <c r="B526" s="38" t="str">
        <f>IF(MasterFees[[#This Row],[RVG Code]]="","",_xlfn.XLOOKUP(MasterFees[[#This Row],[RVG Code]],RVGCodes[Code],RVGCodes[Base Units],"Code not found"))</f>
        <v/>
      </c>
      <c r="C526" s="37" t="s">
        <v>526</v>
      </c>
      <c r="D526" s="44" t="s">
        <v>1108</v>
      </c>
      <c r="E526" s="44"/>
      <c r="F526" s="44" t="s">
        <v>1109</v>
      </c>
      <c r="G526" s="39">
        <v>5.3</v>
      </c>
      <c r="H526" s="39">
        <v>6</v>
      </c>
      <c r="I526" s="39">
        <v>0.5</v>
      </c>
      <c r="J526" s="39">
        <v>11.8</v>
      </c>
      <c r="K526" s="40">
        <v>646.25</v>
      </c>
      <c r="L526" s="45" t="s">
        <v>1015</v>
      </c>
      <c r="M526" s="41" t="str">
        <f>IF(MasterFees[[#This Row],[GST Basis]]="Excl",MasterFees[[#This Row],[Fee as Printed]],IF(MasterFees[[#This Row],[GST Basis]]="Incl",MasterFees[[#This Row],[Fee as Printed]]/(1+GST_Rate),""))</f>
        <v/>
      </c>
      <c r="N526" s="41" t="str">
        <f>IF(MasterFees[[#This Row],[GST Basis]]="Incl",MasterFees[[#This Row],[Fee as Printed]],IF(MasterFees[[#This Row],[GST Basis]]="Excl",MasterFees[[#This Row],[Fee as Printed]]*(1+GST_Rate),""))</f>
        <v/>
      </c>
      <c r="O526" s="42">
        <f>IF(N(MasterFees[[#This Row],[Total Units]])=0,"",MasterFees[[#This Row],[Fee as Printed]]/MasterFees[[#This Row],[Total Units]])</f>
        <v>54.766949152542367</v>
      </c>
      <c r="P526" s="43"/>
      <c r="Q526" s="46" t="s">
        <v>1013</v>
      </c>
      <c r="R526" s="46" t="s">
        <v>1634</v>
      </c>
      <c r="S526" s="37"/>
    </row>
    <row r="527" spans="1:19" x14ac:dyDescent="0.2">
      <c r="A527" s="36"/>
      <c r="B527" s="38" t="str">
        <f>IF(MasterFees[[#This Row],[RVG Code]]="","",_xlfn.XLOOKUP(MasterFees[[#This Row],[RVG Code]],RVGCodes[Code],RVGCodes[Base Units],"Code not found"))</f>
        <v/>
      </c>
      <c r="C527" s="37" t="s">
        <v>527</v>
      </c>
      <c r="D527" s="44" t="s">
        <v>1108</v>
      </c>
      <c r="E527" s="44"/>
      <c r="F527" s="44" t="s">
        <v>1109</v>
      </c>
      <c r="G527" s="39">
        <v>5</v>
      </c>
      <c r="H527" s="39">
        <v>5</v>
      </c>
      <c r="I527" s="39">
        <v>0</v>
      </c>
      <c r="J527" s="39">
        <v>10</v>
      </c>
      <c r="K527" s="40">
        <v>550</v>
      </c>
      <c r="L527" s="45" t="s">
        <v>1015</v>
      </c>
      <c r="M527" s="41" t="str">
        <f>IF(MasterFees[[#This Row],[GST Basis]]="Excl",MasterFees[[#This Row],[Fee as Printed]],IF(MasterFees[[#This Row],[GST Basis]]="Incl",MasterFees[[#This Row],[Fee as Printed]]/(1+GST_Rate),""))</f>
        <v/>
      </c>
      <c r="N527" s="41" t="str">
        <f>IF(MasterFees[[#This Row],[GST Basis]]="Incl",MasterFees[[#This Row],[Fee as Printed]],IF(MasterFees[[#This Row],[GST Basis]]="Excl",MasterFees[[#This Row],[Fee as Printed]]*(1+GST_Rate),""))</f>
        <v/>
      </c>
      <c r="O527" s="42">
        <f>IF(N(MasterFees[[#This Row],[Total Units]])=0,"",MasterFees[[#This Row],[Fee as Printed]]/MasterFees[[#This Row],[Total Units]])</f>
        <v>55</v>
      </c>
      <c r="P527" s="43"/>
      <c r="Q527" s="46" t="s">
        <v>1013</v>
      </c>
      <c r="R527" s="46" t="s">
        <v>1635</v>
      </c>
      <c r="S527" s="37"/>
    </row>
    <row r="528" spans="1:19" x14ac:dyDescent="0.2">
      <c r="A528" s="36"/>
      <c r="B528" s="38" t="str">
        <f>IF(MasterFees[[#This Row],[RVG Code]]="","",_xlfn.XLOOKUP(MasterFees[[#This Row],[RVG Code]],RVGCodes[Code],RVGCodes[Base Units],"Code not found"))</f>
        <v/>
      </c>
      <c r="C528" s="37" t="s">
        <v>528</v>
      </c>
      <c r="D528" s="44" t="s">
        <v>1108</v>
      </c>
      <c r="E528" s="44"/>
      <c r="F528" s="44" t="s">
        <v>1109</v>
      </c>
      <c r="G528" s="39">
        <v>8</v>
      </c>
      <c r="H528" s="39">
        <v>44</v>
      </c>
      <c r="I528" s="39">
        <v>2</v>
      </c>
      <c r="J528" s="39">
        <v>54</v>
      </c>
      <c r="K528" s="40">
        <v>2970</v>
      </c>
      <c r="L528" s="45" t="s">
        <v>1015</v>
      </c>
      <c r="M528" s="41" t="str">
        <f>IF(MasterFees[[#This Row],[GST Basis]]="Excl",MasterFees[[#This Row],[Fee as Printed]],IF(MasterFees[[#This Row],[GST Basis]]="Incl",MasterFees[[#This Row],[Fee as Printed]]/(1+GST_Rate),""))</f>
        <v/>
      </c>
      <c r="N528" s="41" t="str">
        <f>IF(MasterFees[[#This Row],[GST Basis]]="Incl",MasterFees[[#This Row],[Fee as Printed]],IF(MasterFees[[#This Row],[GST Basis]]="Excl",MasterFees[[#This Row],[Fee as Printed]]*(1+GST_Rate),""))</f>
        <v/>
      </c>
      <c r="O528" s="42">
        <f>IF(N(MasterFees[[#This Row],[Total Units]])=0,"",MasterFees[[#This Row],[Fee as Printed]]/MasterFees[[#This Row],[Total Units]])</f>
        <v>55</v>
      </c>
      <c r="P528" s="43"/>
      <c r="Q528" s="46" t="s">
        <v>1013</v>
      </c>
      <c r="R528" s="46" t="s">
        <v>1636</v>
      </c>
      <c r="S528" s="37"/>
    </row>
    <row r="529" spans="1:19" x14ac:dyDescent="0.2">
      <c r="A529" s="36"/>
      <c r="B529" s="38" t="str">
        <f>IF(MasterFees[[#This Row],[RVG Code]]="","",_xlfn.XLOOKUP(MasterFees[[#This Row],[RVG Code]],RVGCodes[Code],RVGCodes[Base Units],"Code not found"))</f>
        <v/>
      </c>
      <c r="C529" s="37" t="s">
        <v>529</v>
      </c>
      <c r="D529" s="44" t="s">
        <v>1108</v>
      </c>
      <c r="E529" s="44"/>
      <c r="F529" s="44" t="s">
        <v>1109</v>
      </c>
      <c r="G529" s="39">
        <v>5</v>
      </c>
      <c r="H529" s="39">
        <v>13</v>
      </c>
      <c r="I529" s="39">
        <v>0</v>
      </c>
      <c r="J529" s="39">
        <v>18</v>
      </c>
      <c r="K529" s="40">
        <v>990</v>
      </c>
      <c r="L529" s="45" t="s">
        <v>1015</v>
      </c>
      <c r="M529" s="41" t="str">
        <f>IF(MasterFees[[#This Row],[GST Basis]]="Excl",MasterFees[[#This Row],[Fee as Printed]],IF(MasterFees[[#This Row],[GST Basis]]="Incl",MasterFees[[#This Row],[Fee as Printed]]/(1+GST_Rate),""))</f>
        <v/>
      </c>
      <c r="N529" s="41" t="str">
        <f>IF(MasterFees[[#This Row],[GST Basis]]="Incl",MasterFees[[#This Row],[Fee as Printed]],IF(MasterFees[[#This Row],[GST Basis]]="Excl",MasterFees[[#This Row],[Fee as Printed]]*(1+GST_Rate),""))</f>
        <v/>
      </c>
      <c r="O529" s="42">
        <f>IF(N(MasterFees[[#This Row],[Total Units]])=0,"",MasterFees[[#This Row],[Fee as Printed]]/MasterFees[[#This Row],[Total Units]])</f>
        <v>55</v>
      </c>
      <c r="P529" s="43"/>
      <c r="Q529" s="46" t="s">
        <v>1013</v>
      </c>
      <c r="R529" s="46" t="s">
        <v>1637</v>
      </c>
      <c r="S529" s="37"/>
    </row>
    <row r="530" spans="1:19" x14ac:dyDescent="0.2">
      <c r="A530" s="36"/>
      <c r="B530" s="38" t="str">
        <f>IF(MasterFees[[#This Row],[RVG Code]]="","",_xlfn.XLOOKUP(MasterFees[[#This Row],[RVG Code]],RVGCodes[Code],RVGCodes[Base Units],"Code not found"))</f>
        <v/>
      </c>
      <c r="C530" s="37" t="s">
        <v>530</v>
      </c>
      <c r="D530" s="44" t="s">
        <v>1108</v>
      </c>
      <c r="E530" s="44"/>
      <c r="F530" s="44" t="s">
        <v>1109</v>
      </c>
      <c r="G530" s="39">
        <v>7</v>
      </c>
      <c r="H530" s="39">
        <v>8</v>
      </c>
      <c r="I530" s="39">
        <v>2</v>
      </c>
      <c r="J530" s="39">
        <v>17</v>
      </c>
      <c r="K530" s="40">
        <v>935</v>
      </c>
      <c r="L530" s="45" t="s">
        <v>1015</v>
      </c>
      <c r="M530" s="41" t="str">
        <f>IF(MasterFees[[#This Row],[GST Basis]]="Excl",MasterFees[[#This Row],[Fee as Printed]],IF(MasterFees[[#This Row],[GST Basis]]="Incl",MasterFees[[#This Row],[Fee as Printed]]/(1+GST_Rate),""))</f>
        <v/>
      </c>
      <c r="N530" s="41" t="str">
        <f>IF(MasterFees[[#This Row],[GST Basis]]="Incl",MasterFees[[#This Row],[Fee as Printed]],IF(MasterFees[[#This Row],[GST Basis]]="Excl",MasterFees[[#This Row],[Fee as Printed]]*(1+GST_Rate),""))</f>
        <v/>
      </c>
      <c r="O530" s="42">
        <f>IF(N(MasterFees[[#This Row],[Total Units]])=0,"",MasterFees[[#This Row],[Fee as Printed]]/MasterFees[[#This Row],[Total Units]])</f>
        <v>55</v>
      </c>
      <c r="P530" s="43"/>
      <c r="Q530" s="46" t="s">
        <v>1013</v>
      </c>
      <c r="R530" s="46" t="s">
        <v>1638</v>
      </c>
      <c r="S530" s="37"/>
    </row>
    <row r="531" spans="1:19" x14ac:dyDescent="0.2">
      <c r="A531" s="36"/>
      <c r="B531" s="38" t="str">
        <f>IF(MasterFees[[#This Row],[RVG Code]]="","",_xlfn.XLOOKUP(MasterFees[[#This Row],[RVG Code]],RVGCodes[Code],RVGCodes[Base Units],"Code not found"))</f>
        <v/>
      </c>
      <c r="C531" s="37" t="s">
        <v>531</v>
      </c>
      <c r="D531" s="44" t="s">
        <v>1108</v>
      </c>
      <c r="E531" s="44"/>
      <c r="F531" s="44" t="s">
        <v>1109</v>
      </c>
      <c r="G531" s="39">
        <v>5</v>
      </c>
      <c r="H531" s="39">
        <v>11</v>
      </c>
      <c r="I531" s="39">
        <v>0</v>
      </c>
      <c r="J531" s="39">
        <v>16</v>
      </c>
      <c r="K531" s="40">
        <v>880</v>
      </c>
      <c r="L531" s="45" t="s">
        <v>1015</v>
      </c>
      <c r="M531" s="41" t="str">
        <f>IF(MasterFees[[#This Row],[GST Basis]]="Excl",MasterFees[[#This Row],[Fee as Printed]],IF(MasterFees[[#This Row],[GST Basis]]="Incl",MasterFees[[#This Row],[Fee as Printed]]/(1+GST_Rate),""))</f>
        <v/>
      </c>
      <c r="N531" s="41" t="str">
        <f>IF(MasterFees[[#This Row],[GST Basis]]="Incl",MasterFees[[#This Row],[Fee as Printed]],IF(MasterFees[[#This Row],[GST Basis]]="Excl",MasterFees[[#This Row],[Fee as Printed]]*(1+GST_Rate),""))</f>
        <v/>
      </c>
      <c r="O531" s="42">
        <f>IF(N(MasterFees[[#This Row],[Total Units]])=0,"",MasterFees[[#This Row],[Fee as Printed]]/MasterFees[[#This Row],[Total Units]])</f>
        <v>55</v>
      </c>
      <c r="P531" s="43"/>
      <c r="Q531" s="46" t="s">
        <v>1013</v>
      </c>
      <c r="R531" s="46" t="s">
        <v>1639</v>
      </c>
      <c r="S531" s="37"/>
    </row>
    <row r="532" spans="1:19" x14ac:dyDescent="0.2">
      <c r="A532" s="36"/>
      <c r="B532" s="38" t="str">
        <f>IF(MasterFees[[#This Row],[RVG Code]]="","",_xlfn.XLOOKUP(MasterFees[[#This Row],[RVG Code]],RVGCodes[Code],RVGCodes[Base Units],"Code not found"))</f>
        <v/>
      </c>
      <c r="C532" s="37" t="s">
        <v>532</v>
      </c>
      <c r="D532" s="44" t="s">
        <v>1108</v>
      </c>
      <c r="E532" s="44"/>
      <c r="F532" s="44" t="s">
        <v>1109</v>
      </c>
      <c r="G532" s="39">
        <v>4.5</v>
      </c>
      <c r="H532" s="39">
        <v>5</v>
      </c>
      <c r="I532" s="39">
        <v>0.5</v>
      </c>
      <c r="J532" s="39">
        <v>10</v>
      </c>
      <c r="K532" s="40">
        <v>550</v>
      </c>
      <c r="L532" s="45" t="s">
        <v>1015</v>
      </c>
      <c r="M532" s="41" t="str">
        <f>IF(MasterFees[[#This Row],[GST Basis]]="Excl",MasterFees[[#This Row],[Fee as Printed]],IF(MasterFees[[#This Row],[GST Basis]]="Incl",MasterFees[[#This Row],[Fee as Printed]]/(1+GST_Rate),""))</f>
        <v/>
      </c>
      <c r="N532" s="41" t="str">
        <f>IF(MasterFees[[#This Row],[GST Basis]]="Incl",MasterFees[[#This Row],[Fee as Printed]],IF(MasterFees[[#This Row],[GST Basis]]="Excl",MasterFees[[#This Row],[Fee as Printed]]*(1+GST_Rate),""))</f>
        <v/>
      </c>
      <c r="O532" s="42">
        <f>IF(N(MasterFees[[#This Row],[Total Units]])=0,"",MasterFees[[#This Row],[Fee as Printed]]/MasterFees[[#This Row],[Total Units]])</f>
        <v>55</v>
      </c>
      <c r="P532" s="43"/>
      <c r="Q532" s="46" t="s">
        <v>1013</v>
      </c>
      <c r="R532" s="46" t="s">
        <v>1640</v>
      </c>
      <c r="S532" s="37"/>
    </row>
    <row r="533" spans="1:19" x14ac:dyDescent="0.2">
      <c r="A533" s="36"/>
      <c r="B533" s="38" t="str">
        <f>IF(MasterFees[[#This Row],[RVG Code]]="","",_xlfn.XLOOKUP(MasterFees[[#This Row],[RVG Code]],RVGCodes[Code],RVGCodes[Base Units],"Code not found"))</f>
        <v/>
      </c>
      <c r="C533" s="37" t="s">
        <v>533</v>
      </c>
      <c r="D533" s="44" t="s">
        <v>1108</v>
      </c>
      <c r="E533" s="44"/>
      <c r="F533" s="44" t="s">
        <v>1109</v>
      </c>
      <c r="G533" s="39">
        <v>3.4</v>
      </c>
      <c r="H533" s="39">
        <v>2.7</v>
      </c>
      <c r="I533" s="39">
        <v>0.5</v>
      </c>
      <c r="J533" s="39">
        <v>6.7</v>
      </c>
      <c r="K533" s="40">
        <v>366.85</v>
      </c>
      <c r="L533" s="45" t="s">
        <v>1015</v>
      </c>
      <c r="M533" s="41" t="str">
        <f>IF(MasterFees[[#This Row],[GST Basis]]="Excl",MasterFees[[#This Row],[Fee as Printed]],IF(MasterFees[[#This Row],[GST Basis]]="Incl",MasterFees[[#This Row],[Fee as Printed]]/(1+GST_Rate),""))</f>
        <v/>
      </c>
      <c r="N533" s="41" t="str">
        <f>IF(MasterFees[[#This Row],[GST Basis]]="Incl",MasterFees[[#This Row],[Fee as Printed]],IF(MasterFees[[#This Row],[GST Basis]]="Excl",MasterFees[[#This Row],[Fee as Printed]]*(1+GST_Rate),""))</f>
        <v/>
      </c>
      <c r="O533" s="42">
        <f>IF(N(MasterFees[[#This Row],[Total Units]])=0,"",MasterFees[[#This Row],[Fee as Printed]]/MasterFees[[#This Row],[Total Units]])</f>
        <v>54.753731343283583</v>
      </c>
      <c r="P533" s="43"/>
      <c r="Q533" s="46" t="s">
        <v>1013</v>
      </c>
      <c r="R533" s="46" t="s">
        <v>1641</v>
      </c>
      <c r="S533" s="37"/>
    </row>
    <row r="534" spans="1:19" x14ac:dyDescent="0.2">
      <c r="A534" s="36"/>
      <c r="B534" s="38" t="str">
        <f>IF(MasterFees[[#This Row],[RVG Code]]="","",_xlfn.XLOOKUP(MasterFees[[#This Row],[RVG Code]],RVGCodes[Code],RVGCodes[Base Units],"Code not found"))</f>
        <v/>
      </c>
      <c r="C534" s="37" t="s">
        <v>534</v>
      </c>
      <c r="D534" s="44" t="s">
        <v>1108</v>
      </c>
      <c r="E534" s="44"/>
      <c r="F534" s="44" t="s">
        <v>1109</v>
      </c>
      <c r="G534" s="39">
        <v>3.6</v>
      </c>
      <c r="H534" s="39">
        <v>2.7</v>
      </c>
      <c r="I534" s="39">
        <v>0.7</v>
      </c>
      <c r="J534" s="39">
        <v>7</v>
      </c>
      <c r="K534" s="40">
        <v>385</v>
      </c>
      <c r="L534" s="45" t="s">
        <v>1015</v>
      </c>
      <c r="M534" s="41" t="str">
        <f>IF(MasterFees[[#This Row],[GST Basis]]="Excl",MasterFees[[#This Row],[Fee as Printed]],IF(MasterFees[[#This Row],[GST Basis]]="Incl",MasterFees[[#This Row],[Fee as Printed]]/(1+GST_Rate),""))</f>
        <v/>
      </c>
      <c r="N534" s="41" t="str">
        <f>IF(MasterFees[[#This Row],[GST Basis]]="Incl",MasterFees[[#This Row],[Fee as Printed]],IF(MasterFees[[#This Row],[GST Basis]]="Excl",MasterFees[[#This Row],[Fee as Printed]]*(1+GST_Rate),""))</f>
        <v/>
      </c>
      <c r="O534" s="42">
        <f>IF(N(MasterFees[[#This Row],[Total Units]])=0,"",MasterFees[[#This Row],[Fee as Printed]]/MasterFees[[#This Row],[Total Units]])</f>
        <v>55</v>
      </c>
      <c r="P534" s="43"/>
      <c r="Q534" s="46" t="s">
        <v>1013</v>
      </c>
      <c r="R534" s="46" t="s">
        <v>1642</v>
      </c>
      <c r="S534" s="37"/>
    </row>
    <row r="535" spans="1:19" x14ac:dyDescent="0.2">
      <c r="A535" s="36"/>
      <c r="B535" s="38" t="str">
        <f>IF(MasterFees[[#This Row],[RVG Code]]="","",_xlfn.XLOOKUP(MasterFees[[#This Row],[RVG Code]],RVGCodes[Code],RVGCodes[Base Units],"Code not found"))</f>
        <v/>
      </c>
      <c r="C535" s="37" t="s">
        <v>535</v>
      </c>
      <c r="D535" s="44" t="s">
        <v>1108</v>
      </c>
      <c r="E535" s="44"/>
      <c r="F535" s="44" t="s">
        <v>1109</v>
      </c>
      <c r="G535" s="39">
        <v>1.4</v>
      </c>
      <c r="H535" s="39">
        <v>0.7</v>
      </c>
      <c r="I535" s="39">
        <v>0.3</v>
      </c>
      <c r="J535" s="39">
        <v>2.2999999999999998</v>
      </c>
      <c r="K535" s="40">
        <v>126.5</v>
      </c>
      <c r="L535" s="45" t="s">
        <v>1015</v>
      </c>
      <c r="M535" s="41" t="str">
        <f>IF(MasterFees[[#This Row],[GST Basis]]="Excl",MasterFees[[#This Row],[Fee as Printed]],IF(MasterFees[[#This Row],[GST Basis]]="Incl",MasterFees[[#This Row],[Fee as Printed]]/(1+GST_Rate),""))</f>
        <v/>
      </c>
      <c r="N535" s="41" t="str">
        <f>IF(MasterFees[[#This Row],[GST Basis]]="Incl",MasterFees[[#This Row],[Fee as Printed]],IF(MasterFees[[#This Row],[GST Basis]]="Excl",MasterFees[[#This Row],[Fee as Printed]]*(1+GST_Rate),""))</f>
        <v/>
      </c>
      <c r="O535" s="42">
        <f>IF(N(MasterFees[[#This Row],[Total Units]])=0,"",MasterFees[[#This Row],[Fee as Printed]]/MasterFees[[#This Row],[Total Units]])</f>
        <v>55.000000000000007</v>
      </c>
      <c r="P535" s="43"/>
      <c r="Q535" s="46" t="s">
        <v>1013</v>
      </c>
      <c r="R535" s="46" t="s">
        <v>1643</v>
      </c>
      <c r="S535" s="37"/>
    </row>
    <row r="536" spans="1:19" x14ac:dyDescent="0.2">
      <c r="A536" s="36"/>
      <c r="B536" s="38" t="str">
        <f>IF(MasterFees[[#This Row],[RVG Code]]="","",_xlfn.XLOOKUP(MasterFees[[#This Row],[RVG Code]],RVGCodes[Code],RVGCodes[Base Units],"Code not found"))</f>
        <v/>
      </c>
      <c r="C536" s="37" t="s">
        <v>536</v>
      </c>
      <c r="D536" s="44" t="s">
        <v>1108</v>
      </c>
      <c r="E536" s="44"/>
      <c r="F536" s="44" t="s">
        <v>1109</v>
      </c>
      <c r="G536" s="39">
        <v>2</v>
      </c>
      <c r="H536" s="39">
        <v>0.9</v>
      </c>
      <c r="I536" s="39">
        <v>0.5</v>
      </c>
      <c r="J536" s="39">
        <v>3.4</v>
      </c>
      <c r="K536" s="40">
        <v>187</v>
      </c>
      <c r="L536" s="45" t="s">
        <v>1015</v>
      </c>
      <c r="M536" s="41" t="str">
        <f>IF(MasterFees[[#This Row],[GST Basis]]="Excl",MasterFees[[#This Row],[Fee as Printed]],IF(MasterFees[[#This Row],[GST Basis]]="Incl",MasterFees[[#This Row],[Fee as Printed]]/(1+GST_Rate),""))</f>
        <v/>
      </c>
      <c r="N536" s="41" t="str">
        <f>IF(MasterFees[[#This Row],[GST Basis]]="Incl",MasterFees[[#This Row],[Fee as Printed]],IF(MasterFees[[#This Row],[GST Basis]]="Excl",MasterFees[[#This Row],[Fee as Printed]]*(1+GST_Rate),""))</f>
        <v/>
      </c>
      <c r="O536" s="42">
        <f>IF(N(MasterFees[[#This Row],[Total Units]])=0,"",MasterFees[[#This Row],[Fee as Printed]]/MasterFees[[#This Row],[Total Units]])</f>
        <v>55</v>
      </c>
      <c r="P536" s="43"/>
      <c r="Q536" s="46" t="s">
        <v>1013</v>
      </c>
      <c r="R536" s="46" t="s">
        <v>1644</v>
      </c>
      <c r="S536" s="37"/>
    </row>
    <row r="537" spans="1:19" x14ac:dyDescent="0.2">
      <c r="A537" s="36"/>
      <c r="B537" s="38" t="str">
        <f>IF(MasterFees[[#This Row],[RVG Code]]="","",_xlfn.XLOOKUP(MasterFees[[#This Row],[RVG Code]],RVGCodes[Code],RVGCodes[Base Units],"Code not found"))</f>
        <v/>
      </c>
      <c r="C537" s="37" t="s">
        <v>537</v>
      </c>
      <c r="D537" s="44" t="s">
        <v>1108</v>
      </c>
      <c r="E537" s="44"/>
      <c r="F537" s="44" t="s">
        <v>1109</v>
      </c>
      <c r="G537" s="39">
        <v>1.2</v>
      </c>
      <c r="H537" s="39">
        <v>0.6</v>
      </c>
      <c r="I537" s="39">
        <v>0.3</v>
      </c>
      <c r="J537" s="39">
        <v>2.1</v>
      </c>
      <c r="K537" s="40">
        <v>112.75</v>
      </c>
      <c r="L537" s="45" t="s">
        <v>1015</v>
      </c>
      <c r="M537" s="41" t="str">
        <f>IF(MasterFees[[#This Row],[GST Basis]]="Excl",MasterFees[[#This Row],[Fee as Printed]],IF(MasterFees[[#This Row],[GST Basis]]="Incl",MasterFees[[#This Row],[Fee as Printed]]/(1+GST_Rate),""))</f>
        <v/>
      </c>
      <c r="N537" s="41" t="str">
        <f>IF(MasterFees[[#This Row],[GST Basis]]="Incl",MasterFees[[#This Row],[Fee as Printed]],IF(MasterFees[[#This Row],[GST Basis]]="Excl",MasterFees[[#This Row],[Fee as Printed]]*(1+GST_Rate),""))</f>
        <v/>
      </c>
      <c r="O537" s="42">
        <f>IF(N(MasterFees[[#This Row],[Total Units]])=0,"",MasterFees[[#This Row],[Fee as Printed]]/MasterFees[[#This Row],[Total Units]])</f>
        <v>53.69047619047619</v>
      </c>
      <c r="P537" s="43"/>
      <c r="Q537" s="46" t="s">
        <v>1013</v>
      </c>
      <c r="R537" s="46" t="s">
        <v>1645</v>
      </c>
      <c r="S537" s="37"/>
    </row>
    <row r="538" spans="1:19" x14ac:dyDescent="0.2">
      <c r="A538" s="36"/>
      <c r="B538" s="38" t="str">
        <f>IF(MasterFees[[#This Row],[RVG Code]]="","",_xlfn.XLOOKUP(MasterFees[[#This Row],[RVG Code]],RVGCodes[Code],RVGCodes[Base Units],"Code not found"))</f>
        <v/>
      </c>
      <c r="C538" s="37" t="s">
        <v>538</v>
      </c>
      <c r="D538" s="44" t="s">
        <v>1108</v>
      </c>
      <c r="E538" s="44"/>
      <c r="F538" s="44" t="s">
        <v>1109</v>
      </c>
      <c r="G538" s="39">
        <v>0.6</v>
      </c>
      <c r="H538" s="39">
        <v>0.3</v>
      </c>
      <c r="I538" s="39">
        <v>0.3</v>
      </c>
      <c r="J538" s="39">
        <v>1.1000000000000001</v>
      </c>
      <c r="K538" s="40">
        <v>62.15</v>
      </c>
      <c r="L538" s="45" t="s">
        <v>1015</v>
      </c>
      <c r="M538" s="41" t="str">
        <f>IF(MasterFees[[#This Row],[GST Basis]]="Excl",MasterFees[[#This Row],[Fee as Printed]],IF(MasterFees[[#This Row],[GST Basis]]="Incl",MasterFees[[#This Row],[Fee as Printed]]/(1+GST_Rate),""))</f>
        <v/>
      </c>
      <c r="N538" s="41" t="str">
        <f>IF(MasterFees[[#This Row],[GST Basis]]="Incl",MasterFees[[#This Row],[Fee as Printed]],IF(MasterFees[[#This Row],[GST Basis]]="Excl",MasterFees[[#This Row],[Fee as Printed]]*(1+GST_Rate),""))</f>
        <v/>
      </c>
      <c r="O538" s="42">
        <f>IF(N(MasterFees[[#This Row],[Total Units]])=0,"",MasterFees[[#This Row],[Fee as Printed]]/MasterFees[[#This Row],[Total Units]])</f>
        <v>56.499999999999993</v>
      </c>
      <c r="P538" s="43"/>
      <c r="Q538" s="46" t="s">
        <v>1013</v>
      </c>
      <c r="R538" s="46" t="s">
        <v>1646</v>
      </c>
      <c r="S538" s="37"/>
    </row>
    <row r="539" spans="1:19" x14ac:dyDescent="0.2">
      <c r="A539" s="36"/>
      <c r="B539" s="38" t="str">
        <f>IF(MasterFees[[#This Row],[RVG Code]]="","",_xlfn.XLOOKUP(MasterFees[[#This Row],[RVG Code]],RVGCodes[Code],RVGCodes[Base Units],"Code not found"))</f>
        <v/>
      </c>
      <c r="C539" s="37" t="s">
        <v>539</v>
      </c>
      <c r="D539" s="44" t="s">
        <v>1108</v>
      </c>
      <c r="E539" s="44"/>
      <c r="F539" s="44" t="s">
        <v>1109</v>
      </c>
      <c r="G539" s="39">
        <v>1.8</v>
      </c>
      <c r="H539" s="39">
        <v>0.9</v>
      </c>
      <c r="I539" s="39">
        <v>0.7</v>
      </c>
      <c r="J539" s="39">
        <v>3.5</v>
      </c>
      <c r="K539" s="40">
        <v>190.85</v>
      </c>
      <c r="L539" s="45" t="s">
        <v>1015</v>
      </c>
      <c r="M539" s="41" t="str">
        <f>IF(MasterFees[[#This Row],[GST Basis]]="Excl",MasterFees[[#This Row],[Fee as Printed]],IF(MasterFees[[#This Row],[GST Basis]]="Incl",MasterFees[[#This Row],[Fee as Printed]]/(1+GST_Rate),""))</f>
        <v/>
      </c>
      <c r="N539" s="41" t="str">
        <f>IF(MasterFees[[#This Row],[GST Basis]]="Incl",MasterFees[[#This Row],[Fee as Printed]],IF(MasterFees[[#This Row],[GST Basis]]="Excl",MasterFees[[#This Row],[Fee as Printed]]*(1+GST_Rate),""))</f>
        <v/>
      </c>
      <c r="O539" s="42">
        <f>IF(N(MasterFees[[#This Row],[Total Units]])=0,"",MasterFees[[#This Row],[Fee as Printed]]/MasterFees[[#This Row],[Total Units]])</f>
        <v>54.528571428571425</v>
      </c>
      <c r="P539" s="43"/>
      <c r="Q539" s="46" t="s">
        <v>1013</v>
      </c>
      <c r="R539" s="46" t="s">
        <v>1647</v>
      </c>
      <c r="S539" s="37"/>
    </row>
    <row r="540" spans="1:19" x14ac:dyDescent="0.2">
      <c r="A540" s="36"/>
      <c r="B540" s="38" t="str">
        <f>IF(MasterFees[[#This Row],[RVG Code]]="","",_xlfn.XLOOKUP(MasterFees[[#This Row],[RVG Code]],RVGCodes[Code],RVGCodes[Base Units],"Code not found"))</f>
        <v/>
      </c>
      <c r="C540" s="37" t="s">
        <v>540</v>
      </c>
      <c r="D540" s="44" t="s">
        <v>1108</v>
      </c>
      <c r="E540" s="44"/>
      <c r="F540" s="44" t="s">
        <v>1109</v>
      </c>
      <c r="G540" s="39">
        <v>4</v>
      </c>
      <c r="H540" s="39">
        <v>5</v>
      </c>
      <c r="I540" s="39">
        <v>0</v>
      </c>
      <c r="J540" s="39">
        <v>9</v>
      </c>
      <c r="K540" s="40">
        <v>495</v>
      </c>
      <c r="L540" s="45" t="s">
        <v>1015</v>
      </c>
      <c r="M540" s="41" t="str">
        <f>IF(MasterFees[[#This Row],[GST Basis]]="Excl",MasterFees[[#This Row],[Fee as Printed]],IF(MasterFees[[#This Row],[GST Basis]]="Incl",MasterFees[[#This Row],[Fee as Printed]]/(1+GST_Rate),""))</f>
        <v/>
      </c>
      <c r="N540" s="41" t="str">
        <f>IF(MasterFees[[#This Row],[GST Basis]]="Incl",MasterFees[[#This Row],[Fee as Printed]],IF(MasterFees[[#This Row],[GST Basis]]="Excl",MasterFees[[#This Row],[Fee as Printed]]*(1+GST_Rate),""))</f>
        <v/>
      </c>
      <c r="O540" s="42">
        <f>IF(N(MasterFees[[#This Row],[Total Units]])=0,"",MasterFees[[#This Row],[Fee as Printed]]/MasterFees[[#This Row],[Total Units]])</f>
        <v>55</v>
      </c>
      <c r="P540" s="43"/>
      <c r="Q540" s="46" t="s">
        <v>1013</v>
      </c>
      <c r="R540" s="46" t="s">
        <v>1648</v>
      </c>
      <c r="S540" s="37"/>
    </row>
    <row r="541" spans="1:19" x14ac:dyDescent="0.2">
      <c r="A541" s="36"/>
      <c r="B541" s="38" t="str">
        <f>IF(MasterFees[[#This Row],[RVG Code]]="","",_xlfn.XLOOKUP(MasterFees[[#This Row],[RVG Code]],RVGCodes[Code],RVGCodes[Base Units],"Code not found"))</f>
        <v/>
      </c>
      <c r="C541" s="37" t="s">
        <v>541</v>
      </c>
      <c r="D541" s="44" t="s">
        <v>1108</v>
      </c>
      <c r="E541" s="44"/>
      <c r="F541" s="44" t="s">
        <v>1109</v>
      </c>
      <c r="G541" s="39">
        <v>2.2000000000000002</v>
      </c>
      <c r="H541" s="39">
        <v>1.1000000000000001</v>
      </c>
      <c r="I541" s="39">
        <v>0.8</v>
      </c>
      <c r="J541" s="39">
        <v>4.0999999999999996</v>
      </c>
      <c r="K541" s="40">
        <v>227.7</v>
      </c>
      <c r="L541" s="45" t="s">
        <v>1015</v>
      </c>
      <c r="M541" s="41" t="str">
        <f>IF(MasterFees[[#This Row],[GST Basis]]="Excl",MasterFees[[#This Row],[Fee as Printed]],IF(MasterFees[[#This Row],[GST Basis]]="Incl",MasterFees[[#This Row],[Fee as Printed]]/(1+GST_Rate),""))</f>
        <v/>
      </c>
      <c r="N541" s="41" t="str">
        <f>IF(MasterFees[[#This Row],[GST Basis]]="Incl",MasterFees[[#This Row],[Fee as Printed]],IF(MasterFees[[#This Row],[GST Basis]]="Excl",MasterFees[[#This Row],[Fee as Printed]]*(1+GST_Rate),""))</f>
        <v/>
      </c>
      <c r="O541" s="42">
        <f>IF(N(MasterFees[[#This Row],[Total Units]])=0,"",MasterFees[[#This Row],[Fee as Printed]]/MasterFees[[#This Row],[Total Units]])</f>
        <v>55.536585365853661</v>
      </c>
      <c r="P541" s="43"/>
      <c r="Q541" s="46" t="s">
        <v>1013</v>
      </c>
      <c r="R541" s="46" t="s">
        <v>1649</v>
      </c>
      <c r="S541" s="37"/>
    </row>
    <row r="542" spans="1:19" x14ac:dyDescent="0.2">
      <c r="A542" s="36"/>
      <c r="B542" s="38" t="str">
        <f>IF(MasterFees[[#This Row],[RVG Code]]="","",_xlfn.XLOOKUP(MasterFees[[#This Row],[RVG Code]],RVGCodes[Code],RVGCodes[Base Units],"Code not found"))</f>
        <v/>
      </c>
      <c r="C542" s="37" t="s">
        <v>542</v>
      </c>
      <c r="D542" s="44" t="s">
        <v>1108</v>
      </c>
      <c r="E542" s="44"/>
      <c r="F542" s="44" t="s">
        <v>1109</v>
      </c>
      <c r="G542" s="39">
        <v>0.1</v>
      </c>
      <c r="H542" s="39">
        <v>0.1</v>
      </c>
      <c r="I542" s="39">
        <v>0.1</v>
      </c>
      <c r="J542" s="39">
        <v>0.3</v>
      </c>
      <c r="K542" s="40">
        <v>16.5</v>
      </c>
      <c r="L542" s="45" t="s">
        <v>1015</v>
      </c>
      <c r="M542" s="41" t="str">
        <f>IF(MasterFees[[#This Row],[GST Basis]]="Excl",MasterFees[[#This Row],[Fee as Printed]],IF(MasterFees[[#This Row],[GST Basis]]="Incl",MasterFees[[#This Row],[Fee as Printed]]/(1+GST_Rate),""))</f>
        <v/>
      </c>
      <c r="N542" s="41" t="str">
        <f>IF(MasterFees[[#This Row],[GST Basis]]="Incl",MasterFees[[#This Row],[Fee as Printed]],IF(MasterFees[[#This Row],[GST Basis]]="Excl",MasterFees[[#This Row],[Fee as Printed]]*(1+GST_Rate),""))</f>
        <v/>
      </c>
      <c r="O542" s="42">
        <f>IF(N(MasterFees[[#This Row],[Total Units]])=0,"",MasterFees[[#This Row],[Fee as Printed]]/MasterFees[[#This Row],[Total Units]])</f>
        <v>55</v>
      </c>
      <c r="P542" s="43"/>
      <c r="Q542" s="46" t="s">
        <v>1013</v>
      </c>
      <c r="R542" s="46" t="s">
        <v>1650</v>
      </c>
      <c r="S542" s="37"/>
    </row>
    <row r="543" spans="1:19" x14ac:dyDescent="0.2">
      <c r="A543" s="36"/>
      <c r="B543" s="38" t="str">
        <f>IF(MasterFees[[#This Row],[RVG Code]]="","",_xlfn.XLOOKUP(MasterFees[[#This Row],[RVG Code]],RVGCodes[Code],RVGCodes[Base Units],"Code not found"))</f>
        <v/>
      </c>
      <c r="C543" s="37" t="s">
        <v>543</v>
      </c>
      <c r="D543" s="44" t="s">
        <v>1108</v>
      </c>
      <c r="E543" s="44"/>
      <c r="F543" s="44" t="s">
        <v>1109</v>
      </c>
      <c r="G543" s="39">
        <v>2.5</v>
      </c>
      <c r="H543" s="39">
        <v>1.3</v>
      </c>
      <c r="I543" s="39">
        <v>0.5</v>
      </c>
      <c r="J543" s="39">
        <v>4.2</v>
      </c>
      <c r="K543" s="40">
        <v>231.55</v>
      </c>
      <c r="L543" s="45" t="s">
        <v>1015</v>
      </c>
      <c r="M543" s="41" t="str">
        <f>IF(MasterFees[[#This Row],[GST Basis]]="Excl",MasterFees[[#This Row],[Fee as Printed]],IF(MasterFees[[#This Row],[GST Basis]]="Incl",MasterFees[[#This Row],[Fee as Printed]]/(1+GST_Rate),""))</f>
        <v/>
      </c>
      <c r="N543" s="41" t="str">
        <f>IF(MasterFees[[#This Row],[GST Basis]]="Incl",MasterFees[[#This Row],[Fee as Printed]],IF(MasterFees[[#This Row],[GST Basis]]="Excl",MasterFees[[#This Row],[Fee as Printed]]*(1+GST_Rate),""))</f>
        <v/>
      </c>
      <c r="O543" s="42">
        <f>IF(N(MasterFees[[#This Row],[Total Units]])=0,"",MasterFees[[#This Row],[Fee as Printed]]/MasterFees[[#This Row],[Total Units]])</f>
        <v>55.13095238095238</v>
      </c>
      <c r="P543" s="43"/>
      <c r="Q543" s="46" t="s">
        <v>1013</v>
      </c>
      <c r="R543" s="46" t="s">
        <v>1651</v>
      </c>
      <c r="S543" s="37"/>
    </row>
    <row r="544" spans="1:19" x14ac:dyDescent="0.2">
      <c r="A544" s="36"/>
      <c r="B544" s="38" t="str">
        <f>IF(MasterFees[[#This Row],[RVG Code]]="","",_xlfn.XLOOKUP(MasterFees[[#This Row],[RVG Code]],RVGCodes[Code],RVGCodes[Base Units],"Code not found"))</f>
        <v/>
      </c>
      <c r="C544" s="37" t="s">
        <v>544</v>
      </c>
      <c r="D544" s="44" t="s">
        <v>1108</v>
      </c>
      <c r="E544" s="44"/>
      <c r="F544" s="44" t="s">
        <v>1109</v>
      </c>
      <c r="G544" s="39">
        <v>0</v>
      </c>
      <c r="H544" s="39">
        <v>0</v>
      </c>
      <c r="I544" s="39">
        <v>0</v>
      </c>
      <c r="J544" s="39">
        <v>0</v>
      </c>
      <c r="K544" s="40">
        <v>0</v>
      </c>
      <c r="L544" s="45" t="s">
        <v>1015</v>
      </c>
      <c r="M544" s="41" t="str">
        <f>IF(MasterFees[[#This Row],[GST Basis]]="Excl",MasterFees[[#This Row],[Fee as Printed]],IF(MasterFees[[#This Row],[GST Basis]]="Incl",MasterFees[[#This Row],[Fee as Printed]]/(1+GST_Rate),""))</f>
        <v/>
      </c>
      <c r="N544" s="41" t="str">
        <f>IF(MasterFees[[#This Row],[GST Basis]]="Incl",MasterFees[[#This Row],[Fee as Printed]],IF(MasterFees[[#This Row],[GST Basis]]="Excl",MasterFees[[#This Row],[Fee as Printed]]*(1+GST_Rate),""))</f>
        <v/>
      </c>
      <c r="O544" s="42" t="str">
        <f>IF(N(MasterFees[[#This Row],[Total Units]])=0,"",MasterFees[[#This Row],[Fee as Printed]]/MasterFees[[#This Row],[Total Units]])</f>
        <v/>
      </c>
      <c r="P544" s="43"/>
      <c r="Q544" s="46" t="s">
        <v>1013</v>
      </c>
      <c r="R544" s="46" t="s">
        <v>1652</v>
      </c>
      <c r="S544" s="37"/>
    </row>
    <row r="545" spans="1:19" x14ac:dyDescent="0.2">
      <c r="A545" s="36"/>
      <c r="B545" s="38" t="str">
        <f>IF(MasterFees[[#This Row],[RVG Code]]="","",_xlfn.XLOOKUP(MasterFees[[#This Row],[RVG Code]],RVGCodes[Code],RVGCodes[Base Units],"Code not found"))</f>
        <v/>
      </c>
      <c r="C545" s="37" t="s">
        <v>545</v>
      </c>
      <c r="D545" s="44" t="s">
        <v>1108</v>
      </c>
      <c r="E545" s="44"/>
      <c r="F545" s="44" t="s">
        <v>1109</v>
      </c>
      <c r="G545" s="39">
        <v>1.8</v>
      </c>
      <c r="H545" s="39">
        <v>0.8</v>
      </c>
      <c r="I545" s="39">
        <v>0.4</v>
      </c>
      <c r="J545" s="39">
        <v>3</v>
      </c>
      <c r="K545" s="40">
        <v>163.9</v>
      </c>
      <c r="L545" s="45" t="s">
        <v>1015</v>
      </c>
      <c r="M545" s="41" t="str">
        <f>IF(MasterFees[[#This Row],[GST Basis]]="Excl",MasterFees[[#This Row],[Fee as Printed]],IF(MasterFees[[#This Row],[GST Basis]]="Incl",MasterFees[[#This Row],[Fee as Printed]]/(1+GST_Rate),""))</f>
        <v/>
      </c>
      <c r="N545" s="41" t="str">
        <f>IF(MasterFees[[#This Row],[GST Basis]]="Incl",MasterFees[[#This Row],[Fee as Printed]],IF(MasterFees[[#This Row],[GST Basis]]="Excl",MasterFees[[#This Row],[Fee as Printed]]*(1+GST_Rate),""))</f>
        <v/>
      </c>
      <c r="O545" s="42">
        <f>IF(N(MasterFees[[#This Row],[Total Units]])=0,"",MasterFees[[#This Row],[Fee as Printed]]/MasterFees[[#This Row],[Total Units]])</f>
        <v>54.633333333333333</v>
      </c>
      <c r="P545" s="43"/>
      <c r="Q545" s="46" t="s">
        <v>1013</v>
      </c>
      <c r="R545" s="46" t="s">
        <v>1653</v>
      </c>
      <c r="S545" s="37"/>
    </row>
    <row r="546" spans="1:19" x14ac:dyDescent="0.2">
      <c r="A546" s="36"/>
      <c r="B546" s="38" t="str">
        <f>IF(MasterFees[[#This Row],[RVG Code]]="","",_xlfn.XLOOKUP(MasterFees[[#This Row],[RVG Code]],RVGCodes[Code],RVGCodes[Base Units],"Code not found"))</f>
        <v/>
      </c>
      <c r="C546" s="37" t="s">
        <v>544</v>
      </c>
      <c r="D546" s="44" t="s">
        <v>1108</v>
      </c>
      <c r="E546" s="44"/>
      <c r="F546" s="44" t="s">
        <v>1109</v>
      </c>
      <c r="G546" s="39">
        <v>2.6</v>
      </c>
      <c r="H546" s="39">
        <v>1.2</v>
      </c>
      <c r="I546" s="39">
        <v>1.1000000000000001</v>
      </c>
      <c r="J546" s="39">
        <v>4.9000000000000004</v>
      </c>
      <c r="K546" s="40">
        <v>271.7</v>
      </c>
      <c r="L546" s="45" t="s">
        <v>1015</v>
      </c>
      <c r="M546" s="41" t="str">
        <f>IF(MasterFees[[#This Row],[GST Basis]]="Excl",MasterFees[[#This Row],[Fee as Printed]],IF(MasterFees[[#This Row],[GST Basis]]="Incl",MasterFees[[#This Row],[Fee as Printed]]/(1+GST_Rate),""))</f>
        <v/>
      </c>
      <c r="N546" s="41" t="str">
        <f>IF(MasterFees[[#This Row],[GST Basis]]="Incl",MasterFees[[#This Row],[Fee as Printed]],IF(MasterFees[[#This Row],[GST Basis]]="Excl",MasterFees[[#This Row],[Fee as Printed]]*(1+GST_Rate),""))</f>
        <v/>
      </c>
      <c r="O546" s="42">
        <f>IF(N(MasterFees[[#This Row],[Total Units]])=0,"",MasterFees[[#This Row],[Fee as Printed]]/MasterFees[[#This Row],[Total Units]])</f>
        <v>55.448979591836725</v>
      </c>
      <c r="P546" s="43"/>
      <c r="Q546" s="46" t="s">
        <v>1013</v>
      </c>
      <c r="R546" s="46" t="s">
        <v>1654</v>
      </c>
      <c r="S546" s="37"/>
    </row>
    <row r="547" spans="1:19" x14ac:dyDescent="0.2">
      <c r="A547" s="36"/>
      <c r="B547" s="38" t="str">
        <f>IF(MasterFees[[#This Row],[RVG Code]]="","",_xlfn.XLOOKUP(MasterFees[[#This Row],[RVG Code]],RVGCodes[Code],RVGCodes[Base Units],"Code not found"))</f>
        <v/>
      </c>
      <c r="C547" s="37" t="s">
        <v>546</v>
      </c>
      <c r="D547" s="44" t="s">
        <v>1108</v>
      </c>
      <c r="E547" s="44"/>
      <c r="F547" s="44" t="s">
        <v>1109</v>
      </c>
      <c r="G547" s="39">
        <v>0</v>
      </c>
      <c r="H547" s="39">
        <v>0</v>
      </c>
      <c r="I547" s="39">
        <v>0</v>
      </c>
      <c r="J547" s="39">
        <v>0</v>
      </c>
      <c r="K547" s="40">
        <v>0</v>
      </c>
      <c r="L547" s="45" t="s">
        <v>1015</v>
      </c>
      <c r="M547" s="41" t="str">
        <f>IF(MasterFees[[#This Row],[GST Basis]]="Excl",MasterFees[[#This Row],[Fee as Printed]],IF(MasterFees[[#This Row],[GST Basis]]="Incl",MasterFees[[#This Row],[Fee as Printed]]/(1+GST_Rate),""))</f>
        <v/>
      </c>
      <c r="N547" s="41" t="str">
        <f>IF(MasterFees[[#This Row],[GST Basis]]="Incl",MasterFees[[#This Row],[Fee as Printed]],IF(MasterFees[[#This Row],[GST Basis]]="Excl",MasterFees[[#This Row],[Fee as Printed]]*(1+GST_Rate),""))</f>
        <v/>
      </c>
      <c r="O547" s="42" t="str">
        <f>IF(N(MasterFees[[#This Row],[Total Units]])=0,"",MasterFees[[#This Row],[Fee as Printed]]/MasterFees[[#This Row],[Total Units]])</f>
        <v/>
      </c>
      <c r="P547" s="43"/>
      <c r="Q547" s="46" t="s">
        <v>1013</v>
      </c>
      <c r="R547" s="46" t="s">
        <v>1655</v>
      </c>
      <c r="S547" s="37"/>
    </row>
    <row r="548" spans="1:19" x14ac:dyDescent="0.2">
      <c r="A548" s="36"/>
      <c r="B548" s="38" t="str">
        <f>IF(MasterFees[[#This Row],[RVG Code]]="","",_xlfn.XLOOKUP(MasterFees[[#This Row],[RVG Code]],RVGCodes[Code],RVGCodes[Base Units],"Code not found"))</f>
        <v/>
      </c>
      <c r="C548" s="37" t="s">
        <v>547</v>
      </c>
      <c r="D548" s="44" t="s">
        <v>1108</v>
      </c>
      <c r="E548" s="44"/>
      <c r="F548" s="44" t="s">
        <v>1109</v>
      </c>
      <c r="G548" s="39">
        <v>5</v>
      </c>
      <c r="H548" s="39">
        <v>4</v>
      </c>
      <c r="I548" s="39">
        <v>1</v>
      </c>
      <c r="J548" s="39">
        <v>10</v>
      </c>
      <c r="K548" s="40">
        <v>550</v>
      </c>
      <c r="L548" s="45" t="s">
        <v>1015</v>
      </c>
      <c r="M548" s="41" t="str">
        <f>IF(MasterFees[[#This Row],[GST Basis]]="Excl",MasterFees[[#This Row],[Fee as Printed]],IF(MasterFees[[#This Row],[GST Basis]]="Incl",MasterFees[[#This Row],[Fee as Printed]]/(1+GST_Rate),""))</f>
        <v/>
      </c>
      <c r="N548" s="41" t="str">
        <f>IF(MasterFees[[#This Row],[GST Basis]]="Incl",MasterFees[[#This Row],[Fee as Printed]],IF(MasterFees[[#This Row],[GST Basis]]="Excl",MasterFees[[#This Row],[Fee as Printed]]*(1+GST_Rate),""))</f>
        <v/>
      </c>
      <c r="O548" s="42">
        <f>IF(N(MasterFees[[#This Row],[Total Units]])=0,"",MasterFees[[#This Row],[Fee as Printed]]/MasterFees[[#This Row],[Total Units]])</f>
        <v>55</v>
      </c>
      <c r="P548" s="43"/>
      <c r="Q548" s="46" t="s">
        <v>1013</v>
      </c>
      <c r="R548" s="46" t="s">
        <v>1656</v>
      </c>
      <c r="S548" s="37"/>
    </row>
    <row r="549" spans="1:19" x14ac:dyDescent="0.2">
      <c r="A549" s="36"/>
      <c r="B549" s="38" t="str">
        <f>IF(MasterFees[[#This Row],[RVG Code]]="","",_xlfn.XLOOKUP(MasterFees[[#This Row],[RVG Code]],RVGCodes[Code],RVGCodes[Base Units],"Code not found"))</f>
        <v/>
      </c>
      <c r="C549" s="37" t="s">
        <v>548</v>
      </c>
      <c r="D549" s="44" t="s">
        <v>1108</v>
      </c>
      <c r="E549" s="44"/>
      <c r="F549" s="44" t="s">
        <v>1109</v>
      </c>
      <c r="G549" s="39">
        <v>0</v>
      </c>
      <c r="H549" s="39">
        <v>8</v>
      </c>
      <c r="I549" s="39">
        <v>0</v>
      </c>
      <c r="J549" s="39">
        <v>8</v>
      </c>
      <c r="K549" s="40">
        <v>440</v>
      </c>
      <c r="L549" s="45" t="s">
        <v>1015</v>
      </c>
      <c r="M549" s="41" t="str">
        <f>IF(MasterFees[[#This Row],[GST Basis]]="Excl",MasterFees[[#This Row],[Fee as Printed]],IF(MasterFees[[#This Row],[GST Basis]]="Incl",MasterFees[[#This Row],[Fee as Printed]]/(1+GST_Rate),""))</f>
        <v/>
      </c>
      <c r="N549" s="41" t="str">
        <f>IF(MasterFees[[#This Row],[GST Basis]]="Incl",MasterFees[[#This Row],[Fee as Printed]],IF(MasterFees[[#This Row],[GST Basis]]="Excl",MasterFees[[#This Row],[Fee as Printed]]*(1+GST_Rate),""))</f>
        <v/>
      </c>
      <c r="O549" s="42">
        <f>IF(N(MasterFees[[#This Row],[Total Units]])=0,"",MasterFees[[#This Row],[Fee as Printed]]/MasterFees[[#This Row],[Total Units]])</f>
        <v>55</v>
      </c>
      <c r="P549" s="43"/>
      <c r="Q549" s="46" t="s">
        <v>1013</v>
      </c>
      <c r="R549" s="46" t="s">
        <v>1657</v>
      </c>
      <c r="S549" s="37"/>
    </row>
    <row r="550" spans="1:19" x14ac:dyDescent="0.2">
      <c r="A550" s="36"/>
      <c r="B550" s="38" t="str">
        <f>IF(MasterFees[[#This Row],[RVG Code]]="","",_xlfn.XLOOKUP(MasterFees[[#This Row],[RVG Code]],RVGCodes[Code],RVGCodes[Base Units],"Code not found"))</f>
        <v/>
      </c>
      <c r="C550" s="37" t="s">
        <v>549</v>
      </c>
      <c r="D550" s="44" t="s">
        <v>1108</v>
      </c>
      <c r="E550" s="44"/>
      <c r="F550" s="44" t="s">
        <v>1109</v>
      </c>
      <c r="G550" s="39">
        <v>5.9</v>
      </c>
      <c r="H550" s="39">
        <v>10.8</v>
      </c>
      <c r="I550" s="39">
        <v>1.3</v>
      </c>
      <c r="J550" s="39">
        <v>18</v>
      </c>
      <c r="K550" s="40">
        <v>987.25</v>
      </c>
      <c r="L550" s="45" t="s">
        <v>1015</v>
      </c>
      <c r="M550" s="41" t="str">
        <f>IF(MasterFees[[#This Row],[GST Basis]]="Excl",MasterFees[[#This Row],[Fee as Printed]],IF(MasterFees[[#This Row],[GST Basis]]="Incl",MasterFees[[#This Row],[Fee as Printed]]/(1+GST_Rate),""))</f>
        <v/>
      </c>
      <c r="N550" s="41" t="str">
        <f>IF(MasterFees[[#This Row],[GST Basis]]="Incl",MasterFees[[#This Row],[Fee as Printed]],IF(MasterFees[[#This Row],[GST Basis]]="Excl",MasterFees[[#This Row],[Fee as Printed]]*(1+GST_Rate),""))</f>
        <v/>
      </c>
      <c r="O550" s="42">
        <f>IF(N(MasterFees[[#This Row],[Total Units]])=0,"",MasterFees[[#This Row],[Fee as Printed]]/MasterFees[[#This Row],[Total Units]])</f>
        <v>54.847222222222221</v>
      </c>
      <c r="P550" s="43"/>
      <c r="Q550" s="46" t="s">
        <v>1013</v>
      </c>
      <c r="R550" s="46" t="s">
        <v>1658</v>
      </c>
      <c r="S550" s="37"/>
    </row>
    <row r="551" spans="1:19" x14ac:dyDescent="0.2">
      <c r="A551" s="36"/>
      <c r="B551" s="38" t="str">
        <f>IF(MasterFees[[#This Row],[RVG Code]]="","",_xlfn.XLOOKUP(MasterFees[[#This Row],[RVG Code]],RVGCodes[Code],RVGCodes[Base Units],"Code not found"))</f>
        <v/>
      </c>
      <c r="C551" s="37" t="s">
        <v>550</v>
      </c>
      <c r="D551" s="44" t="s">
        <v>1108</v>
      </c>
      <c r="E551" s="44"/>
      <c r="F551" s="44" t="s">
        <v>1109</v>
      </c>
      <c r="G551" s="39">
        <v>4</v>
      </c>
      <c r="H551" s="39">
        <v>7</v>
      </c>
      <c r="I551" s="39">
        <v>0</v>
      </c>
      <c r="J551" s="39">
        <v>11</v>
      </c>
      <c r="K551" s="40">
        <v>605</v>
      </c>
      <c r="L551" s="45" t="s">
        <v>1015</v>
      </c>
      <c r="M551" s="41" t="str">
        <f>IF(MasterFees[[#This Row],[GST Basis]]="Excl",MasterFees[[#This Row],[Fee as Printed]],IF(MasterFees[[#This Row],[GST Basis]]="Incl",MasterFees[[#This Row],[Fee as Printed]]/(1+GST_Rate),""))</f>
        <v/>
      </c>
      <c r="N551" s="41" t="str">
        <f>IF(MasterFees[[#This Row],[GST Basis]]="Incl",MasterFees[[#This Row],[Fee as Printed]],IF(MasterFees[[#This Row],[GST Basis]]="Excl",MasterFees[[#This Row],[Fee as Printed]]*(1+GST_Rate),""))</f>
        <v/>
      </c>
      <c r="O551" s="42">
        <f>IF(N(MasterFees[[#This Row],[Total Units]])=0,"",MasterFees[[#This Row],[Fee as Printed]]/MasterFees[[#This Row],[Total Units]])</f>
        <v>55</v>
      </c>
      <c r="P551" s="43"/>
      <c r="Q551" s="46" t="s">
        <v>1013</v>
      </c>
      <c r="R551" s="46" t="s">
        <v>1659</v>
      </c>
      <c r="S551" s="37"/>
    </row>
    <row r="552" spans="1:19" x14ac:dyDescent="0.2">
      <c r="A552" s="36"/>
      <c r="B552" s="38" t="str">
        <f>IF(MasterFees[[#This Row],[RVG Code]]="","",_xlfn.XLOOKUP(MasterFees[[#This Row],[RVG Code]],RVGCodes[Code],RVGCodes[Base Units],"Code not found"))</f>
        <v/>
      </c>
      <c r="C552" s="37" t="s">
        <v>551</v>
      </c>
      <c r="D552" s="44" t="s">
        <v>1108</v>
      </c>
      <c r="E552" s="44"/>
      <c r="F552" s="44" t="s">
        <v>1109</v>
      </c>
      <c r="G552" s="39">
        <v>4</v>
      </c>
      <c r="H552" s="39">
        <v>7</v>
      </c>
      <c r="I552" s="39">
        <v>0</v>
      </c>
      <c r="J552" s="39">
        <v>11</v>
      </c>
      <c r="K552" s="40">
        <v>605</v>
      </c>
      <c r="L552" s="45" t="s">
        <v>1015</v>
      </c>
      <c r="M552" s="41" t="str">
        <f>IF(MasterFees[[#This Row],[GST Basis]]="Excl",MasterFees[[#This Row],[Fee as Printed]],IF(MasterFees[[#This Row],[GST Basis]]="Incl",MasterFees[[#This Row],[Fee as Printed]]/(1+GST_Rate),""))</f>
        <v/>
      </c>
      <c r="N552" s="41" t="str">
        <f>IF(MasterFees[[#This Row],[GST Basis]]="Incl",MasterFees[[#This Row],[Fee as Printed]],IF(MasterFees[[#This Row],[GST Basis]]="Excl",MasterFees[[#This Row],[Fee as Printed]]*(1+GST_Rate),""))</f>
        <v/>
      </c>
      <c r="O552" s="42">
        <f>IF(N(MasterFees[[#This Row],[Total Units]])=0,"",MasterFees[[#This Row],[Fee as Printed]]/MasterFees[[#This Row],[Total Units]])</f>
        <v>55</v>
      </c>
      <c r="P552" s="43"/>
      <c r="Q552" s="46" t="s">
        <v>1013</v>
      </c>
      <c r="R552" s="46" t="s">
        <v>1660</v>
      </c>
      <c r="S552" s="37"/>
    </row>
    <row r="553" spans="1:19" x14ac:dyDescent="0.2">
      <c r="A553" s="36"/>
      <c r="B553" s="38" t="str">
        <f>IF(MasterFees[[#This Row],[RVG Code]]="","",_xlfn.XLOOKUP(MasterFees[[#This Row],[RVG Code]],RVGCodes[Code],RVGCodes[Base Units],"Code not found"))</f>
        <v/>
      </c>
      <c r="C553" s="37" t="s">
        <v>552</v>
      </c>
      <c r="D553" s="44" t="s">
        <v>1108</v>
      </c>
      <c r="E553" s="44"/>
      <c r="F553" s="44" t="s">
        <v>1109</v>
      </c>
      <c r="G553" s="39">
        <v>7.9</v>
      </c>
      <c r="H553" s="39">
        <v>7.5</v>
      </c>
      <c r="I553" s="39">
        <v>0.9</v>
      </c>
      <c r="J553" s="39">
        <v>16.399999999999999</v>
      </c>
      <c r="K553" s="40">
        <v>900.35</v>
      </c>
      <c r="L553" s="45" t="s">
        <v>1015</v>
      </c>
      <c r="M553" s="41" t="str">
        <f>IF(MasterFees[[#This Row],[GST Basis]]="Excl",MasterFees[[#This Row],[Fee as Printed]],IF(MasterFees[[#This Row],[GST Basis]]="Incl",MasterFees[[#This Row],[Fee as Printed]]/(1+GST_Rate),""))</f>
        <v/>
      </c>
      <c r="N553" s="41" t="str">
        <f>IF(MasterFees[[#This Row],[GST Basis]]="Incl",MasterFees[[#This Row],[Fee as Printed]],IF(MasterFees[[#This Row],[GST Basis]]="Excl",MasterFees[[#This Row],[Fee as Printed]]*(1+GST_Rate),""))</f>
        <v/>
      </c>
      <c r="O553" s="42">
        <f>IF(N(MasterFees[[#This Row],[Total Units]])=0,"",MasterFees[[#This Row],[Fee as Printed]]/MasterFees[[#This Row],[Total Units]])</f>
        <v>54.899390243902445</v>
      </c>
      <c r="P553" s="43"/>
      <c r="Q553" s="46" t="s">
        <v>1013</v>
      </c>
      <c r="R553" s="46" t="s">
        <v>1661</v>
      </c>
      <c r="S553" s="37"/>
    </row>
    <row r="554" spans="1:19" x14ac:dyDescent="0.2">
      <c r="A554" s="36"/>
      <c r="B554" s="38" t="str">
        <f>IF(MasterFees[[#This Row],[RVG Code]]="","",_xlfn.XLOOKUP(MasterFees[[#This Row],[RVG Code]],RVGCodes[Code],RVGCodes[Base Units],"Code not found"))</f>
        <v/>
      </c>
      <c r="C554" s="37" t="s">
        <v>553</v>
      </c>
      <c r="D554" s="44" t="s">
        <v>1108</v>
      </c>
      <c r="E554" s="44"/>
      <c r="F554" s="44" t="s">
        <v>1109</v>
      </c>
      <c r="G554" s="39">
        <v>5.7</v>
      </c>
      <c r="H554" s="39">
        <v>4.8</v>
      </c>
      <c r="I554" s="39">
        <v>0.6</v>
      </c>
      <c r="J554" s="39">
        <v>11.2</v>
      </c>
      <c r="K554" s="40">
        <v>613.25</v>
      </c>
      <c r="L554" s="45" t="s">
        <v>1015</v>
      </c>
      <c r="M554" s="41" t="str">
        <f>IF(MasterFees[[#This Row],[GST Basis]]="Excl",MasterFees[[#This Row],[Fee as Printed]],IF(MasterFees[[#This Row],[GST Basis]]="Incl",MasterFees[[#This Row],[Fee as Printed]]/(1+GST_Rate),""))</f>
        <v/>
      </c>
      <c r="N554" s="41" t="str">
        <f>IF(MasterFees[[#This Row],[GST Basis]]="Incl",MasterFees[[#This Row],[Fee as Printed]],IF(MasterFees[[#This Row],[GST Basis]]="Excl",MasterFees[[#This Row],[Fee as Printed]]*(1+GST_Rate),""))</f>
        <v/>
      </c>
      <c r="O554" s="42">
        <f>IF(N(MasterFees[[#This Row],[Total Units]])=0,"",MasterFees[[#This Row],[Fee as Printed]]/MasterFees[[#This Row],[Total Units]])</f>
        <v>54.754464285714292</v>
      </c>
      <c r="P554" s="43"/>
      <c r="Q554" s="46" t="s">
        <v>1013</v>
      </c>
      <c r="R554" s="46" t="s">
        <v>1662</v>
      </c>
      <c r="S554" s="37"/>
    </row>
    <row r="555" spans="1:19" x14ac:dyDescent="0.2">
      <c r="A555" s="36"/>
      <c r="B555" s="38" t="str">
        <f>IF(MasterFees[[#This Row],[RVG Code]]="","",_xlfn.XLOOKUP(MasterFees[[#This Row],[RVG Code]],RVGCodes[Code],RVGCodes[Base Units],"Code not found"))</f>
        <v/>
      </c>
      <c r="C555" s="37" t="s">
        <v>554</v>
      </c>
      <c r="D555" s="44" t="s">
        <v>1108</v>
      </c>
      <c r="E555" s="44"/>
      <c r="F555" s="44" t="s">
        <v>1109</v>
      </c>
      <c r="G555" s="39">
        <v>5.9</v>
      </c>
      <c r="H555" s="39">
        <v>4.8</v>
      </c>
      <c r="I555" s="39">
        <v>0.7</v>
      </c>
      <c r="J555" s="39">
        <v>11.4</v>
      </c>
      <c r="K555" s="40">
        <v>624.79999999999995</v>
      </c>
      <c r="L555" s="45" t="s">
        <v>1015</v>
      </c>
      <c r="M555" s="41" t="str">
        <f>IF(MasterFees[[#This Row],[GST Basis]]="Excl",MasterFees[[#This Row],[Fee as Printed]],IF(MasterFees[[#This Row],[GST Basis]]="Incl",MasterFees[[#This Row],[Fee as Printed]]/(1+GST_Rate),""))</f>
        <v/>
      </c>
      <c r="N555" s="41" t="str">
        <f>IF(MasterFees[[#This Row],[GST Basis]]="Incl",MasterFees[[#This Row],[Fee as Printed]],IF(MasterFees[[#This Row],[GST Basis]]="Excl",MasterFees[[#This Row],[Fee as Printed]]*(1+GST_Rate),""))</f>
        <v/>
      </c>
      <c r="O555" s="42">
        <f>IF(N(MasterFees[[#This Row],[Total Units]])=0,"",MasterFees[[#This Row],[Fee as Printed]]/MasterFees[[#This Row],[Total Units]])</f>
        <v>54.807017543859644</v>
      </c>
      <c r="P555" s="43"/>
      <c r="Q555" s="46" t="s">
        <v>1013</v>
      </c>
      <c r="R555" s="46" t="s">
        <v>1663</v>
      </c>
      <c r="S555" s="37"/>
    </row>
    <row r="556" spans="1:19" x14ac:dyDescent="0.2">
      <c r="A556" s="36"/>
      <c r="B556" s="38" t="str">
        <f>IF(MasterFees[[#This Row],[RVG Code]]="","",_xlfn.XLOOKUP(MasterFees[[#This Row],[RVG Code]],RVGCodes[Code],RVGCodes[Base Units],"Code not found"))</f>
        <v/>
      </c>
      <c r="C556" s="37" t="s">
        <v>555</v>
      </c>
      <c r="D556" s="44" t="s">
        <v>1108</v>
      </c>
      <c r="E556" s="44"/>
      <c r="F556" s="44" t="s">
        <v>1109</v>
      </c>
      <c r="G556" s="39">
        <v>5</v>
      </c>
      <c r="H556" s="39">
        <v>2.4</v>
      </c>
      <c r="I556" s="39">
        <v>0</v>
      </c>
      <c r="J556" s="39">
        <v>7.4</v>
      </c>
      <c r="K556" s="40">
        <v>407</v>
      </c>
      <c r="L556" s="45" t="s">
        <v>1015</v>
      </c>
      <c r="M556" s="41" t="str">
        <f>IF(MasterFees[[#This Row],[GST Basis]]="Excl",MasterFees[[#This Row],[Fee as Printed]],IF(MasterFees[[#This Row],[GST Basis]]="Incl",MasterFees[[#This Row],[Fee as Printed]]/(1+GST_Rate),""))</f>
        <v/>
      </c>
      <c r="N556" s="41" t="str">
        <f>IF(MasterFees[[#This Row],[GST Basis]]="Incl",MasterFees[[#This Row],[Fee as Printed]],IF(MasterFees[[#This Row],[GST Basis]]="Excl",MasterFees[[#This Row],[Fee as Printed]]*(1+GST_Rate),""))</f>
        <v/>
      </c>
      <c r="O556" s="42">
        <f>IF(N(MasterFees[[#This Row],[Total Units]])=0,"",MasterFees[[#This Row],[Fee as Printed]]/MasterFees[[#This Row],[Total Units]])</f>
        <v>55</v>
      </c>
      <c r="P556" s="43"/>
      <c r="Q556" s="46" t="s">
        <v>1013</v>
      </c>
      <c r="R556" s="46" t="s">
        <v>1664</v>
      </c>
      <c r="S556" s="37"/>
    </row>
    <row r="557" spans="1:19" x14ac:dyDescent="0.2">
      <c r="A557" s="36"/>
      <c r="B557" s="38" t="str">
        <f>IF(MasterFees[[#This Row],[RVG Code]]="","",_xlfn.XLOOKUP(MasterFees[[#This Row],[RVG Code]],RVGCodes[Code],RVGCodes[Base Units],"Code not found"))</f>
        <v/>
      </c>
      <c r="C557" s="37" t="s">
        <v>556</v>
      </c>
      <c r="D557" s="44" t="s">
        <v>1108</v>
      </c>
      <c r="E557" s="44"/>
      <c r="F557" s="44" t="s">
        <v>1109</v>
      </c>
      <c r="G557" s="39">
        <v>6</v>
      </c>
      <c r="H557" s="39">
        <v>7.5</v>
      </c>
      <c r="I557" s="39">
        <v>0.8</v>
      </c>
      <c r="J557" s="39">
        <v>14.3</v>
      </c>
      <c r="K557" s="40">
        <v>783.75</v>
      </c>
      <c r="L557" s="45" t="s">
        <v>1015</v>
      </c>
      <c r="M557" s="41" t="str">
        <f>IF(MasterFees[[#This Row],[GST Basis]]="Excl",MasterFees[[#This Row],[Fee as Printed]],IF(MasterFees[[#This Row],[GST Basis]]="Incl",MasterFees[[#This Row],[Fee as Printed]]/(1+GST_Rate),""))</f>
        <v/>
      </c>
      <c r="N557" s="41" t="str">
        <f>IF(MasterFees[[#This Row],[GST Basis]]="Incl",MasterFees[[#This Row],[Fee as Printed]],IF(MasterFees[[#This Row],[GST Basis]]="Excl",MasterFees[[#This Row],[Fee as Printed]]*(1+GST_Rate),""))</f>
        <v/>
      </c>
      <c r="O557" s="42">
        <f>IF(N(MasterFees[[#This Row],[Total Units]])=0,"",MasterFees[[#This Row],[Fee as Printed]]/MasterFees[[#This Row],[Total Units]])</f>
        <v>54.807692307692307</v>
      </c>
      <c r="P557" s="43"/>
      <c r="Q557" s="46" t="s">
        <v>1013</v>
      </c>
      <c r="R557" s="46" t="s">
        <v>1665</v>
      </c>
      <c r="S557" s="37"/>
    </row>
    <row r="558" spans="1:19" x14ac:dyDescent="0.2">
      <c r="A558" s="36"/>
      <c r="B558" s="38" t="str">
        <f>IF(MasterFees[[#This Row],[RVG Code]]="","",_xlfn.XLOOKUP(MasterFees[[#This Row],[RVG Code]],RVGCodes[Code],RVGCodes[Base Units],"Code not found"))</f>
        <v/>
      </c>
      <c r="C558" s="37" t="s">
        <v>557</v>
      </c>
      <c r="D558" s="44" t="s">
        <v>1108</v>
      </c>
      <c r="E558" s="44"/>
      <c r="F558" s="44" t="s">
        <v>1109</v>
      </c>
      <c r="G558" s="39">
        <v>8.5</v>
      </c>
      <c r="H558" s="39">
        <v>12.5</v>
      </c>
      <c r="I558" s="39">
        <v>1.3</v>
      </c>
      <c r="J558" s="39">
        <v>22.3</v>
      </c>
      <c r="K558" s="40">
        <v>1224.3</v>
      </c>
      <c r="L558" s="45" t="s">
        <v>1015</v>
      </c>
      <c r="M558" s="41" t="str">
        <f>IF(MasterFees[[#This Row],[GST Basis]]="Excl",MasterFees[[#This Row],[Fee as Printed]],IF(MasterFees[[#This Row],[GST Basis]]="Incl",MasterFees[[#This Row],[Fee as Printed]]/(1+GST_Rate),""))</f>
        <v/>
      </c>
      <c r="N558" s="41" t="str">
        <f>IF(MasterFees[[#This Row],[GST Basis]]="Incl",MasterFees[[#This Row],[Fee as Printed]],IF(MasterFees[[#This Row],[GST Basis]]="Excl",MasterFees[[#This Row],[Fee as Printed]]*(1+GST_Rate),""))</f>
        <v/>
      </c>
      <c r="O558" s="42">
        <f>IF(N(MasterFees[[#This Row],[Total Units]])=0,"",MasterFees[[#This Row],[Fee as Printed]]/MasterFees[[#This Row],[Total Units]])</f>
        <v>54.901345291479814</v>
      </c>
      <c r="P558" s="43"/>
      <c r="Q558" s="46" t="s">
        <v>1013</v>
      </c>
      <c r="R558" s="46" t="s">
        <v>1666</v>
      </c>
      <c r="S558" s="37"/>
    </row>
    <row r="559" spans="1:19" x14ac:dyDescent="0.2">
      <c r="A559" s="36"/>
      <c r="B559" s="38" t="str">
        <f>IF(MasterFees[[#This Row],[RVG Code]]="","",_xlfn.XLOOKUP(MasterFees[[#This Row],[RVG Code]],RVGCodes[Code],RVGCodes[Base Units],"Code not found"))</f>
        <v/>
      </c>
      <c r="C559" s="37" t="s">
        <v>558</v>
      </c>
      <c r="D559" s="44" t="s">
        <v>1108</v>
      </c>
      <c r="E559" s="44"/>
      <c r="F559" s="44" t="s">
        <v>1109</v>
      </c>
      <c r="G559" s="39">
        <v>4</v>
      </c>
      <c r="H559" s="39">
        <v>3</v>
      </c>
      <c r="I559" s="39">
        <v>0</v>
      </c>
      <c r="J559" s="39">
        <v>7</v>
      </c>
      <c r="K559" s="40">
        <v>385</v>
      </c>
      <c r="L559" s="45" t="s">
        <v>1015</v>
      </c>
      <c r="M559" s="41" t="str">
        <f>IF(MasterFees[[#This Row],[GST Basis]]="Excl",MasterFees[[#This Row],[Fee as Printed]],IF(MasterFees[[#This Row],[GST Basis]]="Incl",MasterFees[[#This Row],[Fee as Printed]]/(1+GST_Rate),""))</f>
        <v/>
      </c>
      <c r="N559" s="41" t="str">
        <f>IF(MasterFees[[#This Row],[GST Basis]]="Incl",MasterFees[[#This Row],[Fee as Printed]],IF(MasterFees[[#This Row],[GST Basis]]="Excl",MasterFees[[#This Row],[Fee as Printed]]*(1+GST_Rate),""))</f>
        <v/>
      </c>
      <c r="O559" s="42">
        <f>IF(N(MasterFees[[#This Row],[Total Units]])=0,"",MasterFees[[#This Row],[Fee as Printed]]/MasterFees[[#This Row],[Total Units]])</f>
        <v>55</v>
      </c>
      <c r="P559" s="43"/>
      <c r="Q559" s="46" t="s">
        <v>1013</v>
      </c>
      <c r="R559" s="46" t="s">
        <v>1667</v>
      </c>
      <c r="S559" s="37"/>
    </row>
    <row r="560" spans="1:19" x14ac:dyDescent="0.2">
      <c r="A560" s="36"/>
      <c r="B560" s="38" t="str">
        <f>IF(MasterFees[[#This Row],[RVG Code]]="","",_xlfn.XLOOKUP(MasterFees[[#This Row],[RVG Code]],RVGCodes[Code],RVGCodes[Base Units],"Code not found"))</f>
        <v/>
      </c>
      <c r="C560" s="37" t="s">
        <v>559</v>
      </c>
      <c r="D560" s="44" t="s">
        <v>1108</v>
      </c>
      <c r="E560" s="44"/>
      <c r="F560" s="44" t="s">
        <v>1109</v>
      </c>
      <c r="G560" s="39">
        <v>8</v>
      </c>
      <c r="H560" s="39">
        <v>7.3</v>
      </c>
      <c r="I560" s="39">
        <v>1.8</v>
      </c>
      <c r="J560" s="39">
        <v>17.100000000000001</v>
      </c>
      <c r="K560" s="40">
        <v>938.85</v>
      </c>
      <c r="L560" s="45" t="s">
        <v>1015</v>
      </c>
      <c r="M560" s="41" t="str">
        <f>IF(MasterFees[[#This Row],[GST Basis]]="Excl",MasterFees[[#This Row],[Fee as Printed]],IF(MasterFees[[#This Row],[GST Basis]]="Incl",MasterFees[[#This Row],[Fee as Printed]]/(1+GST_Rate),""))</f>
        <v/>
      </c>
      <c r="N560" s="41" t="str">
        <f>IF(MasterFees[[#This Row],[GST Basis]]="Incl",MasterFees[[#This Row],[Fee as Printed]],IF(MasterFees[[#This Row],[GST Basis]]="Excl",MasterFees[[#This Row],[Fee as Printed]]*(1+GST_Rate),""))</f>
        <v/>
      </c>
      <c r="O560" s="42">
        <f>IF(N(MasterFees[[#This Row],[Total Units]])=0,"",MasterFees[[#This Row],[Fee as Printed]]/MasterFees[[#This Row],[Total Units]])</f>
        <v>54.903508771929822</v>
      </c>
      <c r="P560" s="43"/>
      <c r="Q560" s="46" t="s">
        <v>1013</v>
      </c>
      <c r="R560" s="46" t="s">
        <v>1668</v>
      </c>
      <c r="S560" s="37"/>
    </row>
    <row r="561" spans="1:19" x14ac:dyDescent="0.2">
      <c r="A561" s="36"/>
      <c r="B561" s="38" t="str">
        <f>IF(MasterFees[[#This Row],[RVG Code]]="","",_xlfn.XLOOKUP(MasterFees[[#This Row],[RVG Code]],RVGCodes[Code],RVGCodes[Base Units],"Code not found"))</f>
        <v/>
      </c>
      <c r="C561" s="37" t="s">
        <v>560</v>
      </c>
      <c r="D561" s="44" t="s">
        <v>1108</v>
      </c>
      <c r="E561" s="44"/>
      <c r="F561" s="44" t="s">
        <v>1109</v>
      </c>
      <c r="G561" s="39">
        <v>4</v>
      </c>
      <c r="H561" s="39">
        <v>5</v>
      </c>
      <c r="I561" s="39">
        <v>0</v>
      </c>
      <c r="J561" s="39">
        <v>9</v>
      </c>
      <c r="K561" s="40">
        <v>495</v>
      </c>
      <c r="L561" s="45" t="s">
        <v>1015</v>
      </c>
      <c r="M561" s="41" t="str">
        <f>IF(MasterFees[[#This Row],[GST Basis]]="Excl",MasterFees[[#This Row],[Fee as Printed]],IF(MasterFees[[#This Row],[GST Basis]]="Incl",MasterFees[[#This Row],[Fee as Printed]]/(1+GST_Rate),""))</f>
        <v/>
      </c>
      <c r="N561" s="41" t="str">
        <f>IF(MasterFees[[#This Row],[GST Basis]]="Incl",MasterFees[[#This Row],[Fee as Printed]],IF(MasterFees[[#This Row],[GST Basis]]="Excl",MasterFees[[#This Row],[Fee as Printed]]*(1+GST_Rate),""))</f>
        <v/>
      </c>
      <c r="O561" s="42">
        <f>IF(N(MasterFees[[#This Row],[Total Units]])=0,"",MasterFees[[#This Row],[Fee as Printed]]/MasterFees[[#This Row],[Total Units]])</f>
        <v>55</v>
      </c>
      <c r="P561" s="43"/>
      <c r="Q561" s="46" t="s">
        <v>1013</v>
      </c>
      <c r="R561" s="46" t="s">
        <v>1669</v>
      </c>
      <c r="S561" s="37"/>
    </row>
    <row r="562" spans="1:19" x14ac:dyDescent="0.2">
      <c r="A562" s="36"/>
      <c r="B562" s="38" t="str">
        <f>IF(MasterFees[[#This Row],[RVG Code]]="","",_xlfn.XLOOKUP(MasterFees[[#This Row],[RVG Code]],RVGCodes[Code],RVGCodes[Base Units],"Code not found"))</f>
        <v/>
      </c>
      <c r="C562" s="37" t="s">
        <v>561</v>
      </c>
      <c r="D562" s="44" t="s">
        <v>1108</v>
      </c>
      <c r="E562" s="44"/>
      <c r="F562" s="44" t="s">
        <v>1109</v>
      </c>
      <c r="G562" s="39">
        <v>4.8</v>
      </c>
      <c r="H562" s="39">
        <v>4.3</v>
      </c>
      <c r="I562" s="39">
        <v>0.6</v>
      </c>
      <c r="J562" s="39">
        <v>9.6</v>
      </c>
      <c r="K562" s="40">
        <v>528.54999999999995</v>
      </c>
      <c r="L562" s="45" t="s">
        <v>1015</v>
      </c>
      <c r="M562" s="41" t="str">
        <f>IF(MasterFees[[#This Row],[GST Basis]]="Excl",MasterFees[[#This Row],[Fee as Printed]],IF(MasterFees[[#This Row],[GST Basis]]="Incl",MasterFees[[#This Row],[Fee as Printed]]/(1+GST_Rate),""))</f>
        <v/>
      </c>
      <c r="N562" s="41" t="str">
        <f>IF(MasterFees[[#This Row],[GST Basis]]="Incl",MasterFees[[#This Row],[Fee as Printed]],IF(MasterFees[[#This Row],[GST Basis]]="Excl",MasterFees[[#This Row],[Fee as Printed]]*(1+GST_Rate),""))</f>
        <v/>
      </c>
      <c r="O562" s="42">
        <f>IF(N(MasterFees[[#This Row],[Total Units]])=0,"",MasterFees[[#This Row],[Fee as Printed]]/MasterFees[[#This Row],[Total Units]])</f>
        <v>55.057291666666664</v>
      </c>
      <c r="P562" s="43"/>
      <c r="Q562" s="46" t="s">
        <v>1013</v>
      </c>
      <c r="R562" s="46" t="s">
        <v>1670</v>
      </c>
      <c r="S562" s="37"/>
    </row>
    <row r="563" spans="1:19" x14ac:dyDescent="0.2">
      <c r="A563" s="36"/>
      <c r="B563" s="38" t="str">
        <f>IF(MasterFees[[#This Row],[RVG Code]]="","",_xlfn.XLOOKUP(MasterFees[[#This Row],[RVG Code]],RVGCodes[Code],RVGCodes[Base Units],"Code not found"))</f>
        <v/>
      </c>
      <c r="C563" s="37" t="s">
        <v>562</v>
      </c>
      <c r="D563" s="44" t="s">
        <v>1108</v>
      </c>
      <c r="E563" s="44"/>
      <c r="F563" s="44" t="s">
        <v>1109</v>
      </c>
      <c r="G563" s="39">
        <v>4.5</v>
      </c>
      <c r="H563" s="39">
        <v>4.8</v>
      </c>
      <c r="I563" s="39">
        <v>0.9</v>
      </c>
      <c r="J563" s="39">
        <v>10.199999999999999</v>
      </c>
      <c r="K563" s="40">
        <v>559.9</v>
      </c>
      <c r="L563" s="45" t="s">
        <v>1015</v>
      </c>
      <c r="M563" s="41" t="str">
        <f>IF(MasterFees[[#This Row],[GST Basis]]="Excl",MasterFees[[#This Row],[Fee as Printed]],IF(MasterFees[[#This Row],[GST Basis]]="Incl",MasterFees[[#This Row],[Fee as Printed]]/(1+GST_Rate),""))</f>
        <v/>
      </c>
      <c r="N563" s="41" t="str">
        <f>IF(MasterFees[[#This Row],[GST Basis]]="Incl",MasterFees[[#This Row],[Fee as Printed]],IF(MasterFees[[#This Row],[GST Basis]]="Excl",MasterFees[[#This Row],[Fee as Printed]]*(1+GST_Rate),""))</f>
        <v/>
      </c>
      <c r="O563" s="42">
        <f>IF(N(MasterFees[[#This Row],[Total Units]])=0,"",MasterFees[[#This Row],[Fee as Printed]]/MasterFees[[#This Row],[Total Units]])</f>
        <v>54.892156862745097</v>
      </c>
      <c r="P563" s="43"/>
      <c r="Q563" s="46" t="s">
        <v>1013</v>
      </c>
      <c r="R563" s="46" t="s">
        <v>1671</v>
      </c>
      <c r="S563" s="37"/>
    </row>
    <row r="564" spans="1:19" x14ac:dyDescent="0.2">
      <c r="A564" s="36"/>
      <c r="B564" s="38" t="str">
        <f>IF(MasterFees[[#This Row],[RVG Code]]="","",_xlfn.XLOOKUP(MasterFees[[#This Row],[RVG Code]],RVGCodes[Code],RVGCodes[Base Units],"Code not found"))</f>
        <v/>
      </c>
      <c r="C564" s="37" t="s">
        <v>563</v>
      </c>
      <c r="D564" s="44" t="s">
        <v>1108</v>
      </c>
      <c r="E564" s="44"/>
      <c r="F564" s="44" t="s">
        <v>1109</v>
      </c>
      <c r="G564" s="39">
        <v>6</v>
      </c>
      <c r="H564" s="39">
        <v>6.3</v>
      </c>
      <c r="I564" s="39">
        <v>0.3</v>
      </c>
      <c r="J564" s="39">
        <v>12.6</v>
      </c>
      <c r="K564" s="40">
        <v>690.8</v>
      </c>
      <c r="L564" s="45" t="s">
        <v>1015</v>
      </c>
      <c r="M564" s="41" t="str">
        <f>IF(MasterFees[[#This Row],[GST Basis]]="Excl",MasterFees[[#This Row],[Fee as Printed]],IF(MasterFees[[#This Row],[GST Basis]]="Incl",MasterFees[[#This Row],[Fee as Printed]]/(1+GST_Rate),""))</f>
        <v/>
      </c>
      <c r="N564" s="41" t="str">
        <f>IF(MasterFees[[#This Row],[GST Basis]]="Incl",MasterFees[[#This Row],[Fee as Printed]],IF(MasterFees[[#This Row],[GST Basis]]="Excl",MasterFees[[#This Row],[Fee as Printed]]*(1+GST_Rate),""))</f>
        <v/>
      </c>
      <c r="O564" s="42">
        <f>IF(N(MasterFees[[#This Row],[Total Units]])=0,"",MasterFees[[#This Row],[Fee as Printed]]/MasterFees[[#This Row],[Total Units]])</f>
        <v>54.825396825396822</v>
      </c>
      <c r="P564" s="43"/>
      <c r="Q564" s="46" t="s">
        <v>1013</v>
      </c>
      <c r="R564" s="46" t="s">
        <v>1672</v>
      </c>
      <c r="S564" s="37"/>
    </row>
    <row r="565" spans="1:19" x14ac:dyDescent="0.2">
      <c r="A565" s="36"/>
      <c r="B565" s="38" t="str">
        <f>IF(MasterFees[[#This Row],[RVG Code]]="","",_xlfn.XLOOKUP(MasterFees[[#This Row],[RVG Code]],RVGCodes[Code],RVGCodes[Base Units],"Code not found"))</f>
        <v/>
      </c>
      <c r="C565" s="37" t="s">
        <v>564</v>
      </c>
      <c r="D565" s="44" t="s">
        <v>1108</v>
      </c>
      <c r="E565" s="44"/>
      <c r="F565" s="44" t="s">
        <v>1109</v>
      </c>
      <c r="G565" s="39">
        <v>4.0999999999999996</v>
      </c>
      <c r="H565" s="39">
        <v>3.2</v>
      </c>
      <c r="I565" s="39">
        <v>0.3</v>
      </c>
      <c r="J565" s="39">
        <v>7.5</v>
      </c>
      <c r="K565" s="40">
        <v>412.5</v>
      </c>
      <c r="L565" s="45" t="s">
        <v>1015</v>
      </c>
      <c r="M565" s="41" t="str">
        <f>IF(MasterFees[[#This Row],[GST Basis]]="Excl",MasterFees[[#This Row],[Fee as Printed]],IF(MasterFees[[#This Row],[GST Basis]]="Incl",MasterFees[[#This Row],[Fee as Printed]]/(1+GST_Rate),""))</f>
        <v/>
      </c>
      <c r="N565" s="41" t="str">
        <f>IF(MasterFees[[#This Row],[GST Basis]]="Incl",MasterFees[[#This Row],[Fee as Printed]],IF(MasterFees[[#This Row],[GST Basis]]="Excl",MasterFees[[#This Row],[Fee as Printed]]*(1+GST_Rate),""))</f>
        <v/>
      </c>
      <c r="O565" s="42">
        <f>IF(N(MasterFees[[#This Row],[Total Units]])=0,"",MasterFees[[#This Row],[Fee as Printed]]/MasterFees[[#This Row],[Total Units]])</f>
        <v>55</v>
      </c>
      <c r="P565" s="43"/>
      <c r="Q565" s="46" t="s">
        <v>1013</v>
      </c>
      <c r="R565" s="46" t="s">
        <v>1673</v>
      </c>
      <c r="S565" s="37"/>
    </row>
    <row r="566" spans="1:19" x14ac:dyDescent="0.2">
      <c r="A566" s="36"/>
      <c r="B566" s="38" t="str">
        <f>IF(MasterFees[[#This Row],[RVG Code]]="","",_xlfn.XLOOKUP(MasterFees[[#This Row],[RVG Code]],RVGCodes[Code],RVGCodes[Base Units],"Code not found"))</f>
        <v/>
      </c>
      <c r="C566" s="37" t="s">
        <v>565</v>
      </c>
      <c r="D566" s="44" t="s">
        <v>1108</v>
      </c>
      <c r="E566" s="44"/>
      <c r="F566" s="44" t="s">
        <v>1109</v>
      </c>
      <c r="G566" s="39">
        <v>4</v>
      </c>
      <c r="H566" s="39">
        <v>2.9</v>
      </c>
      <c r="I566" s="39">
        <v>0.2</v>
      </c>
      <c r="J566" s="39">
        <v>7.2</v>
      </c>
      <c r="K566" s="40">
        <v>396</v>
      </c>
      <c r="L566" s="45" t="s">
        <v>1015</v>
      </c>
      <c r="M566" s="41" t="str">
        <f>IF(MasterFees[[#This Row],[GST Basis]]="Excl",MasterFees[[#This Row],[Fee as Printed]],IF(MasterFees[[#This Row],[GST Basis]]="Incl",MasterFees[[#This Row],[Fee as Printed]]/(1+GST_Rate),""))</f>
        <v/>
      </c>
      <c r="N566" s="41" t="str">
        <f>IF(MasterFees[[#This Row],[GST Basis]]="Incl",MasterFees[[#This Row],[Fee as Printed]],IF(MasterFees[[#This Row],[GST Basis]]="Excl",MasterFees[[#This Row],[Fee as Printed]]*(1+GST_Rate),""))</f>
        <v/>
      </c>
      <c r="O566" s="42">
        <f>IF(N(MasterFees[[#This Row],[Total Units]])=0,"",MasterFees[[#This Row],[Fee as Printed]]/MasterFees[[#This Row],[Total Units]])</f>
        <v>55</v>
      </c>
      <c r="P566" s="43"/>
      <c r="Q566" s="46" t="s">
        <v>1013</v>
      </c>
      <c r="R566" s="46" t="s">
        <v>1674</v>
      </c>
      <c r="S566" s="37"/>
    </row>
    <row r="567" spans="1:19" x14ac:dyDescent="0.2">
      <c r="A567" s="36"/>
      <c r="B567" s="38" t="str">
        <f>IF(MasterFees[[#This Row],[RVG Code]]="","",_xlfn.XLOOKUP(MasterFees[[#This Row],[RVG Code]],RVGCodes[Code],RVGCodes[Base Units],"Code not found"))</f>
        <v/>
      </c>
      <c r="C567" s="37" t="s">
        <v>566</v>
      </c>
      <c r="D567" s="44" t="s">
        <v>1108</v>
      </c>
      <c r="E567" s="44"/>
      <c r="F567" s="44" t="s">
        <v>1109</v>
      </c>
      <c r="G567" s="39">
        <v>3.9</v>
      </c>
      <c r="H567" s="39">
        <v>2.5</v>
      </c>
      <c r="I567" s="39">
        <v>0.6</v>
      </c>
      <c r="J567" s="39">
        <v>6.9</v>
      </c>
      <c r="K567" s="40">
        <v>381.15</v>
      </c>
      <c r="L567" s="45" t="s">
        <v>1015</v>
      </c>
      <c r="M567" s="41" t="str">
        <f>IF(MasterFees[[#This Row],[GST Basis]]="Excl",MasterFees[[#This Row],[Fee as Printed]],IF(MasterFees[[#This Row],[GST Basis]]="Incl",MasterFees[[#This Row],[Fee as Printed]]/(1+GST_Rate),""))</f>
        <v/>
      </c>
      <c r="N567" s="41" t="str">
        <f>IF(MasterFees[[#This Row],[GST Basis]]="Incl",MasterFees[[#This Row],[Fee as Printed]],IF(MasterFees[[#This Row],[GST Basis]]="Excl",MasterFees[[#This Row],[Fee as Printed]]*(1+GST_Rate),""))</f>
        <v/>
      </c>
      <c r="O567" s="42">
        <f>IF(N(MasterFees[[#This Row],[Total Units]])=0,"",MasterFees[[#This Row],[Fee as Printed]]/MasterFees[[#This Row],[Total Units]])</f>
        <v>55.239130434782602</v>
      </c>
      <c r="P567" s="43"/>
      <c r="Q567" s="46" t="s">
        <v>1013</v>
      </c>
      <c r="R567" s="46" t="s">
        <v>1675</v>
      </c>
      <c r="S567" s="37"/>
    </row>
    <row r="568" spans="1:19" x14ac:dyDescent="0.2">
      <c r="A568" s="36"/>
      <c r="B568" s="38" t="str">
        <f>IF(MasterFees[[#This Row],[RVG Code]]="","",_xlfn.XLOOKUP(MasterFees[[#This Row],[RVG Code]],RVGCodes[Code],RVGCodes[Base Units],"Code not found"))</f>
        <v/>
      </c>
      <c r="C568" s="37" t="s">
        <v>567</v>
      </c>
      <c r="D568" s="44" t="s">
        <v>1108</v>
      </c>
      <c r="E568" s="44"/>
      <c r="F568" s="44" t="s">
        <v>1109</v>
      </c>
      <c r="G568" s="39">
        <v>4.0999999999999996</v>
      </c>
      <c r="H568" s="39">
        <v>3.1</v>
      </c>
      <c r="I568" s="39">
        <v>0.6</v>
      </c>
      <c r="J568" s="39">
        <v>7.7</v>
      </c>
      <c r="K568" s="40">
        <v>425.7</v>
      </c>
      <c r="L568" s="45" t="s">
        <v>1015</v>
      </c>
      <c r="M568" s="41" t="str">
        <f>IF(MasterFees[[#This Row],[GST Basis]]="Excl",MasterFees[[#This Row],[Fee as Printed]],IF(MasterFees[[#This Row],[GST Basis]]="Incl",MasterFees[[#This Row],[Fee as Printed]]/(1+GST_Rate),""))</f>
        <v/>
      </c>
      <c r="N568" s="41" t="str">
        <f>IF(MasterFees[[#This Row],[GST Basis]]="Incl",MasterFees[[#This Row],[Fee as Printed]],IF(MasterFees[[#This Row],[GST Basis]]="Excl",MasterFees[[#This Row],[Fee as Printed]]*(1+GST_Rate),""))</f>
        <v/>
      </c>
      <c r="O568" s="42">
        <f>IF(N(MasterFees[[#This Row],[Total Units]])=0,"",MasterFees[[#This Row],[Fee as Printed]]/MasterFees[[#This Row],[Total Units]])</f>
        <v>55.285714285714285</v>
      </c>
      <c r="P568" s="43"/>
      <c r="Q568" s="46" t="s">
        <v>1013</v>
      </c>
      <c r="R568" s="46" t="s">
        <v>1676</v>
      </c>
      <c r="S568" s="37"/>
    </row>
    <row r="569" spans="1:19" x14ac:dyDescent="0.2">
      <c r="A569" s="36"/>
      <c r="B569" s="38" t="str">
        <f>IF(MasterFees[[#This Row],[RVG Code]]="","",_xlfn.XLOOKUP(MasterFees[[#This Row],[RVG Code]],RVGCodes[Code],RVGCodes[Base Units],"Code not found"))</f>
        <v/>
      </c>
      <c r="C569" s="37" t="s">
        <v>568</v>
      </c>
      <c r="D569" s="44" t="s">
        <v>1108</v>
      </c>
      <c r="E569" s="44"/>
      <c r="F569" s="44" t="s">
        <v>1109</v>
      </c>
      <c r="G569" s="39">
        <v>4.2</v>
      </c>
      <c r="H569" s="39">
        <v>3.6</v>
      </c>
      <c r="I569" s="39">
        <v>0.3</v>
      </c>
      <c r="J569" s="39">
        <v>8.1</v>
      </c>
      <c r="K569" s="40">
        <v>442.75</v>
      </c>
      <c r="L569" s="45" t="s">
        <v>1015</v>
      </c>
      <c r="M569" s="41" t="str">
        <f>IF(MasterFees[[#This Row],[GST Basis]]="Excl",MasterFees[[#This Row],[Fee as Printed]],IF(MasterFees[[#This Row],[GST Basis]]="Incl",MasterFees[[#This Row],[Fee as Printed]]/(1+GST_Rate),""))</f>
        <v/>
      </c>
      <c r="N569" s="41" t="str">
        <f>IF(MasterFees[[#This Row],[GST Basis]]="Incl",MasterFees[[#This Row],[Fee as Printed]],IF(MasterFees[[#This Row],[GST Basis]]="Excl",MasterFees[[#This Row],[Fee as Printed]]*(1+GST_Rate),""))</f>
        <v/>
      </c>
      <c r="O569" s="42">
        <f>IF(N(MasterFees[[#This Row],[Total Units]])=0,"",MasterFees[[#This Row],[Fee as Printed]]/MasterFees[[#This Row],[Total Units]])</f>
        <v>54.660493827160494</v>
      </c>
      <c r="P569" s="43"/>
      <c r="Q569" s="46" t="s">
        <v>1013</v>
      </c>
      <c r="R569" s="46" t="s">
        <v>1677</v>
      </c>
      <c r="S569" s="37"/>
    </row>
    <row r="570" spans="1:19" x14ac:dyDescent="0.2">
      <c r="A570" s="36"/>
      <c r="B570" s="38" t="str">
        <f>IF(MasterFees[[#This Row],[RVG Code]]="","",_xlfn.XLOOKUP(MasterFees[[#This Row],[RVG Code]],RVGCodes[Code],RVGCodes[Base Units],"Code not found"))</f>
        <v/>
      </c>
      <c r="C570" s="37" t="s">
        <v>569</v>
      </c>
      <c r="D570" s="44" t="s">
        <v>1108</v>
      </c>
      <c r="E570" s="44"/>
      <c r="F570" s="44" t="s">
        <v>1109</v>
      </c>
      <c r="G570" s="39">
        <v>4.0999999999999996</v>
      </c>
      <c r="H570" s="39">
        <v>2.8</v>
      </c>
      <c r="I570" s="39">
        <v>0.5</v>
      </c>
      <c r="J570" s="39">
        <v>7.4</v>
      </c>
      <c r="K570" s="40">
        <v>406.45</v>
      </c>
      <c r="L570" s="45" t="s">
        <v>1015</v>
      </c>
      <c r="M570" s="41" t="str">
        <f>IF(MasterFees[[#This Row],[GST Basis]]="Excl",MasterFees[[#This Row],[Fee as Printed]],IF(MasterFees[[#This Row],[GST Basis]]="Incl",MasterFees[[#This Row],[Fee as Printed]]/(1+GST_Rate),""))</f>
        <v/>
      </c>
      <c r="N570" s="41" t="str">
        <f>IF(MasterFees[[#This Row],[GST Basis]]="Incl",MasterFees[[#This Row],[Fee as Printed]],IF(MasterFees[[#This Row],[GST Basis]]="Excl",MasterFees[[#This Row],[Fee as Printed]]*(1+GST_Rate),""))</f>
        <v/>
      </c>
      <c r="O570" s="42">
        <f>IF(N(MasterFees[[#This Row],[Total Units]])=0,"",MasterFees[[#This Row],[Fee as Printed]]/MasterFees[[#This Row],[Total Units]])</f>
        <v>54.92567567567567</v>
      </c>
      <c r="P570" s="43"/>
      <c r="Q570" s="46" t="s">
        <v>1013</v>
      </c>
      <c r="R570" s="46" t="s">
        <v>1678</v>
      </c>
      <c r="S570" s="37"/>
    </row>
    <row r="571" spans="1:19" x14ac:dyDescent="0.2">
      <c r="A571" s="36"/>
      <c r="B571" s="38" t="str">
        <f>IF(MasterFees[[#This Row],[RVG Code]]="","",_xlfn.XLOOKUP(MasterFees[[#This Row],[RVG Code]],RVGCodes[Code],RVGCodes[Base Units],"Code not found"))</f>
        <v/>
      </c>
      <c r="C571" s="37" t="s">
        <v>570</v>
      </c>
      <c r="D571" s="44" t="s">
        <v>1108</v>
      </c>
      <c r="E571" s="44"/>
      <c r="F571" s="44" t="s">
        <v>1109</v>
      </c>
      <c r="G571" s="39">
        <v>2</v>
      </c>
      <c r="H571" s="39">
        <v>5</v>
      </c>
      <c r="I571" s="39">
        <v>0</v>
      </c>
      <c r="J571" s="39">
        <v>7</v>
      </c>
      <c r="K571" s="40">
        <v>385</v>
      </c>
      <c r="L571" s="45" t="s">
        <v>1015</v>
      </c>
      <c r="M571" s="41" t="str">
        <f>IF(MasterFees[[#This Row],[GST Basis]]="Excl",MasterFees[[#This Row],[Fee as Printed]],IF(MasterFees[[#This Row],[GST Basis]]="Incl",MasterFees[[#This Row],[Fee as Printed]]/(1+GST_Rate),""))</f>
        <v/>
      </c>
      <c r="N571" s="41" t="str">
        <f>IF(MasterFees[[#This Row],[GST Basis]]="Incl",MasterFees[[#This Row],[Fee as Printed]],IF(MasterFees[[#This Row],[GST Basis]]="Excl",MasterFees[[#This Row],[Fee as Printed]]*(1+GST_Rate),""))</f>
        <v/>
      </c>
      <c r="O571" s="42">
        <f>IF(N(MasterFees[[#This Row],[Total Units]])=0,"",MasterFees[[#This Row],[Fee as Printed]]/MasterFees[[#This Row],[Total Units]])</f>
        <v>55</v>
      </c>
      <c r="P571" s="43"/>
      <c r="Q571" s="46" t="s">
        <v>1013</v>
      </c>
      <c r="R571" s="46" t="s">
        <v>1679</v>
      </c>
      <c r="S571" s="37"/>
    </row>
    <row r="572" spans="1:19" x14ac:dyDescent="0.2">
      <c r="A572" s="36"/>
      <c r="B572" s="38" t="str">
        <f>IF(MasterFees[[#This Row],[RVG Code]]="","",_xlfn.XLOOKUP(MasterFees[[#This Row],[RVG Code]],RVGCodes[Code],RVGCodes[Base Units],"Code not found"))</f>
        <v/>
      </c>
      <c r="C572" s="37" t="s">
        <v>571</v>
      </c>
      <c r="D572" s="44" t="s">
        <v>1108</v>
      </c>
      <c r="E572" s="44"/>
      <c r="F572" s="44" t="s">
        <v>1109</v>
      </c>
      <c r="G572" s="39">
        <v>4.2</v>
      </c>
      <c r="H572" s="39">
        <v>1.9</v>
      </c>
      <c r="I572" s="39">
        <v>0.5</v>
      </c>
      <c r="J572" s="39">
        <v>6.6</v>
      </c>
      <c r="K572" s="40">
        <v>362.45</v>
      </c>
      <c r="L572" s="45" t="s">
        <v>1015</v>
      </c>
      <c r="M572" s="41" t="str">
        <f>IF(MasterFees[[#This Row],[GST Basis]]="Excl",MasterFees[[#This Row],[Fee as Printed]],IF(MasterFees[[#This Row],[GST Basis]]="Incl",MasterFees[[#This Row],[Fee as Printed]]/(1+GST_Rate),""))</f>
        <v/>
      </c>
      <c r="N572" s="41" t="str">
        <f>IF(MasterFees[[#This Row],[GST Basis]]="Incl",MasterFees[[#This Row],[Fee as Printed]],IF(MasterFees[[#This Row],[GST Basis]]="Excl",MasterFees[[#This Row],[Fee as Printed]]*(1+GST_Rate),""))</f>
        <v/>
      </c>
      <c r="O572" s="42">
        <f>IF(N(MasterFees[[#This Row],[Total Units]])=0,"",MasterFees[[#This Row],[Fee as Printed]]/MasterFees[[#This Row],[Total Units]])</f>
        <v>54.916666666666671</v>
      </c>
      <c r="P572" s="43"/>
      <c r="Q572" s="46" t="s">
        <v>1013</v>
      </c>
      <c r="R572" s="46" t="s">
        <v>1680</v>
      </c>
      <c r="S572" s="37"/>
    </row>
    <row r="573" spans="1:19" x14ac:dyDescent="0.2">
      <c r="A573" s="36"/>
      <c r="B573" s="38" t="str">
        <f>IF(MasterFees[[#This Row],[RVG Code]]="","",_xlfn.XLOOKUP(MasterFees[[#This Row],[RVG Code]],RVGCodes[Code],RVGCodes[Base Units],"Code not found"))</f>
        <v/>
      </c>
      <c r="C573" s="37" t="s">
        <v>572</v>
      </c>
      <c r="D573" s="44" t="s">
        <v>1108</v>
      </c>
      <c r="E573" s="44"/>
      <c r="F573" s="44" t="s">
        <v>1109</v>
      </c>
      <c r="G573" s="39">
        <v>7.9</v>
      </c>
      <c r="H573" s="39">
        <v>7.7</v>
      </c>
      <c r="I573" s="39">
        <v>1.4</v>
      </c>
      <c r="J573" s="39">
        <v>17</v>
      </c>
      <c r="K573" s="40">
        <v>937.2</v>
      </c>
      <c r="L573" s="45" t="s">
        <v>1015</v>
      </c>
      <c r="M573" s="41" t="str">
        <f>IF(MasterFees[[#This Row],[GST Basis]]="Excl",MasterFees[[#This Row],[Fee as Printed]],IF(MasterFees[[#This Row],[GST Basis]]="Incl",MasterFees[[#This Row],[Fee as Printed]]/(1+GST_Rate),""))</f>
        <v/>
      </c>
      <c r="N573" s="41" t="str">
        <f>IF(MasterFees[[#This Row],[GST Basis]]="Incl",MasterFees[[#This Row],[Fee as Printed]],IF(MasterFees[[#This Row],[GST Basis]]="Excl",MasterFees[[#This Row],[Fee as Printed]]*(1+GST_Rate),""))</f>
        <v/>
      </c>
      <c r="O573" s="42">
        <f>IF(N(MasterFees[[#This Row],[Total Units]])=0,"",MasterFees[[#This Row],[Fee as Printed]]/MasterFees[[#This Row],[Total Units]])</f>
        <v>55.129411764705885</v>
      </c>
      <c r="P573" s="43"/>
      <c r="Q573" s="46" t="s">
        <v>1013</v>
      </c>
      <c r="R573" s="46" t="s">
        <v>1681</v>
      </c>
      <c r="S573" s="37"/>
    </row>
    <row r="574" spans="1:19" x14ac:dyDescent="0.2">
      <c r="A574" s="36"/>
      <c r="B574" s="38" t="str">
        <f>IF(MasterFees[[#This Row],[RVG Code]]="","",_xlfn.XLOOKUP(MasterFees[[#This Row],[RVG Code]],RVGCodes[Code],RVGCodes[Base Units],"Code not found"))</f>
        <v/>
      </c>
      <c r="C574" s="37" t="s">
        <v>573</v>
      </c>
      <c r="D574" s="44" t="s">
        <v>1108</v>
      </c>
      <c r="E574" s="44"/>
      <c r="F574" s="44" t="s">
        <v>1109</v>
      </c>
      <c r="G574" s="39">
        <v>8</v>
      </c>
      <c r="H574" s="39">
        <v>4</v>
      </c>
      <c r="I574" s="39">
        <v>1</v>
      </c>
      <c r="J574" s="39">
        <v>13</v>
      </c>
      <c r="K574" s="40">
        <v>715</v>
      </c>
      <c r="L574" s="45" t="s">
        <v>1015</v>
      </c>
      <c r="M574" s="41" t="str">
        <f>IF(MasterFees[[#This Row],[GST Basis]]="Excl",MasterFees[[#This Row],[Fee as Printed]],IF(MasterFees[[#This Row],[GST Basis]]="Incl",MasterFees[[#This Row],[Fee as Printed]]/(1+GST_Rate),""))</f>
        <v/>
      </c>
      <c r="N574" s="41" t="str">
        <f>IF(MasterFees[[#This Row],[GST Basis]]="Incl",MasterFees[[#This Row],[Fee as Printed]],IF(MasterFees[[#This Row],[GST Basis]]="Excl",MasterFees[[#This Row],[Fee as Printed]]*(1+GST_Rate),""))</f>
        <v/>
      </c>
      <c r="O574" s="42">
        <f>IF(N(MasterFees[[#This Row],[Total Units]])=0,"",MasterFees[[#This Row],[Fee as Printed]]/MasterFees[[#This Row],[Total Units]])</f>
        <v>55</v>
      </c>
      <c r="P574" s="43"/>
      <c r="Q574" s="46" t="s">
        <v>1013</v>
      </c>
      <c r="R574" s="46" t="s">
        <v>1682</v>
      </c>
      <c r="S574" s="37"/>
    </row>
    <row r="575" spans="1:19" x14ac:dyDescent="0.2">
      <c r="A575" s="36"/>
      <c r="B575" s="38" t="str">
        <f>IF(MasterFees[[#This Row],[RVG Code]]="","",_xlfn.XLOOKUP(MasterFees[[#This Row],[RVG Code]],RVGCodes[Code],RVGCodes[Base Units],"Code not found"))</f>
        <v/>
      </c>
      <c r="C575" s="37" t="s">
        <v>574</v>
      </c>
      <c r="D575" s="44" t="s">
        <v>1108</v>
      </c>
      <c r="E575" s="44"/>
      <c r="F575" s="44" t="s">
        <v>1109</v>
      </c>
      <c r="G575" s="39">
        <v>8</v>
      </c>
      <c r="H575" s="39">
        <v>6.7</v>
      </c>
      <c r="I575" s="39">
        <v>0.5</v>
      </c>
      <c r="J575" s="39">
        <v>15.1</v>
      </c>
      <c r="K575" s="40">
        <v>832.15</v>
      </c>
      <c r="L575" s="45" t="s">
        <v>1015</v>
      </c>
      <c r="M575" s="41" t="str">
        <f>IF(MasterFees[[#This Row],[GST Basis]]="Excl",MasterFees[[#This Row],[Fee as Printed]],IF(MasterFees[[#This Row],[GST Basis]]="Incl",MasterFees[[#This Row],[Fee as Printed]]/(1+GST_Rate),""))</f>
        <v/>
      </c>
      <c r="N575" s="41" t="str">
        <f>IF(MasterFees[[#This Row],[GST Basis]]="Incl",MasterFees[[#This Row],[Fee as Printed]],IF(MasterFees[[#This Row],[GST Basis]]="Excl",MasterFees[[#This Row],[Fee as Printed]]*(1+GST_Rate),""))</f>
        <v/>
      </c>
      <c r="O575" s="42">
        <f>IF(N(MasterFees[[#This Row],[Total Units]])=0,"",MasterFees[[#This Row],[Fee as Printed]]/MasterFees[[#This Row],[Total Units]])</f>
        <v>55.109271523178805</v>
      </c>
      <c r="P575" s="43"/>
      <c r="Q575" s="46" t="s">
        <v>1013</v>
      </c>
      <c r="R575" s="46" t="s">
        <v>1683</v>
      </c>
      <c r="S575" s="37"/>
    </row>
    <row r="576" spans="1:19" x14ac:dyDescent="0.2">
      <c r="A576" s="36"/>
      <c r="B576" s="38" t="str">
        <f>IF(MasterFees[[#This Row],[RVG Code]]="","",_xlfn.XLOOKUP(MasterFees[[#This Row],[RVG Code]],RVGCodes[Code],RVGCodes[Base Units],"Code not found"))</f>
        <v/>
      </c>
      <c r="C576" s="37" t="s">
        <v>575</v>
      </c>
      <c r="D576" s="44" t="s">
        <v>1108</v>
      </c>
      <c r="E576" s="44"/>
      <c r="F576" s="44" t="s">
        <v>1109</v>
      </c>
      <c r="G576" s="39">
        <v>8</v>
      </c>
      <c r="H576" s="39">
        <v>5.7</v>
      </c>
      <c r="I576" s="39">
        <v>0.4</v>
      </c>
      <c r="J576" s="39">
        <v>14.1</v>
      </c>
      <c r="K576" s="40">
        <v>775.5</v>
      </c>
      <c r="L576" s="45" t="s">
        <v>1015</v>
      </c>
      <c r="M576" s="41" t="str">
        <f>IF(MasterFees[[#This Row],[GST Basis]]="Excl",MasterFees[[#This Row],[Fee as Printed]],IF(MasterFees[[#This Row],[GST Basis]]="Incl",MasterFees[[#This Row],[Fee as Printed]]/(1+GST_Rate),""))</f>
        <v/>
      </c>
      <c r="N576" s="41" t="str">
        <f>IF(MasterFees[[#This Row],[GST Basis]]="Incl",MasterFees[[#This Row],[Fee as Printed]],IF(MasterFees[[#This Row],[GST Basis]]="Excl",MasterFees[[#This Row],[Fee as Printed]]*(1+GST_Rate),""))</f>
        <v/>
      </c>
      <c r="O576" s="42">
        <f>IF(N(MasterFees[[#This Row],[Total Units]])=0,"",MasterFees[[#This Row],[Fee as Printed]]/MasterFees[[#This Row],[Total Units]])</f>
        <v>55</v>
      </c>
      <c r="P576" s="43"/>
      <c r="Q576" s="46" t="s">
        <v>1013</v>
      </c>
      <c r="R576" s="46" t="s">
        <v>1684</v>
      </c>
      <c r="S576" s="37"/>
    </row>
    <row r="577" spans="1:19" x14ac:dyDescent="0.2">
      <c r="A577" s="36"/>
      <c r="B577" s="38" t="str">
        <f>IF(MasterFees[[#This Row],[RVG Code]]="","",_xlfn.XLOOKUP(MasterFees[[#This Row],[RVG Code]],RVGCodes[Code],RVGCodes[Base Units],"Code not found"))</f>
        <v/>
      </c>
      <c r="C577" s="37" t="s">
        <v>576</v>
      </c>
      <c r="D577" s="44" t="s">
        <v>1108</v>
      </c>
      <c r="E577" s="44"/>
      <c r="F577" s="44" t="s">
        <v>1109</v>
      </c>
      <c r="G577" s="39">
        <v>2</v>
      </c>
      <c r="H577" s="39">
        <v>2.5</v>
      </c>
      <c r="I577" s="39">
        <v>0</v>
      </c>
      <c r="J577" s="39">
        <v>4.5</v>
      </c>
      <c r="K577" s="40">
        <v>247.5</v>
      </c>
      <c r="L577" s="45" t="s">
        <v>1015</v>
      </c>
      <c r="M577" s="41" t="str">
        <f>IF(MasterFees[[#This Row],[GST Basis]]="Excl",MasterFees[[#This Row],[Fee as Printed]],IF(MasterFees[[#This Row],[GST Basis]]="Incl",MasterFees[[#This Row],[Fee as Printed]]/(1+GST_Rate),""))</f>
        <v/>
      </c>
      <c r="N577" s="41" t="str">
        <f>IF(MasterFees[[#This Row],[GST Basis]]="Incl",MasterFees[[#This Row],[Fee as Printed]],IF(MasterFees[[#This Row],[GST Basis]]="Excl",MasterFees[[#This Row],[Fee as Printed]]*(1+GST_Rate),""))</f>
        <v/>
      </c>
      <c r="O577" s="42">
        <f>IF(N(MasterFees[[#This Row],[Total Units]])=0,"",MasterFees[[#This Row],[Fee as Printed]]/MasterFees[[#This Row],[Total Units]])</f>
        <v>55</v>
      </c>
      <c r="P577" s="43"/>
      <c r="Q577" s="46" t="s">
        <v>1013</v>
      </c>
      <c r="R577" s="46" t="s">
        <v>1685</v>
      </c>
      <c r="S577" s="37"/>
    </row>
    <row r="578" spans="1:19" x14ac:dyDescent="0.2">
      <c r="A578" s="36"/>
      <c r="B578" s="38" t="str">
        <f>IF(MasterFees[[#This Row],[RVG Code]]="","",_xlfn.XLOOKUP(MasterFees[[#This Row],[RVG Code]],RVGCodes[Code],RVGCodes[Base Units],"Code not found"))</f>
        <v/>
      </c>
      <c r="C578" s="37" t="s">
        <v>577</v>
      </c>
      <c r="D578" s="44" t="s">
        <v>1108</v>
      </c>
      <c r="E578" s="44"/>
      <c r="F578" s="44" t="s">
        <v>1109</v>
      </c>
      <c r="G578" s="39">
        <v>0</v>
      </c>
      <c r="H578" s="39">
        <v>3</v>
      </c>
      <c r="I578" s="39">
        <v>0</v>
      </c>
      <c r="J578" s="39">
        <v>3</v>
      </c>
      <c r="K578" s="40">
        <v>165</v>
      </c>
      <c r="L578" s="45" t="s">
        <v>1015</v>
      </c>
      <c r="M578" s="41" t="str">
        <f>IF(MasterFees[[#This Row],[GST Basis]]="Excl",MasterFees[[#This Row],[Fee as Printed]],IF(MasterFees[[#This Row],[GST Basis]]="Incl",MasterFees[[#This Row],[Fee as Printed]]/(1+GST_Rate),""))</f>
        <v/>
      </c>
      <c r="N578" s="41" t="str">
        <f>IF(MasterFees[[#This Row],[GST Basis]]="Incl",MasterFees[[#This Row],[Fee as Printed]],IF(MasterFees[[#This Row],[GST Basis]]="Excl",MasterFees[[#This Row],[Fee as Printed]]*(1+GST_Rate),""))</f>
        <v/>
      </c>
      <c r="O578" s="42">
        <f>IF(N(MasterFees[[#This Row],[Total Units]])=0,"",MasterFees[[#This Row],[Fee as Printed]]/MasterFees[[#This Row],[Total Units]])</f>
        <v>55</v>
      </c>
      <c r="P578" s="43"/>
      <c r="Q578" s="46" t="s">
        <v>1013</v>
      </c>
      <c r="R578" s="46" t="s">
        <v>1686</v>
      </c>
      <c r="S578" s="37"/>
    </row>
    <row r="579" spans="1:19" x14ac:dyDescent="0.2">
      <c r="A579" s="36"/>
      <c r="B579" s="38" t="str">
        <f>IF(MasterFees[[#This Row],[RVG Code]]="","",_xlfn.XLOOKUP(MasterFees[[#This Row],[RVG Code]],RVGCodes[Code],RVGCodes[Base Units],"Code not found"))</f>
        <v/>
      </c>
      <c r="C579" s="37" t="s">
        <v>578</v>
      </c>
      <c r="D579" s="44" t="s">
        <v>1108</v>
      </c>
      <c r="E579" s="44"/>
      <c r="F579" s="44" t="s">
        <v>1109</v>
      </c>
      <c r="G579" s="39">
        <v>5</v>
      </c>
      <c r="H579" s="39">
        <v>5</v>
      </c>
      <c r="I579" s="39">
        <v>0</v>
      </c>
      <c r="J579" s="39">
        <v>10</v>
      </c>
      <c r="K579" s="40">
        <v>550</v>
      </c>
      <c r="L579" s="45" t="s">
        <v>1015</v>
      </c>
      <c r="M579" s="41" t="str">
        <f>IF(MasterFees[[#This Row],[GST Basis]]="Excl",MasterFees[[#This Row],[Fee as Printed]],IF(MasterFees[[#This Row],[GST Basis]]="Incl",MasterFees[[#This Row],[Fee as Printed]]/(1+GST_Rate),""))</f>
        <v/>
      </c>
      <c r="N579" s="41" t="str">
        <f>IF(MasterFees[[#This Row],[GST Basis]]="Incl",MasterFees[[#This Row],[Fee as Printed]],IF(MasterFees[[#This Row],[GST Basis]]="Excl",MasterFees[[#This Row],[Fee as Printed]]*(1+GST_Rate),""))</f>
        <v/>
      </c>
      <c r="O579" s="42">
        <f>IF(N(MasterFees[[#This Row],[Total Units]])=0,"",MasterFees[[#This Row],[Fee as Printed]]/MasterFees[[#This Row],[Total Units]])</f>
        <v>55</v>
      </c>
      <c r="P579" s="43"/>
      <c r="Q579" s="46" t="s">
        <v>1013</v>
      </c>
      <c r="R579" s="46" t="s">
        <v>1687</v>
      </c>
      <c r="S579" s="37"/>
    </row>
    <row r="580" spans="1:19" x14ac:dyDescent="0.2">
      <c r="A580" s="36"/>
      <c r="B580" s="38" t="str">
        <f>IF(MasterFees[[#This Row],[RVG Code]]="","",_xlfn.XLOOKUP(MasterFees[[#This Row],[RVG Code]],RVGCodes[Code],RVGCodes[Base Units],"Code not found"))</f>
        <v/>
      </c>
      <c r="C580" s="37" t="s">
        <v>579</v>
      </c>
      <c r="D580" s="44" t="s">
        <v>1108</v>
      </c>
      <c r="E580" s="44"/>
      <c r="F580" s="44" t="s">
        <v>1109</v>
      </c>
      <c r="G580" s="39">
        <v>0</v>
      </c>
      <c r="H580" s="39">
        <v>0</v>
      </c>
      <c r="I580" s="39">
        <v>0</v>
      </c>
      <c r="J580" s="39">
        <v>0</v>
      </c>
      <c r="K580" s="40">
        <v>0</v>
      </c>
      <c r="L580" s="45" t="s">
        <v>1015</v>
      </c>
      <c r="M580" s="41" t="str">
        <f>IF(MasterFees[[#This Row],[GST Basis]]="Excl",MasterFees[[#This Row],[Fee as Printed]],IF(MasterFees[[#This Row],[GST Basis]]="Incl",MasterFees[[#This Row],[Fee as Printed]]/(1+GST_Rate),""))</f>
        <v/>
      </c>
      <c r="N580" s="41" t="str">
        <f>IF(MasterFees[[#This Row],[GST Basis]]="Incl",MasterFees[[#This Row],[Fee as Printed]],IF(MasterFees[[#This Row],[GST Basis]]="Excl",MasterFees[[#This Row],[Fee as Printed]]*(1+GST_Rate),""))</f>
        <v/>
      </c>
      <c r="O580" s="42" t="str">
        <f>IF(N(MasterFees[[#This Row],[Total Units]])=0,"",MasterFees[[#This Row],[Fee as Printed]]/MasterFees[[#This Row],[Total Units]])</f>
        <v/>
      </c>
      <c r="P580" s="43"/>
      <c r="Q580" s="46" t="s">
        <v>1013</v>
      </c>
      <c r="R580" s="46" t="s">
        <v>1688</v>
      </c>
      <c r="S580" s="37"/>
    </row>
    <row r="581" spans="1:19" x14ac:dyDescent="0.2">
      <c r="A581" s="36"/>
      <c r="B581" s="38" t="str">
        <f>IF(MasterFees[[#This Row],[RVG Code]]="","",_xlfn.XLOOKUP(MasterFees[[#This Row],[RVG Code]],RVGCodes[Code],RVGCodes[Base Units],"Code not found"))</f>
        <v/>
      </c>
      <c r="C581" s="37" t="s">
        <v>580</v>
      </c>
      <c r="D581" s="44" t="s">
        <v>1108</v>
      </c>
      <c r="E581" s="44"/>
      <c r="F581" s="44" t="s">
        <v>1109</v>
      </c>
      <c r="G581" s="39">
        <v>4.5</v>
      </c>
      <c r="H581" s="39">
        <v>6</v>
      </c>
      <c r="I581" s="39">
        <v>0.5</v>
      </c>
      <c r="J581" s="39">
        <v>11</v>
      </c>
      <c r="K581" s="40">
        <v>605</v>
      </c>
      <c r="L581" s="45" t="s">
        <v>1015</v>
      </c>
      <c r="M581" s="41" t="str">
        <f>IF(MasterFees[[#This Row],[GST Basis]]="Excl",MasterFees[[#This Row],[Fee as Printed]],IF(MasterFees[[#This Row],[GST Basis]]="Incl",MasterFees[[#This Row],[Fee as Printed]]/(1+GST_Rate),""))</f>
        <v/>
      </c>
      <c r="N581" s="41" t="str">
        <f>IF(MasterFees[[#This Row],[GST Basis]]="Incl",MasterFees[[#This Row],[Fee as Printed]],IF(MasterFees[[#This Row],[GST Basis]]="Excl",MasterFees[[#This Row],[Fee as Printed]]*(1+GST_Rate),""))</f>
        <v/>
      </c>
      <c r="O581" s="42">
        <f>IF(N(MasterFees[[#This Row],[Total Units]])=0,"",MasterFees[[#This Row],[Fee as Printed]]/MasterFees[[#This Row],[Total Units]])</f>
        <v>55</v>
      </c>
      <c r="P581" s="43"/>
      <c r="Q581" s="46" t="s">
        <v>1013</v>
      </c>
      <c r="R581" s="46" t="s">
        <v>1689</v>
      </c>
      <c r="S581" s="37"/>
    </row>
    <row r="582" spans="1:19" x14ac:dyDescent="0.2">
      <c r="A582" s="36"/>
      <c r="B582" s="38" t="str">
        <f>IF(MasterFees[[#This Row],[RVG Code]]="","",_xlfn.XLOOKUP(MasterFees[[#This Row],[RVG Code]],RVGCodes[Code],RVGCodes[Base Units],"Code not found"))</f>
        <v/>
      </c>
      <c r="C582" s="37" t="s">
        <v>581</v>
      </c>
      <c r="D582" s="44" t="s">
        <v>1108</v>
      </c>
      <c r="E582" s="44"/>
      <c r="F582" s="44" t="s">
        <v>1109</v>
      </c>
      <c r="G582" s="39">
        <v>5</v>
      </c>
      <c r="H582" s="39">
        <v>5</v>
      </c>
      <c r="I582" s="39">
        <v>0</v>
      </c>
      <c r="J582" s="39">
        <v>10</v>
      </c>
      <c r="K582" s="40">
        <v>550</v>
      </c>
      <c r="L582" s="45" t="s">
        <v>1015</v>
      </c>
      <c r="M582" s="41" t="str">
        <f>IF(MasterFees[[#This Row],[GST Basis]]="Excl",MasterFees[[#This Row],[Fee as Printed]],IF(MasterFees[[#This Row],[GST Basis]]="Incl",MasterFees[[#This Row],[Fee as Printed]]/(1+GST_Rate),""))</f>
        <v/>
      </c>
      <c r="N582" s="41" t="str">
        <f>IF(MasterFees[[#This Row],[GST Basis]]="Incl",MasterFees[[#This Row],[Fee as Printed]],IF(MasterFees[[#This Row],[GST Basis]]="Excl",MasterFees[[#This Row],[Fee as Printed]]*(1+GST_Rate),""))</f>
        <v/>
      </c>
      <c r="O582" s="42">
        <f>IF(N(MasterFees[[#This Row],[Total Units]])=0,"",MasterFees[[#This Row],[Fee as Printed]]/MasterFees[[#This Row],[Total Units]])</f>
        <v>55</v>
      </c>
      <c r="P582" s="43"/>
      <c r="Q582" s="46" t="s">
        <v>1013</v>
      </c>
      <c r="R582" s="46" t="s">
        <v>1690</v>
      </c>
      <c r="S582" s="37"/>
    </row>
    <row r="583" spans="1:19" x14ac:dyDescent="0.2">
      <c r="A583" s="36"/>
      <c r="B583" s="38" t="str">
        <f>IF(MasterFees[[#This Row],[RVG Code]]="","",_xlfn.XLOOKUP(MasterFees[[#This Row],[RVG Code]],RVGCodes[Code],RVGCodes[Base Units],"Code not found"))</f>
        <v/>
      </c>
      <c r="C583" s="37" t="s">
        <v>582</v>
      </c>
      <c r="D583" s="44" t="s">
        <v>1108</v>
      </c>
      <c r="E583" s="44"/>
      <c r="F583" s="44" t="s">
        <v>1109</v>
      </c>
      <c r="G583" s="39">
        <v>4</v>
      </c>
      <c r="H583" s="39">
        <v>4</v>
      </c>
      <c r="I583" s="39">
        <v>0</v>
      </c>
      <c r="J583" s="39">
        <v>8</v>
      </c>
      <c r="K583" s="40">
        <v>440</v>
      </c>
      <c r="L583" s="45" t="s">
        <v>1015</v>
      </c>
      <c r="M583" s="41" t="str">
        <f>IF(MasterFees[[#This Row],[GST Basis]]="Excl",MasterFees[[#This Row],[Fee as Printed]],IF(MasterFees[[#This Row],[GST Basis]]="Incl",MasterFees[[#This Row],[Fee as Printed]]/(1+GST_Rate),""))</f>
        <v/>
      </c>
      <c r="N583" s="41" t="str">
        <f>IF(MasterFees[[#This Row],[GST Basis]]="Incl",MasterFees[[#This Row],[Fee as Printed]],IF(MasterFees[[#This Row],[GST Basis]]="Excl",MasterFees[[#This Row],[Fee as Printed]]*(1+GST_Rate),""))</f>
        <v/>
      </c>
      <c r="O583" s="42">
        <f>IF(N(MasterFees[[#This Row],[Total Units]])=0,"",MasterFees[[#This Row],[Fee as Printed]]/MasterFees[[#This Row],[Total Units]])</f>
        <v>55</v>
      </c>
      <c r="P583" s="43"/>
      <c r="Q583" s="46" t="s">
        <v>1013</v>
      </c>
      <c r="R583" s="46" t="s">
        <v>1691</v>
      </c>
      <c r="S583" s="37"/>
    </row>
    <row r="584" spans="1:19" x14ac:dyDescent="0.2">
      <c r="A584" s="36"/>
      <c r="B584" s="38" t="str">
        <f>IF(MasterFees[[#This Row],[RVG Code]]="","",_xlfn.XLOOKUP(MasterFees[[#This Row],[RVG Code]],RVGCodes[Code],RVGCodes[Base Units],"Code not found"))</f>
        <v/>
      </c>
      <c r="C584" s="37" t="s">
        <v>583</v>
      </c>
      <c r="D584" s="44" t="s">
        <v>1108</v>
      </c>
      <c r="E584" s="44"/>
      <c r="F584" s="44" t="s">
        <v>1109</v>
      </c>
      <c r="G584" s="39">
        <v>4</v>
      </c>
      <c r="H584" s="39">
        <v>20</v>
      </c>
      <c r="I584" s="39">
        <v>1</v>
      </c>
      <c r="J584" s="39">
        <v>25</v>
      </c>
      <c r="K584" s="40">
        <v>1375</v>
      </c>
      <c r="L584" s="45" t="s">
        <v>1015</v>
      </c>
      <c r="M584" s="41" t="str">
        <f>IF(MasterFees[[#This Row],[GST Basis]]="Excl",MasterFees[[#This Row],[Fee as Printed]],IF(MasterFees[[#This Row],[GST Basis]]="Incl",MasterFees[[#This Row],[Fee as Printed]]/(1+GST_Rate),""))</f>
        <v/>
      </c>
      <c r="N584" s="41" t="str">
        <f>IF(MasterFees[[#This Row],[GST Basis]]="Incl",MasterFees[[#This Row],[Fee as Printed]],IF(MasterFees[[#This Row],[GST Basis]]="Excl",MasterFees[[#This Row],[Fee as Printed]]*(1+GST_Rate),""))</f>
        <v/>
      </c>
      <c r="O584" s="42">
        <f>IF(N(MasterFees[[#This Row],[Total Units]])=0,"",MasterFees[[#This Row],[Fee as Printed]]/MasterFees[[#This Row],[Total Units]])</f>
        <v>55</v>
      </c>
      <c r="P584" s="43"/>
      <c r="Q584" s="46" t="s">
        <v>1013</v>
      </c>
      <c r="R584" s="46" t="s">
        <v>1692</v>
      </c>
      <c r="S584" s="37"/>
    </row>
    <row r="585" spans="1:19" x14ac:dyDescent="0.2">
      <c r="A585" s="36"/>
      <c r="B585" s="38" t="str">
        <f>IF(MasterFees[[#This Row],[RVG Code]]="","",_xlfn.XLOOKUP(MasterFees[[#This Row],[RVG Code]],RVGCodes[Code],RVGCodes[Base Units],"Code not found"))</f>
        <v/>
      </c>
      <c r="C585" s="37" t="s">
        <v>584</v>
      </c>
      <c r="D585" s="44" t="s">
        <v>1108</v>
      </c>
      <c r="E585" s="44"/>
      <c r="F585" s="44" t="s">
        <v>1109</v>
      </c>
      <c r="G585" s="39">
        <v>4</v>
      </c>
      <c r="H585" s="39">
        <v>5</v>
      </c>
      <c r="I585" s="39">
        <v>0</v>
      </c>
      <c r="J585" s="39">
        <v>9</v>
      </c>
      <c r="K585" s="40">
        <v>495</v>
      </c>
      <c r="L585" s="45" t="s">
        <v>1015</v>
      </c>
      <c r="M585" s="41" t="str">
        <f>IF(MasterFees[[#This Row],[GST Basis]]="Excl",MasterFees[[#This Row],[Fee as Printed]],IF(MasterFees[[#This Row],[GST Basis]]="Incl",MasterFees[[#This Row],[Fee as Printed]]/(1+GST_Rate),""))</f>
        <v/>
      </c>
      <c r="N585" s="41" t="str">
        <f>IF(MasterFees[[#This Row],[GST Basis]]="Incl",MasterFees[[#This Row],[Fee as Printed]],IF(MasterFees[[#This Row],[GST Basis]]="Excl",MasterFees[[#This Row],[Fee as Printed]]*(1+GST_Rate),""))</f>
        <v/>
      </c>
      <c r="O585" s="42">
        <f>IF(N(MasterFees[[#This Row],[Total Units]])=0,"",MasterFees[[#This Row],[Fee as Printed]]/MasterFees[[#This Row],[Total Units]])</f>
        <v>55</v>
      </c>
      <c r="P585" s="43"/>
      <c r="Q585" s="46" t="s">
        <v>1013</v>
      </c>
      <c r="R585" s="46" t="s">
        <v>1693</v>
      </c>
      <c r="S585" s="37"/>
    </row>
    <row r="586" spans="1:19" x14ac:dyDescent="0.2">
      <c r="A586" s="36"/>
      <c r="B586" s="38" t="str">
        <f>IF(MasterFees[[#This Row],[RVG Code]]="","",_xlfn.XLOOKUP(MasterFees[[#This Row],[RVG Code]],RVGCodes[Code],RVGCodes[Base Units],"Code not found"))</f>
        <v/>
      </c>
      <c r="C586" s="37" t="s">
        <v>585</v>
      </c>
      <c r="D586" s="44" t="s">
        <v>1108</v>
      </c>
      <c r="E586" s="44"/>
      <c r="F586" s="44" t="s">
        <v>1109</v>
      </c>
      <c r="G586" s="39">
        <v>1.9</v>
      </c>
      <c r="H586" s="39">
        <v>1</v>
      </c>
      <c r="I586" s="39">
        <v>0.1</v>
      </c>
      <c r="J586" s="39">
        <v>2.9</v>
      </c>
      <c r="K586" s="40">
        <v>161.69999999999999</v>
      </c>
      <c r="L586" s="45" t="s">
        <v>1015</v>
      </c>
      <c r="M586" s="41" t="str">
        <f>IF(MasterFees[[#This Row],[GST Basis]]="Excl",MasterFees[[#This Row],[Fee as Printed]],IF(MasterFees[[#This Row],[GST Basis]]="Incl",MasterFees[[#This Row],[Fee as Printed]]/(1+GST_Rate),""))</f>
        <v/>
      </c>
      <c r="N586" s="41" t="str">
        <f>IF(MasterFees[[#This Row],[GST Basis]]="Incl",MasterFees[[#This Row],[Fee as Printed]],IF(MasterFees[[#This Row],[GST Basis]]="Excl",MasterFees[[#This Row],[Fee as Printed]]*(1+GST_Rate),""))</f>
        <v/>
      </c>
      <c r="O586" s="42">
        <f>IF(N(MasterFees[[#This Row],[Total Units]])=0,"",MasterFees[[#This Row],[Fee as Printed]]/MasterFees[[#This Row],[Total Units]])</f>
        <v>55.758620689655167</v>
      </c>
      <c r="P586" s="43"/>
      <c r="Q586" s="46" t="s">
        <v>1013</v>
      </c>
      <c r="R586" s="46" t="s">
        <v>1694</v>
      </c>
      <c r="S586" s="37"/>
    </row>
    <row r="587" spans="1:19" x14ac:dyDescent="0.2">
      <c r="A587" s="36"/>
      <c r="B587" s="38" t="str">
        <f>IF(MasterFees[[#This Row],[RVG Code]]="","",_xlfn.XLOOKUP(MasterFees[[#This Row],[RVG Code]],RVGCodes[Code],RVGCodes[Base Units],"Code not found"))</f>
        <v/>
      </c>
      <c r="C587" s="37" t="s">
        <v>586</v>
      </c>
      <c r="D587" s="44" t="s">
        <v>1108</v>
      </c>
      <c r="E587" s="44"/>
      <c r="F587" s="44" t="s">
        <v>1109</v>
      </c>
      <c r="G587" s="39">
        <v>0</v>
      </c>
      <c r="H587" s="39">
        <v>0</v>
      </c>
      <c r="I587" s="39">
        <v>0</v>
      </c>
      <c r="J587" s="39">
        <v>0</v>
      </c>
      <c r="K587" s="40">
        <v>0</v>
      </c>
      <c r="L587" s="45" t="s">
        <v>1015</v>
      </c>
      <c r="M587" s="41" t="str">
        <f>IF(MasterFees[[#This Row],[GST Basis]]="Excl",MasterFees[[#This Row],[Fee as Printed]],IF(MasterFees[[#This Row],[GST Basis]]="Incl",MasterFees[[#This Row],[Fee as Printed]]/(1+GST_Rate),""))</f>
        <v/>
      </c>
      <c r="N587" s="41" t="str">
        <f>IF(MasterFees[[#This Row],[GST Basis]]="Incl",MasterFees[[#This Row],[Fee as Printed]],IF(MasterFees[[#This Row],[GST Basis]]="Excl",MasterFees[[#This Row],[Fee as Printed]]*(1+GST_Rate),""))</f>
        <v/>
      </c>
      <c r="O587" s="42" t="str">
        <f>IF(N(MasterFees[[#This Row],[Total Units]])=0,"",MasterFees[[#This Row],[Fee as Printed]]/MasterFees[[#This Row],[Total Units]])</f>
        <v/>
      </c>
      <c r="P587" s="43"/>
      <c r="Q587" s="46" t="s">
        <v>1013</v>
      </c>
      <c r="R587" s="46" t="s">
        <v>1695</v>
      </c>
      <c r="S587" s="37"/>
    </row>
    <row r="588" spans="1:19" x14ac:dyDescent="0.2">
      <c r="A588" s="36"/>
      <c r="B588" s="38" t="str">
        <f>IF(MasterFees[[#This Row],[RVG Code]]="","",_xlfn.XLOOKUP(MasterFees[[#This Row],[RVG Code]],RVGCodes[Code],RVGCodes[Base Units],"Code not found"))</f>
        <v/>
      </c>
      <c r="C588" s="37" t="s">
        <v>587</v>
      </c>
      <c r="D588" s="44" t="s">
        <v>1108</v>
      </c>
      <c r="E588" s="44"/>
      <c r="F588" s="44" t="s">
        <v>1109</v>
      </c>
      <c r="G588" s="39">
        <v>4.8</v>
      </c>
      <c r="H588" s="39">
        <v>4.8</v>
      </c>
      <c r="I588" s="39">
        <v>0.7</v>
      </c>
      <c r="J588" s="39">
        <v>10.4</v>
      </c>
      <c r="K588" s="40">
        <v>570.35</v>
      </c>
      <c r="L588" s="45" t="s">
        <v>1015</v>
      </c>
      <c r="M588" s="41" t="str">
        <f>IF(MasterFees[[#This Row],[GST Basis]]="Excl",MasterFees[[#This Row],[Fee as Printed]],IF(MasterFees[[#This Row],[GST Basis]]="Incl",MasterFees[[#This Row],[Fee as Printed]]/(1+GST_Rate),""))</f>
        <v/>
      </c>
      <c r="N588" s="41" t="str">
        <f>IF(MasterFees[[#This Row],[GST Basis]]="Incl",MasterFees[[#This Row],[Fee as Printed]],IF(MasterFees[[#This Row],[GST Basis]]="Excl",MasterFees[[#This Row],[Fee as Printed]]*(1+GST_Rate),""))</f>
        <v/>
      </c>
      <c r="O588" s="42">
        <f>IF(N(MasterFees[[#This Row],[Total Units]])=0,"",MasterFees[[#This Row],[Fee as Printed]]/MasterFees[[#This Row],[Total Units]])</f>
        <v>54.841346153846153</v>
      </c>
      <c r="P588" s="43"/>
      <c r="Q588" s="46" t="s">
        <v>1013</v>
      </c>
      <c r="R588" s="46" t="s">
        <v>1696</v>
      </c>
      <c r="S588" s="37"/>
    </row>
    <row r="589" spans="1:19" x14ac:dyDescent="0.2">
      <c r="A589" s="36"/>
      <c r="B589" s="38" t="str">
        <f>IF(MasterFees[[#This Row],[RVG Code]]="","",_xlfn.XLOOKUP(MasterFees[[#This Row],[RVG Code]],RVGCodes[Code],RVGCodes[Base Units],"Code not found"))</f>
        <v/>
      </c>
      <c r="C589" s="37" t="s">
        <v>588</v>
      </c>
      <c r="D589" s="44" t="s">
        <v>1108</v>
      </c>
      <c r="E589" s="44"/>
      <c r="F589" s="44" t="s">
        <v>1109</v>
      </c>
      <c r="G589" s="39">
        <v>4.4000000000000004</v>
      </c>
      <c r="H589" s="39">
        <v>3.4</v>
      </c>
      <c r="I589" s="39">
        <v>0.1</v>
      </c>
      <c r="J589" s="39">
        <v>8</v>
      </c>
      <c r="K589" s="40">
        <v>439.45</v>
      </c>
      <c r="L589" s="45" t="s">
        <v>1015</v>
      </c>
      <c r="M589" s="41" t="str">
        <f>IF(MasterFees[[#This Row],[GST Basis]]="Excl",MasterFees[[#This Row],[Fee as Printed]],IF(MasterFees[[#This Row],[GST Basis]]="Incl",MasterFees[[#This Row],[Fee as Printed]]/(1+GST_Rate),""))</f>
        <v/>
      </c>
      <c r="N589" s="41" t="str">
        <f>IF(MasterFees[[#This Row],[GST Basis]]="Incl",MasterFees[[#This Row],[Fee as Printed]],IF(MasterFees[[#This Row],[GST Basis]]="Excl",MasterFees[[#This Row],[Fee as Printed]]*(1+GST_Rate),""))</f>
        <v/>
      </c>
      <c r="O589" s="42">
        <f>IF(N(MasterFees[[#This Row],[Total Units]])=0,"",MasterFees[[#This Row],[Fee as Printed]]/MasterFees[[#This Row],[Total Units]])</f>
        <v>54.931249999999999</v>
      </c>
      <c r="P589" s="43"/>
      <c r="Q589" s="46" t="s">
        <v>1013</v>
      </c>
      <c r="R589" s="46" t="s">
        <v>1697</v>
      </c>
      <c r="S589" s="37"/>
    </row>
    <row r="590" spans="1:19" x14ac:dyDescent="0.2">
      <c r="A590" s="36"/>
      <c r="B590" s="38" t="str">
        <f>IF(MasterFees[[#This Row],[RVG Code]]="","",_xlfn.XLOOKUP(MasterFees[[#This Row],[RVG Code]],RVGCodes[Code],RVGCodes[Base Units],"Code not found"))</f>
        <v/>
      </c>
      <c r="C590" s="37" t="s">
        <v>589</v>
      </c>
      <c r="D590" s="44" t="s">
        <v>1108</v>
      </c>
      <c r="E590" s="44"/>
      <c r="F590" s="44" t="s">
        <v>1109</v>
      </c>
      <c r="G590" s="39">
        <v>6</v>
      </c>
      <c r="H590" s="39">
        <v>5.3</v>
      </c>
      <c r="I590" s="39">
        <v>2</v>
      </c>
      <c r="J590" s="39">
        <v>13.3</v>
      </c>
      <c r="K590" s="40">
        <v>729.85</v>
      </c>
      <c r="L590" s="45" t="s">
        <v>1015</v>
      </c>
      <c r="M590" s="41" t="str">
        <f>IF(MasterFees[[#This Row],[GST Basis]]="Excl",MasterFees[[#This Row],[Fee as Printed]],IF(MasterFees[[#This Row],[GST Basis]]="Incl",MasterFees[[#This Row],[Fee as Printed]]/(1+GST_Rate),""))</f>
        <v/>
      </c>
      <c r="N590" s="41" t="str">
        <f>IF(MasterFees[[#This Row],[GST Basis]]="Incl",MasterFees[[#This Row],[Fee as Printed]],IF(MasterFees[[#This Row],[GST Basis]]="Excl",MasterFees[[#This Row],[Fee as Printed]]*(1+GST_Rate),""))</f>
        <v/>
      </c>
      <c r="O590" s="42">
        <f>IF(N(MasterFees[[#This Row],[Total Units]])=0,"",MasterFees[[#This Row],[Fee as Printed]]/MasterFees[[#This Row],[Total Units]])</f>
        <v>54.875939849624061</v>
      </c>
      <c r="P590" s="43"/>
      <c r="Q590" s="46" t="s">
        <v>1013</v>
      </c>
      <c r="R590" s="46" t="s">
        <v>1698</v>
      </c>
      <c r="S590" s="37"/>
    </row>
    <row r="591" spans="1:19" x14ac:dyDescent="0.2">
      <c r="A591" s="36"/>
      <c r="B591" s="38" t="str">
        <f>IF(MasterFees[[#This Row],[RVG Code]]="","",_xlfn.XLOOKUP(MasterFees[[#This Row],[RVG Code]],RVGCodes[Code],RVGCodes[Base Units],"Code not found"))</f>
        <v/>
      </c>
      <c r="C591" s="37" t="s">
        <v>590</v>
      </c>
      <c r="D591" s="44" t="s">
        <v>1108</v>
      </c>
      <c r="E591" s="44"/>
      <c r="F591" s="44" t="s">
        <v>1109</v>
      </c>
      <c r="G591" s="39">
        <v>8</v>
      </c>
      <c r="H591" s="39">
        <v>16</v>
      </c>
      <c r="I591" s="39">
        <v>2</v>
      </c>
      <c r="J591" s="39">
        <v>26</v>
      </c>
      <c r="K591" s="40">
        <v>1430</v>
      </c>
      <c r="L591" s="45" t="s">
        <v>1015</v>
      </c>
      <c r="M591" s="41" t="str">
        <f>IF(MasterFees[[#This Row],[GST Basis]]="Excl",MasterFees[[#This Row],[Fee as Printed]],IF(MasterFees[[#This Row],[GST Basis]]="Incl",MasterFees[[#This Row],[Fee as Printed]]/(1+GST_Rate),""))</f>
        <v/>
      </c>
      <c r="N591" s="41" t="str">
        <f>IF(MasterFees[[#This Row],[GST Basis]]="Incl",MasterFees[[#This Row],[Fee as Printed]],IF(MasterFees[[#This Row],[GST Basis]]="Excl",MasterFees[[#This Row],[Fee as Printed]]*(1+GST_Rate),""))</f>
        <v/>
      </c>
      <c r="O591" s="42">
        <f>IF(N(MasterFees[[#This Row],[Total Units]])=0,"",MasterFees[[#This Row],[Fee as Printed]]/MasterFees[[#This Row],[Total Units]])</f>
        <v>55</v>
      </c>
      <c r="P591" s="43"/>
      <c r="Q591" s="46" t="s">
        <v>1013</v>
      </c>
      <c r="R591" s="46" t="s">
        <v>1699</v>
      </c>
      <c r="S591" s="37"/>
    </row>
    <row r="592" spans="1:19" x14ac:dyDescent="0.2">
      <c r="A592" s="36"/>
      <c r="B592" s="38" t="str">
        <f>IF(MasterFees[[#This Row],[RVG Code]]="","",_xlfn.XLOOKUP(MasterFees[[#This Row],[RVG Code]],RVGCodes[Code],RVGCodes[Base Units],"Code not found"))</f>
        <v/>
      </c>
      <c r="C592" s="37" t="s">
        <v>591</v>
      </c>
      <c r="D592" s="44" t="s">
        <v>1108</v>
      </c>
      <c r="E592" s="44"/>
      <c r="F592" s="44" t="s">
        <v>1109</v>
      </c>
      <c r="G592" s="39">
        <v>6</v>
      </c>
      <c r="H592" s="39">
        <v>12</v>
      </c>
      <c r="I592" s="39">
        <v>0</v>
      </c>
      <c r="J592" s="39">
        <v>18</v>
      </c>
      <c r="K592" s="40">
        <v>990</v>
      </c>
      <c r="L592" s="45" t="s">
        <v>1015</v>
      </c>
      <c r="M592" s="41" t="str">
        <f>IF(MasterFees[[#This Row],[GST Basis]]="Excl",MasterFees[[#This Row],[Fee as Printed]],IF(MasterFees[[#This Row],[GST Basis]]="Incl",MasterFees[[#This Row],[Fee as Printed]]/(1+GST_Rate),""))</f>
        <v/>
      </c>
      <c r="N592" s="41" t="str">
        <f>IF(MasterFees[[#This Row],[GST Basis]]="Incl",MasterFees[[#This Row],[Fee as Printed]],IF(MasterFees[[#This Row],[GST Basis]]="Excl",MasterFees[[#This Row],[Fee as Printed]]*(1+GST_Rate),""))</f>
        <v/>
      </c>
      <c r="O592" s="42">
        <f>IF(N(MasterFees[[#This Row],[Total Units]])=0,"",MasterFees[[#This Row],[Fee as Printed]]/MasterFees[[#This Row],[Total Units]])</f>
        <v>55</v>
      </c>
      <c r="P592" s="43"/>
      <c r="Q592" s="46" t="s">
        <v>1013</v>
      </c>
      <c r="R592" s="46" t="s">
        <v>1700</v>
      </c>
      <c r="S592" s="37"/>
    </row>
    <row r="593" spans="1:19" x14ac:dyDescent="0.2">
      <c r="A593" s="36"/>
      <c r="B593" s="38" t="str">
        <f>IF(MasterFees[[#This Row],[RVG Code]]="","",_xlfn.XLOOKUP(MasterFees[[#This Row],[RVG Code]],RVGCodes[Code],RVGCodes[Base Units],"Code not found"))</f>
        <v/>
      </c>
      <c r="C593" s="37" t="s">
        <v>592</v>
      </c>
      <c r="D593" s="44" t="s">
        <v>1108</v>
      </c>
      <c r="E593" s="44"/>
      <c r="F593" s="44" t="s">
        <v>1109</v>
      </c>
      <c r="G593" s="39">
        <v>6</v>
      </c>
      <c r="H593" s="39">
        <v>11</v>
      </c>
      <c r="I593" s="39">
        <v>0</v>
      </c>
      <c r="J593" s="39">
        <v>17</v>
      </c>
      <c r="K593" s="40">
        <v>935</v>
      </c>
      <c r="L593" s="45" t="s">
        <v>1015</v>
      </c>
      <c r="M593" s="41" t="str">
        <f>IF(MasterFees[[#This Row],[GST Basis]]="Excl",MasterFees[[#This Row],[Fee as Printed]],IF(MasterFees[[#This Row],[GST Basis]]="Incl",MasterFees[[#This Row],[Fee as Printed]]/(1+GST_Rate),""))</f>
        <v/>
      </c>
      <c r="N593" s="41" t="str">
        <f>IF(MasterFees[[#This Row],[GST Basis]]="Incl",MasterFees[[#This Row],[Fee as Printed]],IF(MasterFees[[#This Row],[GST Basis]]="Excl",MasterFees[[#This Row],[Fee as Printed]]*(1+GST_Rate),""))</f>
        <v/>
      </c>
      <c r="O593" s="42">
        <f>IF(N(MasterFees[[#This Row],[Total Units]])=0,"",MasterFees[[#This Row],[Fee as Printed]]/MasterFees[[#This Row],[Total Units]])</f>
        <v>55</v>
      </c>
      <c r="P593" s="43"/>
      <c r="Q593" s="46" t="s">
        <v>1013</v>
      </c>
      <c r="R593" s="46" t="s">
        <v>1701</v>
      </c>
      <c r="S593" s="37"/>
    </row>
    <row r="594" spans="1:19" x14ac:dyDescent="0.2">
      <c r="A594" s="36"/>
      <c r="B594" s="38" t="str">
        <f>IF(MasterFees[[#This Row],[RVG Code]]="","",_xlfn.XLOOKUP(MasterFees[[#This Row],[RVG Code]],RVGCodes[Code],RVGCodes[Base Units],"Code not found"))</f>
        <v/>
      </c>
      <c r="C594" s="37" t="s">
        <v>593</v>
      </c>
      <c r="D594" s="44" t="s">
        <v>1108</v>
      </c>
      <c r="E594" s="44"/>
      <c r="F594" s="44" t="s">
        <v>1109</v>
      </c>
      <c r="G594" s="39">
        <v>3</v>
      </c>
      <c r="H594" s="39">
        <v>3</v>
      </c>
      <c r="I594" s="39">
        <v>1</v>
      </c>
      <c r="J594" s="39">
        <v>7</v>
      </c>
      <c r="K594" s="40">
        <v>385</v>
      </c>
      <c r="L594" s="45" t="s">
        <v>1015</v>
      </c>
      <c r="M594" s="41" t="str">
        <f>IF(MasterFees[[#This Row],[GST Basis]]="Excl",MasterFees[[#This Row],[Fee as Printed]],IF(MasterFees[[#This Row],[GST Basis]]="Incl",MasterFees[[#This Row],[Fee as Printed]]/(1+GST_Rate),""))</f>
        <v/>
      </c>
      <c r="N594" s="41" t="str">
        <f>IF(MasterFees[[#This Row],[GST Basis]]="Incl",MasterFees[[#This Row],[Fee as Printed]],IF(MasterFees[[#This Row],[GST Basis]]="Excl",MasterFees[[#This Row],[Fee as Printed]]*(1+GST_Rate),""))</f>
        <v/>
      </c>
      <c r="O594" s="42">
        <f>IF(N(MasterFees[[#This Row],[Total Units]])=0,"",MasterFees[[#This Row],[Fee as Printed]]/MasterFees[[#This Row],[Total Units]])</f>
        <v>55</v>
      </c>
      <c r="P594" s="43"/>
      <c r="Q594" s="46" t="s">
        <v>1013</v>
      </c>
      <c r="R594" s="46" t="s">
        <v>1702</v>
      </c>
      <c r="S594" s="37"/>
    </row>
    <row r="595" spans="1:19" x14ac:dyDescent="0.2">
      <c r="A595" s="36"/>
      <c r="B595" s="38" t="str">
        <f>IF(MasterFees[[#This Row],[RVG Code]]="","",_xlfn.XLOOKUP(MasterFees[[#This Row],[RVG Code]],RVGCodes[Code],RVGCodes[Base Units],"Code not found"))</f>
        <v/>
      </c>
      <c r="C595" s="37" t="s">
        <v>594</v>
      </c>
      <c r="D595" s="44" t="s">
        <v>1108</v>
      </c>
      <c r="E595" s="44"/>
      <c r="F595" s="44" t="s">
        <v>1109</v>
      </c>
      <c r="G595" s="39">
        <v>7.6</v>
      </c>
      <c r="H595" s="39">
        <v>12.5</v>
      </c>
      <c r="I595" s="39">
        <v>1.3</v>
      </c>
      <c r="J595" s="39">
        <v>21.5</v>
      </c>
      <c r="K595" s="40">
        <v>1181.95</v>
      </c>
      <c r="L595" s="45" t="s">
        <v>1015</v>
      </c>
      <c r="M595" s="41" t="str">
        <f>IF(MasterFees[[#This Row],[GST Basis]]="Excl",MasterFees[[#This Row],[Fee as Printed]],IF(MasterFees[[#This Row],[GST Basis]]="Incl",MasterFees[[#This Row],[Fee as Printed]]/(1+GST_Rate),""))</f>
        <v/>
      </c>
      <c r="N595" s="41" t="str">
        <f>IF(MasterFees[[#This Row],[GST Basis]]="Incl",MasterFees[[#This Row],[Fee as Printed]],IF(MasterFees[[#This Row],[GST Basis]]="Excl",MasterFees[[#This Row],[Fee as Printed]]*(1+GST_Rate),""))</f>
        <v/>
      </c>
      <c r="O595" s="42">
        <f>IF(N(MasterFees[[#This Row],[Total Units]])=0,"",MasterFees[[#This Row],[Fee as Printed]]/MasterFees[[#This Row],[Total Units]])</f>
        <v>54.974418604651163</v>
      </c>
      <c r="P595" s="43"/>
      <c r="Q595" s="46" t="s">
        <v>1013</v>
      </c>
      <c r="R595" s="46" t="s">
        <v>1703</v>
      </c>
      <c r="S595" s="37"/>
    </row>
    <row r="596" spans="1:19" x14ac:dyDescent="0.2">
      <c r="A596" s="36"/>
      <c r="B596" s="38" t="str">
        <f>IF(MasterFees[[#This Row],[RVG Code]]="","",_xlfn.XLOOKUP(MasterFees[[#This Row],[RVG Code]],RVGCodes[Code],RVGCodes[Base Units],"Code not found"))</f>
        <v/>
      </c>
      <c r="C596" s="37" t="s">
        <v>595</v>
      </c>
      <c r="D596" s="44" t="s">
        <v>1108</v>
      </c>
      <c r="E596" s="44"/>
      <c r="F596" s="44" t="s">
        <v>1109</v>
      </c>
      <c r="G596" s="39">
        <v>8</v>
      </c>
      <c r="H596" s="39">
        <v>8</v>
      </c>
      <c r="I596" s="39">
        <v>1.6</v>
      </c>
      <c r="J596" s="39">
        <v>17.600000000000001</v>
      </c>
      <c r="K596" s="40">
        <v>966.9</v>
      </c>
      <c r="L596" s="45" t="s">
        <v>1015</v>
      </c>
      <c r="M596" s="41" t="str">
        <f>IF(MasterFees[[#This Row],[GST Basis]]="Excl",MasterFees[[#This Row],[Fee as Printed]],IF(MasterFees[[#This Row],[GST Basis]]="Incl",MasterFees[[#This Row],[Fee as Printed]]/(1+GST_Rate),""))</f>
        <v/>
      </c>
      <c r="N596" s="41" t="str">
        <f>IF(MasterFees[[#This Row],[GST Basis]]="Incl",MasterFees[[#This Row],[Fee as Printed]],IF(MasterFees[[#This Row],[GST Basis]]="Excl",MasterFees[[#This Row],[Fee as Printed]]*(1+GST_Rate),""))</f>
        <v/>
      </c>
      <c r="O596" s="42">
        <f>IF(N(MasterFees[[#This Row],[Total Units]])=0,"",MasterFees[[#This Row],[Fee as Printed]]/MasterFees[[#This Row],[Total Units]])</f>
        <v>54.937499999999993</v>
      </c>
      <c r="P596" s="43"/>
      <c r="Q596" s="46" t="s">
        <v>1013</v>
      </c>
      <c r="R596" s="46" t="s">
        <v>1704</v>
      </c>
      <c r="S596" s="37"/>
    </row>
    <row r="597" spans="1:19" x14ac:dyDescent="0.2">
      <c r="A597" s="36"/>
      <c r="B597" s="38" t="str">
        <f>IF(MasterFees[[#This Row],[RVG Code]]="","",_xlfn.XLOOKUP(MasterFees[[#This Row],[RVG Code]],RVGCodes[Code],RVGCodes[Base Units],"Code not found"))</f>
        <v/>
      </c>
      <c r="C597" s="37" t="s">
        <v>596</v>
      </c>
      <c r="D597" s="44" t="s">
        <v>1108</v>
      </c>
      <c r="E597" s="44"/>
      <c r="F597" s="44" t="s">
        <v>1109</v>
      </c>
      <c r="G597" s="39">
        <v>7.9</v>
      </c>
      <c r="H597" s="39">
        <v>7.9</v>
      </c>
      <c r="I597" s="39">
        <v>1.4</v>
      </c>
      <c r="J597" s="39">
        <v>17.2</v>
      </c>
      <c r="K597" s="40">
        <v>947.1</v>
      </c>
      <c r="L597" s="45" t="s">
        <v>1015</v>
      </c>
      <c r="M597" s="41" t="str">
        <f>IF(MasterFees[[#This Row],[GST Basis]]="Excl",MasterFees[[#This Row],[Fee as Printed]],IF(MasterFees[[#This Row],[GST Basis]]="Incl",MasterFees[[#This Row],[Fee as Printed]]/(1+GST_Rate),""))</f>
        <v/>
      </c>
      <c r="N597" s="41" t="str">
        <f>IF(MasterFees[[#This Row],[GST Basis]]="Incl",MasterFees[[#This Row],[Fee as Printed]],IF(MasterFees[[#This Row],[GST Basis]]="Excl",MasterFees[[#This Row],[Fee as Printed]]*(1+GST_Rate),""))</f>
        <v/>
      </c>
      <c r="O597" s="42">
        <f>IF(N(MasterFees[[#This Row],[Total Units]])=0,"",MasterFees[[#This Row],[Fee as Printed]]/MasterFees[[#This Row],[Total Units]])</f>
        <v>55.0639534883721</v>
      </c>
      <c r="P597" s="43"/>
      <c r="Q597" s="46" t="s">
        <v>1013</v>
      </c>
      <c r="R597" s="46" t="s">
        <v>1705</v>
      </c>
      <c r="S597" s="37"/>
    </row>
    <row r="598" spans="1:19" x14ac:dyDescent="0.2">
      <c r="A598" s="36"/>
      <c r="B598" s="38" t="str">
        <f>IF(MasterFees[[#This Row],[RVG Code]]="","",_xlfn.XLOOKUP(MasterFees[[#This Row],[RVG Code]],RVGCodes[Code],RVGCodes[Base Units],"Code not found"))</f>
        <v/>
      </c>
      <c r="C598" s="37" t="s">
        <v>597</v>
      </c>
      <c r="D598" s="44" t="s">
        <v>1108</v>
      </c>
      <c r="E598" s="44"/>
      <c r="F598" s="44" t="s">
        <v>1109</v>
      </c>
      <c r="G598" s="39">
        <v>8.1</v>
      </c>
      <c r="H598" s="39">
        <v>8.8000000000000007</v>
      </c>
      <c r="I598" s="39">
        <v>1.8</v>
      </c>
      <c r="J598" s="39">
        <v>18.600000000000001</v>
      </c>
      <c r="K598" s="40">
        <v>1024.0999999999999</v>
      </c>
      <c r="L598" s="45" t="s">
        <v>1015</v>
      </c>
      <c r="M598" s="41" t="str">
        <f>IF(MasterFees[[#This Row],[GST Basis]]="Excl",MasterFees[[#This Row],[Fee as Printed]],IF(MasterFees[[#This Row],[GST Basis]]="Incl",MasterFees[[#This Row],[Fee as Printed]]/(1+GST_Rate),""))</f>
        <v/>
      </c>
      <c r="N598" s="41" t="str">
        <f>IF(MasterFees[[#This Row],[GST Basis]]="Incl",MasterFees[[#This Row],[Fee as Printed]],IF(MasterFees[[#This Row],[GST Basis]]="Excl",MasterFees[[#This Row],[Fee as Printed]]*(1+GST_Rate),""))</f>
        <v/>
      </c>
      <c r="O598" s="42">
        <f>IF(N(MasterFees[[#This Row],[Total Units]])=0,"",MasterFees[[#This Row],[Fee as Printed]]/MasterFees[[#This Row],[Total Units]])</f>
        <v>55.059139784946225</v>
      </c>
      <c r="P598" s="43"/>
      <c r="Q598" s="46" t="s">
        <v>1013</v>
      </c>
      <c r="R598" s="46" t="s">
        <v>1706</v>
      </c>
      <c r="S598" s="37"/>
    </row>
    <row r="599" spans="1:19" x14ac:dyDescent="0.2">
      <c r="A599" s="36"/>
      <c r="B599" s="38" t="str">
        <f>IF(MasterFees[[#This Row],[RVG Code]]="","",_xlfn.XLOOKUP(MasterFees[[#This Row],[RVG Code]],RVGCodes[Code],RVGCodes[Base Units],"Code not found"))</f>
        <v/>
      </c>
      <c r="C599" s="37" t="s">
        <v>598</v>
      </c>
      <c r="D599" s="44" t="s">
        <v>1108</v>
      </c>
      <c r="E599" s="44"/>
      <c r="F599" s="44" t="s">
        <v>1109</v>
      </c>
      <c r="G599" s="39">
        <v>8</v>
      </c>
      <c r="H599" s="39">
        <v>7</v>
      </c>
      <c r="I599" s="39">
        <v>1</v>
      </c>
      <c r="J599" s="39">
        <v>16</v>
      </c>
      <c r="K599" s="40">
        <v>880</v>
      </c>
      <c r="L599" s="45" t="s">
        <v>1015</v>
      </c>
      <c r="M599" s="41" t="str">
        <f>IF(MasterFees[[#This Row],[GST Basis]]="Excl",MasterFees[[#This Row],[Fee as Printed]],IF(MasterFees[[#This Row],[GST Basis]]="Incl",MasterFees[[#This Row],[Fee as Printed]]/(1+GST_Rate),""))</f>
        <v/>
      </c>
      <c r="N599" s="41" t="str">
        <f>IF(MasterFees[[#This Row],[GST Basis]]="Incl",MasterFees[[#This Row],[Fee as Printed]],IF(MasterFees[[#This Row],[GST Basis]]="Excl",MasterFees[[#This Row],[Fee as Printed]]*(1+GST_Rate),""))</f>
        <v/>
      </c>
      <c r="O599" s="42">
        <f>IF(N(MasterFees[[#This Row],[Total Units]])=0,"",MasterFees[[#This Row],[Fee as Printed]]/MasterFees[[#This Row],[Total Units]])</f>
        <v>55</v>
      </c>
      <c r="P599" s="43"/>
      <c r="Q599" s="46" t="s">
        <v>1013</v>
      </c>
      <c r="R599" s="46" t="s">
        <v>1707</v>
      </c>
      <c r="S599" s="37"/>
    </row>
    <row r="600" spans="1:19" x14ac:dyDescent="0.2">
      <c r="A600" s="36"/>
      <c r="B600" s="38" t="str">
        <f>IF(MasterFees[[#This Row],[RVG Code]]="","",_xlfn.XLOOKUP(MasterFees[[#This Row],[RVG Code]],RVGCodes[Code],RVGCodes[Base Units],"Code not found"))</f>
        <v/>
      </c>
      <c r="C600" s="37" t="s">
        <v>599</v>
      </c>
      <c r="D600" s="44" t="s">
        <v>1108</v>
      </c>
      <c r="E600" s="44"/>
      <c r="F600" s="44" t="s">
        <v>1109</v>
      </c>
      <c r="G600" s="39">
        <v>8</v>
      </c>
      <c r="H600" s="39">
        <v>10.199999999999999</v>
      </c>
      <c r="I600" s="39">
        <v>2.1</v>
      </c>
      <c r="J600" s="39">
        <v>20.3</v>
      </c>
      <c r="K600" s="40">
        <v>1116.5</v>
      </c>
      <c r="L600" s="45" t="s">
        <v>1015</v>
      </c>
      <c r="M600" s="41" t="str">
        <f>IF(MasterFees[[#This Row],[GST Basis]]="Excl",MasterFees[[#This Row],[Fee as Printed]],IF(MasterFees[[#This Row],[GST Basis]]="Incl",MasterFees[[#This Row],[Fee as Printed]]/(1+GST_Rate),""))</f>
        <v/>
      </c>
      <c r="N600" s="41" t="str">
        <f>IF(MasterFees[[#This Row],[GST Basis]]="Incl",MasterFees[[#This Row],[Fee as Printed]],IF(MasterFees[[#This Row],[GST Basis]]="Excl",MasterFees[[#This Row],[Fee as Printed]]*(1+GST_Rate),""))</f>
        <v/>
      </c>
      <c r="O600" s="42">
        <f>IF(N(MasterFees[[#This Row],[Total Units]])=0,"",MasterFees[[#This Row],[Fee as Printed]]/MasterFees[[#This Row],[Total Units]])</f>
        <v>55</v>
      </c>
      <c r="P600" s="43"/>
      <c r="Q600" s="46" t="s">
        <v>1013</v>
      </c>
      <c r="R600" s="46" t="s">
        <v>1708</v>
      </c>
      <c r="S600" s="37"/>
    </row>
    <row r="601" spans="1:19" x14ac:dyDescent="0.2">
      <c r="A601" s="36"/>
      <c r="B601" s="38" t="str">
        <f>IF(MasterFees[[#This Row],[RVG Code]]="","",_xlfn.XLOOKUP(MasterFees[[#This Row],[RVG Code]],RVGCodes[Code],RVGCodes[Base Units],"Code not found"))</f>
        <v/>
      </c>
      <c r="C601" s="37" t="s">
        <v>600</v>
      </c>
      <c r="D601" s="44" t="s">
        <v>1108</v>
      </c>
      <c r="E601" s="44"/>
      <c r="F601" s="44" t="s">
        <v>1109</v>
      </c>
      <c r="G601" s="39">
        <v>8</v>
      </c>
      <c r="H601" s="39">
        <v>13.8</v>
      </c>
      <c r="I601" s="39">
        <v>2.8</v>
      </c>
      <c r="J601" s="39">
        <v>24.5</v>
      </c>
      <c r="K601" s="40">
        <v>1347.5</v>
      </c>
      <c r="L601" s="45" t="s">
        <v>1015</v>
      </c>
      <c r="M601" s="41" t="str">
        <f>IF(MasterFees[[#This Row],[GST Basis]]="Excl",MasterFees[[#This Row],[Fee as Printed]],IF(MasterFees[[#This Row],[GST Basis]]="Incl",MasterFees[[#This Row],[Fee as Printed]]/(1+GST_Rate),""))</f>
        <v/>
      </c>
      <c r="N601" s="41" t="str">
        <f>IF(MasterFees[[#This Row],[GST Basis]]="Incl",MasterFees[[#This Row],[Fee as Printed]],IF(MasterFees[[#This Row],[GST Basis]]="Excl",MasterFees[[#This Row],[Fee as Printed]]*(1+GST_Rate),""))</f>
        <v/>
      </c>
      <c r="O601" s="42">
        <f>IF(N(MasterFees[[#This Row],[Total Units]])=0,"",MasterFees[[#This Row],[Fee as Printed]]/MasterFees[[#This Row],[Total Units]])</f>
        <v>55</v>
      </c>
      <c r="P601" s="43"/>
      <c r="Q601" s="46" t="s">
        <v>1013</v>
      </c>
      <c r="R601" s="46" t="s">
        <v>1709</v>
      </c>
      <c r="S601" s="37"/>
    </row>
    <row r="602" spans="1:19" x14ac:dyDescent="0.2">
      <c r="A602" s="36"/>
      <c r="B602" s="38" t="str">
        <f>IF(MasterFees[[#This Row],[RVG Code]]="","",_xlfn.XLOOKUP(MasterFees[[#This Row],[RVG Code]],RVGCodes[Code],RVGCodes[Base Units],"Code not found"))</f>
        <v/>
      </c>
      <c r="C602" s="37" t="s">
        <v>601</v>
      </c>
      <c r="D602" s="44" t="s">
        <v>1108</v>
      </c>
      <c r="E602" s="44"/>
      <c r="F602" s="44" t="s">
        <v>1109</v>
      </c>
      <c r="G602" s="39">
        <v>8</v>
      </c>
      <c r="H602" s="39">
        <v>8.6</v>
      </c>
      <c r="I602" s="39">
        <v>1.7</v>
      </c>
      <c r="J602" s="39">
        <v>18.2</v>
      </c>
      <c r="K602" s="40">
        <v>1001</v>
      </c>
      <c r="L602" s="45" t="s">
        <v>1015</v>
      </c>
      <c r="M602" s="41" t="str">
        <f>IF(MasterFees[[#This Row],[GST Basis]]="Excl",MasterFees[[#This Row],[Fee as Printed]],IF(MasterFees[[#This Row],[GST Basis]]="Incl",MasterFees[[#This Row],[Fee as Printed]]/(1+GST_Rate),""))</f>
        <v/>
      </c>
      <c r="N602" s="41" t="str">
        <f>IF(MasterFees[[#This Row],[GST Basis]]="Incl",MasterFees[[#This Row],[Fee as Printed]],IF(MasterFees[[#This Row],[GST Basis]]="Excl",MasterFees[[#This Row],[Fee as Printed]]*(1+GST_Rate),""))</f>
        <v/>
      </c>
      <c r="O602" s="42">
        <f>IF(N(MasterFees[[#This Row],[Total Units]])=0,"",MasterFees[[#This Row],[Fee as Printed]]/MasterFees[[#This Row],[Total Units]])</f>
        <v>55</v>
      </c>
      <c r="P602" s="43"/>
      <c r="Q602" s="46" t="s">
        <v>1013</v>
      </c>
      <c r="R602" s="46" t="s">
        <v>1710</v>
      </c>
      <c r="S602" s="37"/>
    </row>
    <row r="603" spans="1:19" x14ac:dyDescent="0.2">
      <c r="A603" s="36"/>
      <c r="B603" s="38" t="str">
        <f>IF(MasterFees[[#This Row],[RVG Code]]="","",_xlfn.XLOOKUP(MasterFees[[#This Row],[RVG Code]],RVGCodes[Code],RVGCodes[Base Units],"Code not found"))</f>
        <v/>
      </c>
      <c r="C603" s="37" t="s">
        <v>602</v>
      </c>
      <c r="D603" s="44" t="s">
        <v>1108</v>
      </c>
      <c r="E603" s="44"/>
      <c r="F603" s="44" t="s">
        <v>1109</v>
      </c>
      <c r="G603" s="39">
        <v>8</v>
      </c>
      <c r="H603" s="39">
        <v>8.1</v>
      </c>
      <c r="I603" s="39">
        <v>1.5</v>
      </c>
      <c r="J603" s="39">
        <v>17.600000000000001</v>
      </c>
      <c r="K603" s="40">
        <v>965.8</v>
      </c>
      <c r="L603" s="45" t="s">
        <v>1015</v>
      </c>
      <c r="M603" s="41" t="str">
        <f>IF(MasterFees[[#This Row],[GST Basis]]="Excl",MasterFees[[#This Row],[Fee as Printed]],IF(MasterFees[[#This Row],[GST Basis]]="Incl",MasterFees[[#This Row],[Fee as Printed]]/(1+GST_Rate),""))</f>
        <v/>
      </c>
      <c r="N603" s="41" t="str">
        <f>IF(MasterFees[[#This Row],[GST Basis]]="Incl",MasterFees[[#This Row],[Fee as Printed]],IF(MasterFees[[#This Row],[GST Basis]]="Excl",MasterFees[[#This Row],[Fee as Printed]]*(1+GST_Rate),""))</f>
        <v/>
      </c>
      <c r="O603" s="42">
        <f>IF(N(MasterFees[[#This Row],[Total Units]])=0,"",MasterFees[[#This Row],[Fee as Printed]]/MasterFees[[#This Row],[Total Units]])</f>
        <v>54.874999999999993</v>
      </c>
      <c r="P603" s="43"/>
      <c r="Q603" s="46" t="s">
        <v>1013</v>
      </c>
      <c r="R603" s="46" t="s">
        <v>1711</v>
      </c>
      <c r="S603" s="37"/>
    </row>
    <row r="604" spans="1:19" x14ac:dyDescent="0.2">
      <c r="A604" s="36"/>
      <c r="B604" s="38" t="str">
        <f>IF(MasterFees[[#This Row],[RVG Code]]="","",_xlfn.XLOOKUP(MasterFees[[#This Row],[RVG Code]],RVGCodes[Code],RVGCodes[Base Units],"Code not found"))</f>
        <v/>
      </c>
      <c r="C604" s="37" t="s">
        <v>602</v>
      </c>
      <c r="D604" s="44" t="s">
        <v>1108</v>
      </c>
      <c r="E604" s="44"/>
      <c r="F604" s="44" t="s">
        <v>1109</v>
      </c>
      <c r="G604" s="39">
        <v>8</v>
      </c>
      <c r="H604" s="39">
        <v>8.1</v>
      </c>
      <c r="I604" s="39">
        <v>1.5</v>
      </c>
      <c r="J604" s="39">
        <v>17.600000000000001</v>
      </c>
      <c r="K604" s="40">
        <v>965.8</v>
      </c>
      <c r="L604" s="45" t="s">
        <v>1015</v>
      </c>
      <c r="M604" s="41" t="str">
        <f>IF(MasterFees[[#This Row],[GST Basis]]="Excl",MasterFees[[#This Row],[Fee as Printed]],IF(MasterFees[[#This Row],[GST Basis]]="Incl",MasterFees[[#This Row],[Fee as Printed]]/(1+GST_Rate),""))</f>
        <v/>
      </c>
      <c r="N604" s="41" t="str">
        <f>IF(MasterFees[[#This Row],[GST Basis]]="Incl",MasterFees[[#This Row],[Fee as Printed]],IF(MasterFees[[#This Row],[GST Basis]]="Excl",MasterFees[[#This Row],[Fee as Printed]]*(1+GST_Rate),""))</f>
        <v/>
      </c>
      <c r="O604" s="42">
        <f>IF(N(MasterFees[[#This Row],[Total Units]])=0,"",MasterFees[[#This Row],[Fee as Printed]]/MasterFees[[#This Row],[Total Units]])</f>
        <v>54.874999999999993</v>
      </c>
      <c r="P604" s="43"/>
      <c r="Q604" s="46" t="s">
        <v>1013</v>
      </c>
      <c r="R604" s="46" t="s">
        <v>1712</v>
      </c>
      <c r="S604" s="37"/>
    </row>
    <row r="605" spans="1:19" x14ac:dyDescent="0.2">
      <c r="A605" s="36"/>
      <c r="B605" s="38" t="str">
        <f>IF(MasterFees[[#This Row],[RVG Code]]="","",_xlfn.XLOOKUP(MasterFees[[#This Row],[RVG Code]],RVGCodes[Code],RVGCodes[Base Units],"Code not found"))</f>
        <v/>
      </c>
      <c r="C605" s="37" t="s">
        <v>603</v>
      </c>
      <c r="D605" s="44" t="s">
        <v>1108</v>
      </c>
      <c r="E605" s="44"/>
      <c r="F605" s="44" t="s">
        <v>1109</v>
      </c>
      <c r="G605" s="39">
        <v>5</v>
      </c>
      <c r="H605" s="39">
        <v>3</v>
      </c>
      <c r="I605" s="39">
        <v>0</v>
      </c>
      <c r="J605" s="39">
        <v>8</v>
      </c>
      <c r="K605" s="40">
        <v>440</v>
      </c>
      <c r="L605" s="45" t="s">
        <v>1015</v>
      </c>
      <c r="M605" s="41" t="str">
        <f>IF(MasterFees[[#This Row],[GST Basis]]="Excl",MasterFees[[#This Row],[Fee as Printed]],IF(MasterFees[[#This Row],[GST Basis]]="Incl",MasterFees[[#This Row],[Fee as Printed]]/(1+GST_Rate),""))</f>
        <v/>
      </c>
      <c r="N605" s="41" t="str">
        <f>IF(MasterFees[[#This Row],[GST Basis]]="Incl",MasterFees[[#This Row],[Fee as Printed]],IF(MasterFees[[#This Row],[GST Basis]]="Excl",MasterFees[[#This Row],[Fee as Printed]]*(1+GST_Rate),""))</f>
        <v/>
      </c>
      <c r="O605" s="42">
        <f>IF(N(MasterFees[[#This Row],[Total Units]])=0,"",MasterFees[[#This Row],[Fee as Printed]]/MasterFees[[#This Row],[Total Units]])</f>
        <v>55</v>
      </c>
      <c r="P605" s="43"/>
      <c r="Q605" s="46" t="s">
        <v>1013</v>
      </c>
      <c r="R605" s="46" t="s">
        <v>1713</v>
      </c>
      <c r="S605" s="37"/>
    </row>
    <row r="606" spans="1:19" x14ac:dyDescent="0.2">
      <c r="A606" s="36"/>
      <c r="B606" s="38" t="str">
        <f>IF(MasterFees[[#This Row],[RVG Code]]="","",_xlfn.XLOOKUP(MasterFees[[#This Row],[RVG Code]],RVGCodes[Code],RVGCodes[Base Units],"Code not found"))</f>
        <v/>
      </c>
      <c r="C606" s="37" t="s">
        <v>604</v>
      </c>
      <c r="D606" s="44" t="s">
        <v>1108</v>
      </c>
      <c r="E606" s="44"/>
      <c r="F606" s="44" t="s">
        <v>1109</v>
      </c>
      <c r="G606" s="39">
        <v>3.6</v>
      </c>
      <c r="H606" s="39">
        <v>3.8</v>
      </c>
      <c r="I606" s="39">
        <v>0.6</v>
      </c>
      <c r="J606" s="39">
        <v>7.9</v>
      </c>
      <c r="K606" s="40">
        <v>436.7</v>
      </c>
      <c r="L606" s="45" t="s">
        <v>1015</v>
      </c>
      <c r="M606" s="41" t="str">
        <f>IF(MasterFees[[#This Row],[GST Basis]]="Excl",MasterFees[[#This Row],[Fee as Printed]],IF(MasterFees[[#This Row],[GST Basis]]="Incl",MasterFees[[#This Row],[Fee as Printed]]/(1+GST_Rate),""))</f>
        <v/>
      </c>
      <c r="N606" s="41" t="str">
        <f>IF(MasterFees[[#This Row],[GST Basis]]="Incl",MasterFees[[#This Row],[Fee as Printed]],IF(MasterFees[[#This Row],[GST Basis]]="Excl",MasterFees[[#This Row],[Fee as Printed]]*(1+GST_Rate),""))</f>
        <v/>
      </c>
      <c r="O606" s="42">
        <f>IF(N(MasterFees[[#This Row],[Total Units]])=0,"",MasterFees[[#This Row],[Fee as Printed]]/MasterFees[[#This Row],[Total Units]])</f>
        <v>55.278481012658226</v>
      </c>
      <c r="P606" s="43"/>
      <c r="Q606" s="46" t="s">
        <v>1013</v>
      </c>
      <c r="R606" s="46" t="s">
        <v>1714</v>
      </c>
      <c r="S606" s="37"/>
    </row>
    <row r="607" spans="1:19" x14ac:dyDescent="0.2">
      <c r="A607" s="36"/>
      <c r="B607" s="38" t="str">
        <f>IF(MasterFees[[#This Row],[RVG Code]]="","",_xlfn.XLOOKUP(MasterFees[[#This Row],[RVG Code]],RVGCodes[Code],RVGCodes[Base Units],"Code not found"))</f>
        <v/>
      </c>
      <c r="C607" s="37" t="s">
        <v>605</v>
      </c>
      <c r="D607" s="44" t="s">
        <v>1108</v>
      </c>
      <c r="E607" s="44"/>
      <c r="F607" s="44" t="s">
        <v>1109</v>
      </c>
      <c r="G607" s="39">
        <v>6</v>
      </c>
      <c r="H607" s="39">
        <v>5</v>
      </c>
      <c r="I607" s="39">
        <v>3</v>
      </c>
      <c r="J607" s="39">
        <v>14</v>
      </c>
      <c r="K607" s="40">
        <v>770</v>
      </c>
      <c r="L607" s="45" t="s">
        <v>1015</v>
      </c>
      <c r="M607" s="41" t="str">
        <f>IF(MasterFees[[#This Row],[GST Basis]]="Excl",MasterFees[[#This Row],[Fee as Printed]],IF(MasterFees[[#This Row],[GST Basis]]="Incl",MasterFees[[#This Row],[Fee as Printed]]/(1+GST_Rate),""))</f>
        <v/>
      </c>
      <c r="N607" s="41" t="str">
        <f>IF(MasterFees[[#This Row],[GST Basis]]="Incl",MasterFees[[#This Row],[Fee as Printed]],IF(MasterFees[[#This Row],[GST Basis]]="Excl",MasterFees[[#This Row],[Fee as Printed]]*(1+GST_Rate),""))</f>
        <v/>
      </c>
      <c r="O607" s="42">
        <f>IF(N(MasterFees[[#This Row],[Total Units]])=0,"",MasterFees[[#This Row],[Fee as Printed]]/MasterFees[[#This Row],[Total Units]])</f>
        <v>55</v>
      </c>
      <c r="P607" s="43"/>
      <c r="Q607" s="46" t="s">
        <v>1013</v>
      </c>
      <c r="R607" s="46" t="s">
        <v>1715</v>
      </c>
      <c r="S607" s="37"/>
    </row>
    <row r="608" spans="1:19" x14ac:dyDescent="0.2">
      <c r="A608" s="36"/>
      <c r="B608" s="38" t="str">
        <f>IF(MasterFees[[#This Row],[RVG Code]]="","",_xlfn.XLOOKUP(MasterFees[[#This Row],[RVG Code]],RVGCodes[Code],RVGCodes[Base Units],"Code not found"))</f>
        <v/>
      </c>
      <c r="C608" s="37" t="s">
        <v>606</v>
      </c>
      <c r="D608" s="44" t="s">
        <v>1108</v>
      </c>
      <c r="E608" s="44"/>
      <c r="F608" s="44" t="s">
        <v>1109</v>
      </c>
      <c r="G608" s="39">
        <v>4</v>
      </c>
      <c r="H608" s="39">
        <v>2</v>
      </c>
      <c r="I608" s="39">
        <v>0.2</v>
      </c>
      <c r="J608" s="39">
        <v>6.2</v>
      </c>
      <c r="K608" s="40">
        <v>341</v>
      </c>
      <c r="L608" s="45" t="s">
        <v>1015</v>
      </c>
      <c r="M608" s="41" t="str">
        <f>IF(MasterFees[[#This Row],[GST Basis]]="Excl",MasterFees[[#This Row],[Fee as Printed]],IF(MasterFees[[#This Row],[GST Basis]]="Incl",MasterFees[[#This Row],[Fee as Printed]]/(1+GST_Rate),""))</f>
        <v/>
      </c>
      <c r="N608" s="41" t="str">
        <f>IF(MasterFees[[#This Row],[GST Basis]]="Incl",MasterFees[[#This Row],[Fee as Printed]],IF(MasterFees[[#This Row],[GST Basis]]="Excl",MasterFees[[#This Row],[Fee as Printed]]*(1+GST_Rate),""))</f>
        <v/>
      </c>
      <c r="O608" s="42">
        <f>IF(N(MasterFees[[#This Row],[Total Units]])=0,"",MasterFees[[#This Row],[Fee as Printed]]/MasterFees[[#This Row],[Total Units]])</f>
        <v>55</v>
      </c>
      <c r="P608" s="43"/>
      <c r="Q608" s="46" t="s">
        <v>1013</v>
      </c>
      <c r="R608" s="46" t="s">
        <v>1716</v>
      </c>
      <c r="S608" s="37"/>
    </row>
    <row r="609" spans="1:19" x14ac:dyDescent="0.2">
      <c r="A609" s="36"/>
      <c r="B609" s="38" t="str">
        <f>IF(MasterFees[[#This Row],[RVG Code]]="","",_xlfn.XLOOKUP(MasterFees[[#This Row],[RVG Code]],RVGCodes[Code],RVGCodes[Base Units],"Code not found"))</f>
        <v/>
      </c>
      <c r="C609" s="37" t="s">
        <v>607</v>
      </c>
      <c r="D609" s="44" t="s">
        <v>1108</v>
      </c>
      <c r="E609" s="44"/>
      <c r="F609" s="44" t="s">
        <v>1109</v>
      </c>
      <c r="G609" s="39">
        <v>3.7</v>
      </c>
      <c r="H609" s="39">
        <v>3.3</v>
      </c>
      <c r="I609" s="39">
        <v>0.3</v>
      </c>
      <c r="J609" s="39">
        <v>7.3</v>
      </c>
      <c r="K609" s="40">
        <v>402.6</v>
      </c>
      <c r="L609" s="45" t="s">
        <v>1015</v>
      </c>
      <c r="M609" s="41" t="str">
        <f>IF(MasterFees[[#This Row],[GST Basis]]="Excl",MasterFees[[#This Row],[Fee as Printed]],IF(MasterFees[[#This Row],[GST Basis]]="Incl",MasterFees[[#This Row],[Fee as Printed]]/(1+GST_Rate),""))</f>
        <v/>
      </c>
      <c r="N609" s="41" t="str">
        <f>IF(MasterFees[[#This Row],[GST Basis]]="Incl",MasterFees[[#This Row],[Fee as Printed]],IF(MasterFees[[#This Row],[GST Basis]]="Excl",MasterFees[[#This Row],[Fee as Printed]]*(1+GST_Rate),""))</f>
        <v/>
      </c>
      <c r="O609" s="42">
        <f>IF(N(MasterFees[[#This Row],[Total Units]])=0,"",MasterFees[[#This Row],[Fee as Printed]]/MasterFees[[#This Row],[Total Units]])</f>
        <v>55.150684931506852</v>
      </c>
      <c r="P609" s="43"/>
      <c r="Q609" s="46" t="s">
        <v>1013</v>
      </c>
      <c r="R609" s="46" t="s">
        <v>1717</v>
      </c>
      <c r="S609" s="37"/>
    </row>
    <row r="610" spans="1:19" x14ac:dyDescent="0.2">
      <c r="A610" s="36"/>
      <c r="B610" s="38" t="str">
        <f>IF(MasterFees[[#This Row],[RVG Code]]="","",_xlfn.XLOOKUP(MasterFees[[#This Row],[RVG Code]],RVGCodes[Code],RVGCodes[Base Units],"Code not found"))</f>
        <v/>
      </c>
      <c r="C610" s="37" t="s">
        <v>608</v>
      </c>
      <c r="D610" s="44" t="s">
        <v>1108</v>
      </c>
      <c r="E610" s="44"/>
      <c r="F610" s="44" t="s">
        <v>1109</v>
      </c>
      <c r="G610" s="39">
        <v>4</v>
      </c>
      <c r="H610" s="39">
        <v>5</v>
      </c>
      <c r="I610" s="39">
        <v>0</v>
      </c>
      <c r="J610" s="39">
        <v>9</v>
      </c>
      <c r="K610" s="40">
        <v>495</v>
      </c>
      <c r="L610" s="45" t="s">
        <v>1015</v>
      </c>
      <c r="M610" s="41" t="str">
        <f>IF(MasterFees[[#This Row],[GST Basis]]="Excl",MasterFees[[#This Row],[Fee as Printed]],IF(MasterFees[[#This Row],[GST Basis]]="Incl",MasterFees[[#This Row],[Fee as Printed]]/(1+GST_Rate),""))</f>
        <v/>
      </c>
      <c r="N610" s="41" t="str">
        <f>IF(MasterFees[[#This Row],[GST Basis]]="Incl",MasterFees[[#This Row],[Fee as Printed]],IF(MasterFees[[#This Row],[GST Basis]]="Excl",MasterFees[[#This Row],[Fee as Printed]]*(1+GST_Rate),""))</f>
        <v/>
      </c>
      <c r="O610" s="42">
        <f>IF(N(MasterFees[[#This Row],[Total Units]])=0,"",MasterFees[[#This Row],[Fee as Printed]]/MasterFees[[#This Row],[Total Units]])</f>
        <v>55</v>
      </c>
      <c r="P610" s="43"/>
      <c r="Q610" s="46" t="s">
        <v>1013</v>
      </c>
      <c r="R610" s="46" t="s">
        <v>1718</v>
      </c>
      <c r="S610" s="37"/>
    </row>
    <row r="611" spans="1:19" x14ac:dyDescent="0.2">
      <c r="A611" s="36"/>
      <c r="B611" s="38" t="str">
        <f>IF(MasterFees[[#This Row],[RVG Code]]="","",_xlfn.XLOOKUP(MasterFees[[#This Row],[RVG Code]],RVGCodes[Code],RVGCodes[Base Units],"Code not found"))</f>
        <v/>
      </c>
      <c r="C611" s="37" t="s">
        <v>609</v>
      </c>
      <c r="D611" s="44" t="s">
        <v>1108</v>
      </c>
      <c r="E611" s="44"/>
      <c r="F611" s="44" t="s">
        <v>1109</v>
      </c>
      <c r="G611" s="39">
        <v>6</v>
      </c>
      <c r="H611" s="39">
        <v>12</v>
      </c>
      <c r="I611" s="39">
        <v>0</v>
      </c>
      <c r="J611" s="39">
        <v>18</v>
      </c>
      <c r="K611" s="40">
        <v>990</v>
      </c>
      <c r="L611" s="45" t="s">
        <v>1015</v>
      </c>
      <c r="M611" s="41" t="str">
        <f>IF(MasterFees[[#This Row],[GST Basis]]="Excl",MasterFees[[#This Row],[Fee as Printed]],IF(MasterFees[[#This Row],[GST Basis]]="Incl",MasterFees[[#This Row],[Fee as Printed]]/(1+GST_Rate),""))</f>
        <v/>
      </c>
      <c r="N611" s="41" t="str">
        <f>IF(MasterFees[[#This Row],[GST Basis]]="Incl",MasterFees[[#This Row],[Fee as Printed]],IF(MasterFees[[#This Row],[GST Basis]]="Excl",MasterFees[[#This Row],[Fee as Printed]]*(1+GST_Rate),""))</f>
        <v/>
      </c>
      <c r="O611" s="42">
        <f>IF(N(MasterFees[[#This Row],[Total Units]])=0,"",MasterFees[[#This Row],[Fee as Printed]]/MasterFees[[#This Row],[Total Units]])</f>
        <v>55</v>
      </c>
      <c r="P611" s="43"/>
      <c r="Q611" s="46" t="s">
        <v>1013</v>
      </c>
      <c r="R611" s="46" t="s">
        <v>1719</v>
      </c>
      <c r="S611" s="37"/>
    </row>
    <row r="612" spans="1:19" x14ac:dyDescent="0.2">
      <c r="A612" s="36"/>
      <c r="B612" s="38" t="str">
        <f>IF(MasterFees[[#This Row],[RVG Code]]="","",_xlfn.XLOOKUP(MasterFees[[#This Row],[RVG Code]],RVGCodes[Code],RVGCodes[Base Units],"Code not found"))</f>
        <v/>
      </c>
      <c r="C612" s="37" t="s">
        <v>610</v>
      </c>
      <c r="D612" s="44" t="s">
        <v>1108</v>
      </c>
      <c r="E612" s="44"/>
      <c r="F612" s="44" t="s">
        <v>1109</v>
      </c>
      <c r="G612" s="39">
        <v>8</v>
      </c>
      <c r="H612" s="39">
        <v>13</v>
      </c>
      <c r="I612" s="39">
        <v>0</v>
      </c>
      <c r="J612" s="39">
        <v>21</v>
      </c>
      <c r="K612" s="40">
        <v>1155</v>
      </c>
      <c r="L612" s="45" t="s">
        <v>1015</v>
      </c>
      <c r="M612" s="41" t="str">
        <f>IF(MasterFees[[#This Row],[GST Basis]]="Excl",MasterFees[[#This Row],[Fee as Printed]],IF(MasterFees[[#This Row],[GST Basis]]="Incl",MasterFees[[#This Row],[Fee as Printed]]/(1+GST_Rate),""))</f>
        <v/>
      </c>
      <c r="N612" s="41" t="str">
        <f>IF(MasterFees[[#This Row],[GST Basis]]="Incl",MasterFees[[#This Row],[Fee as Printed]],IF(MasterFees[[#This Row],[GST Basis]]="Excl",MasterFees[[#This Row],[Fee as Printed]]*(1+GST_Rate),""))</f>
        <v/>
      </c>
      <c r="O612" s="42">
        <f>IF(N(MasterFees[[#This Row],[Total Units]])=0,"",MasterFees[[#This Row],[Fee as Printed]]/MasterFees[[#This Row],[Total Units]])</f>
        <v>55</v>
      </c>
      <c r="P612" s="43"/>
      <c r="Q612" s="46" t="s">
        <v>1013</v>
      </c>
      <c r="R612" s="46" t="s">
        <v>1720</v>
      </c>
      <c r="S612" s="37"/>
    </row>
    <row r="613" spans="1:19" x14ac:dyDescent="0.2">
      <c r="A613" s="36"/>
      <c r="B613" s="38" t="str">
        <f>IF(MasterFees[[#This Row],[RVG Code]]="","",_xlfn.XLOOKUP(MasterFees[[#This Row],[RVG Code]],RVGCodes[Code],RVGCodes[Base Units],"Code not found"))</f>
        <v/>
      </c>
      <c r="C613" s="37" t="s">
        <v>611</v>
      </c>
      <c r="D613" s="44" t="s">
        <v>1108</v>
      </c>
      <c r="E613" s="44"/>
      <c r="F613" s="44" t="s">
        <v>1109</v>
      </c>
      <c r="G613" s="39">
        <v>0</v>
      </c>
      <c r="H613" s="39">
        <v>0</v>
      </c>
      <c r="I613" s="39">
        <v>0</v>
      </c>
      <c r="J613" s="39">
        <v>0</v>
      </c>
      <c r="K613" s="40">
        <v>0</v>
      </c>
      <c r="L613" s="45" t="s">
        <v>1015</v>
      </c>
      <c r="M613" s="41" t="str">
        <f>IF(MasterFees[[#This Row],[GST Basis]]="Excl",MasterFees[[#This Row],[Fee as Printed]],IF(MasterFees[[#This Row],[GST Basis]]="Incl",MasterFees[[#This Row],[Fee as Printed]]/(1+GST_Rate),""))</f>
        <v/>
      </c>
      <c r="N613" s="41" t="str">
        <f>IF(MasterFees[[#This Row],[GST Basis]]="Incl",MasterFees[[#This Row],[Fee as Printed]],IF(MasterFees[[#This Row],[GST Basis]]="Excl",MasterFees[[#This Row],[Fee as Printed]]*(1+GST_Rate),""))</f>
        <v/>
      </c>
      <c r="O613" s="42" t="str">
        <f>IF(N(MasterFees[[#This Row],[Total Units]])=0,"",MasterFees[[#This Row],[Fee as Printed]]/MasterFees[[#This Row],[Total Units]])</f>
        <v/>
      </c>
      <c r="P613" s="43"/>
      <c r="Q613" s="46" t="s">
        <v>1013</v>
      </c>
      <c r="R613" s="46" t="s">
        <v>1721</v>
      </c>
      <c r="S613" s="37"/>
    </row>
    <row r="614" spans="1:19" x14ac:dyDescent="0.2">
      <c r="A614" s="36"/>
      <c r="B614" s="38" t="str">
        <f>IF(MasterFees[[#This Row],[RVG Code]]="","",_xlfn.XLOOKUP(MasterFees[[#This Row],[RVG Code]],RVGCodes[Code],RVGCodes[Base Units],"Code not found"))</f>
        <v/>
      </c>
      <c r="C614" s="37" t="s">
        <v>612</v>
      </c>
      <c r="D614" s="44" t="s">
        <v>1108</v>
      </c>
      <c r="E614" s="44"/>
      <c r="F614" s="44" t="s">
        <v>1109</v>
      </c>
      <c r="G614" s="39">
        <v>5.0999999999999996</v>
      </c>
      <c r="H614" s="39">
        <v>8.5</v>
      </c>
      <c r="I614" s="39">
        <v>0.9</v>
      </c>
      <c r="J614" s="39">
        <v>14.5</v>
      </c>
      <c r="K614" s="40">
        <v>796.95</v>
      </c>
      <c r="L614" s="45" t="s">
        <v>1015</v>
      </c>
      <c r="M614" s="41" t="str">
        <f>IF(MasterFees[[#This Row],[GST Basis]]="Excl",MasterFees[[#This Row],[Fee as Printed]],IF(MasterFees[[#This Row],[GST Basis]]="Incl",MasterFees[[#This Row],[Fee as Printed]]/(1+GST_Rate),""))</f>
        <v/>
      </c>
      <c r="N614" s="41" t="str">
        <f>IF(MasterFees[[#This Row],[GST Basis]]="Incl",MasterFees[[#This Row],[Fee as Printed]],IF(MasterFees[[#This Row],[GST Basis]]="Excl",MasterFees[[#This Row],[Fee as Printed]]*(1+GST_Rate),""))</f>
        <v/>
      </c>
      <c r="O614" s="42">
        <f>IF(N(MasterFees[[#This Row],[Total Units]])=0,"",MasterFees[[#This Row],[Fee as Printed]]/MasterFees[[#This Row],[Total Units]])</f>
        <v>54.962068965517247</v>
      </c>
      <c r="P614" s="43"/>
      <c r="Q614" s="46" t="s">
        <v>1013</v>
      </c>
      <c r="R614" s="46" t="s">
        <v>1722</v>
      </c>
      <c r="S614" s="37"/>
    </row>
    <row r="615" spans="1:19" x14ac:dyDescent="0.2">
      <c r="A615" s="36"/>
      <c r="B615" s="38" t="str">
        <f>IF(MasterFees[[#This Row],[RVG Code]]="","",_xlfn.XLOOKUP(MasterFees[[#This Row],[RVG Code]],RVGCodes[Code],RVGCodes[Base Units],"Code not found"))</f>
        <v/>
      </c>
      <c r="C615" s="37" t="s">
        <v>613</v>
      </c>
      <c r="D615" s="44" t="s">
        <v>1108</v>
      </c>
      <c r="E615" s="44"/>
      <c r="F615" s="44" t="s">
        <v>1109</v>
      </c>
      <c r="G615" s="39">
        <v>0</v>
      </c>
      <c r="H615" s="39">
        <v>3</v>
      </c>
      <c r="I615" s="39">
        <v>0</v>
      </c>
      <c r="J615" s="39">
        <v>3</v>
      </c>
      <c r="K615" s="40">
        <v>165</v>
      </c>
      <c r="L615" s="45" t="s">
        <v>1015</v>
      </c>
      <c r="M615" s="41" t="str">
        <f>IF(MasterFees[[#This Row],[GST Basis]]="Excl",MasterFees[[#This Row],[Fee as Printed]],IF(MasterFees[[#This Row],[GST Basis]]="Incl",MasterFees[[#This Row],[Fee as Printed]]/(1+GST_Rate),""))</f>
        <v/>
      </c>
      <c r="N615" s="41" t="str">
        <f>IF(MasterFees[[#This Row],[GST Basis]]="Incl",MasterFees[[#This Row],[Fee as Printed]],IF(MasterFees[[#This Row],[GST Basis]]="Excl",MasterFees[[#This Row],[Fee as Printed]]*(1+GST_Rate),""))</f>
        <v/>
      </c>
      <c r="O615" s="42">
        <f>IF(N(MasterFees[[#This Row],[Total Units]])=0,"",MasterFees[[#This Row],[Fee as Printed]]/MasterFees[[#This Row],[Total Units]])</f>
        <v>55</v>
      </c>
      <c r="P615" s="43"/>
      <c r="Q615" s="46" t="s">
        <v>1013</v>
      </c>
      <c r="R615" s="46" t="s">
        <v>1723</v>
      </c>
      <c r="S615" s="37"/>
    </row>
    <row r="616" spans="1:19" x14ac:dyDescent="0.2">
      <c r="A616" s="36"/>
      <c r="B616" s="38" t="str">
        <f>IF(MasterFees[[#This Row],[RVG Code]]="","",_xlfn.XLOOKUP(MasterFees[[#This Row],[RVG Code]],RVGCodes[Code],RVGCodes[Base Units],"Code not found"))</f>
        <v/>
      </c>
      <c r="C616" s="37" t="s">
        <v>614</v>
      </c>
      <c r="D616" s="44" t="s">
        <v>1108</v>
      </c>
      <c r="E616" s="44"/>
      <c r="F616" s="44" t="s">
        <v>1109</v>
      </c>
      <c r="G616" s="39">
        <v>6</v>
      </c>
      <c r="H616" s="39">
        <v>3</v>
      </c>
      <c r="I616" s="39">
        <v>0</v>
      </c>
      <c r="J616" s="39">
        <v>9</v>
      </c>
      <c r="K616" s="40">
        <v>495</v>
      </c>
      <c r="L616" s="45" t="s">
        <v>1015</v>
      </c>
      <c r="M616" s="41" t="str">
        <f>IF(MasterFees[[#This Row],[GST Basis]]="Excl",MasterFees[[#This Row],[Fee as Printed]],IF(MasterFees[[#This Row],[GST Basis]]="Incl",MasterFees[[#This Row],[Fee as Printed]]/(1+GST_Rate),""))</f>
        <v/>
      </c>
      <c r="N616" s="41" t="str">
        <f>IF(MasterFees[[#This Row],[GST Basis]]="Incl",MasterFees[[#This Row],[Fee as Printed]],IF(MasterFees[[#This Row],[GST Basis]]="Excl",MasterFees[[#This Row],[Fee as Printed]]*(1+GST_Rate),""))</f>
        <v/>
      </c>
      <c r="O616" s="42">
        <f>IF(N(MasterFees[[#This Row],[Total Units]])=0,"",MasterFees[[#This Row],[Fee as Printed]]/MasterFees[[#This Row],[Total Units]])</f>
        <v>55</v>
      </c>
      <c r="P616" s="43"/>
      <c r="Q616" s="46" t="s">
        <v>1013</v>
      </c>
      <c r="R616" s="46" t="s">
        <v>1724</v>
      </c>
      <c r="S616" s="37"/>
    </row>
    <row r="617" spans="1:19" x14ac:dyDescent="0.2">
      <c r="A617" s="36"/>
      <c r="B617" s="38" t="str">
        <f>IF(MasterFees[[#This Row],[RVG Code]]="","",_xlfn.XLOOKUP(MasterFees[[#This Row],[RVG Code]],RVGCodes[Code],RVGCodes[Base Units],"Code not found"))</f>
        <v/>
      </c>
      <c r="C617" s="37" t="s">
        <v>615</v>
      </c>
      <c r="D617" s="44" t="s">
        <v>1108</v>
      </c>
      <c r="E617" s="44"/>
      <c r="F617" s="44" t="s">
        <v>1109</v>
      </c>
      <c r="G617" s="39">
        <v>4.8</v>
      </c>
      <c r="H617" s="39">
        <v>5</v>
      </c>
      <c r="I617" s="39">
        <v>0.8</v>
      </c>
      <c r="J617" s="39">
        <v>10.6</v>
      </c>
      <c r="K617" s="40">
        <v>580.79999999999995</v>
      </c>
      <c r="L617" s="45" t="s">
        <v>1015</v>
      </c>
      <c r="M617" s="41" t="str">
        <f>IF(MasterFees[[#This Row],[GST Basis]]="Excl",MasterFees[[#This Row],[Fee as Printed]],IF(MasterFees[[#This Row],[GST Basis]]="Incl",MasterFees[[#This Row],[Fee as Printed]]/(1+GST_Rate),""))</f>
        <v/>
      </c>
      <c r="N617" s="41" t="str">
        <f>IF(MasterFees[[#This Row],[GST Basis]]="Incl",MasterFees[[#This Row],[Fee as Printed]],IF(MasterFees[[#This Row],[GST Basis]]="Excl",MasterFees[[#This Row],[Fee as Printed]]*(1+GST_Rate),""))</f>
        <v/>
      </c>
      <c r="O617" s="42">
        <f>IF(N(MasterFees[[#This Row],[Total Units]])=0,"",MasterFees[[#This Row],[Fee as Printed]]/MasterFees[[#This Row],[Total Units]])</f>
        <v>54.79245283018868</v>
      </c>
      <c r="P617" s="43"/>
      <c r="Q617" s="46" t="s">
        <v>1013</v>
      </c>
      <c r="R617" s="46" t="s">
        <v>1725</v>
      </c>
      <c r="S617" s="37"/>
    </row>
    <row r="618" spans="1:19" x14ac:dyDescent="0.2">
      <c r="A618" s="36"/>
      <c r="B618" s="38" t="str">
        <f>IF(MasterFees[[#This Row],[RVG Code]]="","",_xlfn.XLOOKUP(MasterFees[[#This Row],[RVG Code]],RVGCodes[Code],RVGCodes[Base Units],"Code not found"))</f>
        <v/>
      </c>
      <c r="C618" s="37" t="s">
        <v>616</v>
      </c>
      <c r="D618" s="44" t="s">
        <v>1108</v>
      </c>
      <c r="E618" s="44"/>
      <c r="F618" s="44" t="s">
        <v>1109</v>
      </c>
      <c r="G618" s="39">
        <v>4.2</v>
      </c>
      <c r="H618" s="39">
        <v>2.5</v>
      </c>
      <c r="I618" s="39">
        <v>0.2</v>
      </c>
      <c r="J618" s="39">
        <v>6.8</v>
      </c>
      <c r="K618" s="40">
        <v>372.9</v>
      </c>
      <c r="L618" s="45" t="s">
        <v>1015</v>
      </c>
      <c r="M618" s="41" t="str">
        <f>IF(MasterFees[[#This Row],[GST Basis]]="Excl",MasterFees[[#This Row],[Fee as Printed]],IF(MasterFees[[#This Row],[GST Basis]]="Incl",MasterFees[[#This Row],[Fee as Printed]]/(1+GST_Rate),""))</f>
        <v/>
      </c>
      <c r="N618" s="41" t="str">
        <f>IF(MasterFees[[#This Row],[GST Basis]]="Incl",MasterFees[[#This Row],[Fee as Printed]],IF(MasterFees[[#This Row],[GST Basis]]="Excl",MasterFees[[#This Row],[Fee as Printed]]*(1+GST_Rate),""))</f>
        <v/>
      </c>
      <c r="O618" s="42">
        <f>IF(N(MasterFees[[#This Row],[Total Units]])=0,"",MasterFees[[#This Row],[Fee as Printed]]/MasterFees[[#This Row],[Total Units]])</f>
        <v>54.838235294117645</v>
      </c>
      <c r="P618" s="43"/>
      <c r="Q618" s="46" t="s">
        <v>1013</v>
      </c>
      <c r="R618" s="46" t="s">
        <v>1726</v>
      </c>
      <c r="S618" s="37"/>
    </row>
    <row r="619" spans="1:19" x14ac:dyDescent="0.2">
      <c r="A619" s="36"/>
      <c r="B619" s="38" t="str">
        <f>IF(MasterFees[[#This Row],[RVG Code]]="","",_xlfn.XLOOKUP(MasterFees[[#This Row],[RVG Code]],RVGCodes[Code],RVGCodes[Base Units],"Code not found"))</f>
        <v/>
      </c>
      <c r="C619" s="37" t="s">
        <v>617</v>
      </c>
      <c r="D619" s="44" t="s">
        <v>1108</v>
      </c>
      <c r="E619" s="44"/>
      <c r="F619" s="44" t="s">
        <v>1109</v>
      </c>
      <c r="G619" s="39">
        <v>10</v>
      </c>
      <c r="H619" s="39">
        <v>15.5</v>
      </c>
      <c r="I619" s="39">
        <v>0.5</v>
      </c>
      <c r="J619" s="39">
        <v>26</v>
      </c>
      <c r="K619" s="40">
        <v>1430</v>
      </c>
      <c r="L619" s="45" t="s">
        <v>1015</v>
      </c>
      <c r="M619" s="41" t="str">
        <f>IF(MasterFees[[#This Row],[GST Basis]]="Excl",MasterFees[[#This Row],[Fee as Printed]],IF(MasterFees[[#This Row],[GST Basis]]="Incl",MasterFees[[#This Row],[Fee as Printed]]/(1+GST_Rate),""))</f>
        <v/>
      </c>
      <c r="N619" s="41" t="str">
        <f>IF(MasterFees[[#This Row],[GST Basis]]="Incl",MasterFees[[#This Row],[Fee as Printed]],IF(MasterFees[[#This Row],[GST Basis]]="Excl",MasterFees[[#This Row],[Fee as Printed]]*(1+GST_Rate),""))</f>
        <v/>
      </c>
      <c r="O619" s="42">
        <f>IF(N(MasterFees[[#This Row],[Total Units]])=0,"",MasterFees[[#This Row],[Fee as Printed]]/MasterFees[[#This Row],[Total Units]])</f>
        <v>55</v>
      </c>
      <c r="P619" s="43"/>
      <c r="Q619" s="46" t="s">
        <v>1013</v>
      </c>
      <c r="R619" s="46" t="s">
        <v>1727</v>
      </c>
      <c r="S619" s="37"/>
    </row>
    <row r="620" spans="1:19" x14ac:dyDescent="0.2">
      <c r="A620" s="36"/>
      <c r="B620" s="38" t="str">
        <f>IF(MasterFees[[#This Row],[RVG Code]]="","",_xlfn.XLOOKUP(MasterFees[[#This Row],[RVG Code]],RVGCodes[Code],RVGCodes[Base Units],"Code not found"))</f>
        <v/>
      </c>
      <c r="C620" s="37" t="s">
        <v>618</v>
      </c>
      <c r="D620" s="44" t="s">
        <v>1108</v>
      </c>
      <c r="E620" s="44"/>
      <c r="F620" s="44" t="s">
        <v>1109</v>
      </c>
      <c r="G620" s="39">
        <v>9</v>
      </c>
      <c r="H620" s="39">
        <v>27.2</v>
      </c>
      <c r="I620" s="39">
        <v>2.2999999999999998</v>
      </c>
      <c r="J620" s="39">
        <v>38.5</v>
      </c>
      <c r="K620" s="40">
        <v>2119.15</v>
      </c>
      <c r="L620" s="45" t="s">
        <v>1015</v>
      </c>
      <c r="M620" s="41" t="str">
        <f>IF(MasterFees[[#This Row],[GST Basis]]="Excl",MasterFees[[#This Row],[Fee as Printed]],IF(MasterFees[[#This Row],[GST Basis]]="Incl",MasterFees[[#This Row],[Fee as Printed]]/(1+GST_Rate),""))</f>
        <v/>
      </c>
      <c r="N620" s="41" t="str">
        <f>IF(MasterFees[[#This Row],[GST Basis]]="Incl",MasterFees[[#This Row],[Fee as Printed]],IF(MasterFees[[#This Row],[GST Basis]]="Excl",MasterFees[[#This Row],[Fee as Printed]]*(1+GST_Rate),""))</f>
        <v/>
      </c>
      <c r="O620" s="42">
        <f>IF(N(MasterFees[[#This Row],[Total Units]])=0,"",MasterFees[[#This Row],[Fee as Printed]]/MasterFees[[#This Row],[Total Units]])</f>
        <v>55.042857142857144</v>
      </c>
      <c r="P620" s="43"/>
      <c r="Q620" s="46" t="s">
        <v>1013</v>
      </c>
      <c r="R620" s="46" t="s">
        <v>1728</v>
      </c>
      <c r="S620" s="37"/>
    </row>
    <row r="621" spans="1:19" x14ac:dyDescent="0.2">
      <c r="A621" s="36"/>
      <c r="B621" s="38" t="str">
        <f>IF(MasterFees[[#This Row],[RVG Code]]="","",_xlfn.XLOOKUP(MasterFees[[#This Row],[RVG Code]],RVGCodes[Code],RVGCodes[Base Units],"Code not found"))</f>
        <v/>
      </c>
      <c r="C621" s="37" t="s">
        <v>619</v>
      </c>
      <c r="D621" s="44" t="s">
        <v>1108</v>
      </c>
      <c r="E621" s="44"/>
      <c r="F621" s="44" t="s">
        <v>1109</v>
      </c>
      <c r="G621" s="39">
        <v>3</v>
      </c>
      <c r="H621" s="39">
        <v>5.7</v>
      </c>
      <c r="I621" s="39">
        <v>0.3</v>
      </c>
      <c r="J621" s="39">
        <v>9</v>
      </c>
      <c r="K621" s="40">
        <v>494.45</v>
      </c>
      <c r="L621" s="45" t="s">
        <v>1015</v>
      </c>
      <c r="M621" s="41" t="str">
        <f>IF(MasterFees[[#This Row],[GST Basis]]="Excl",MasterFees[[#This Row],[Fee as Printed]],IF(MasterFees[[#This Row],[GST Basis]]="Incl",MasterFees[[#This Row],[Fee as Printed]]/(1+GST_Rate),""))</f>
        <v/>
      </c>
      <c r="N621" s="41" t="str">
        <f>IF(MasterFees[[#This Row],[GST Basis]]="Incl",MasterFees[[#This Row],[Fee as Printed]],IF(MasterFees[[#This Row],[GST Basis]]="Excl",MasterFees[[#This Row],[Fee as Printed]]*(1+GST_Rate),""))</f>
        <v/>
      </c>
      <c r="O621" s="42">
        <f>IF(N(MasterFees[[#This Row],[Total Units]])=0,"",MasterFees[[#This Row],[Fee as Printed]]/MasterFees[[#This Row],[Total Units]])</f>
        <v>54.93888888888889</v>
      </c>
      <c r="P621" s="43"/>
      <c r="Q621" s="46" t="s">
        <v>1013</v>
      </c>
      <c r="R621" s="46" t="s">
        <v>1729</v>
      </c>
      <c r="S621" s="37"/>
    </row>
    <row r="622" spans="1:19" x14ac:dyDescent="0.2">
      <c r="A622" s="36"/>
      <c r="B622" s="38" t="str">
        <f>IF(MasterFees[[#This Row],[RVG Code]]="","",_xlfn.XLOOKUP(MasterFees[[#This Row],[RVG Code]],RVGCodes[Code],RVGCodes[Base Units],"Code not found"))</f>
        <v/>
      </c>
      <c r="C622" s="37" t="s">
        <v>620</v>
      </c>
      <c r="D622" s="44" t="s">
        <v>1108</v>
      </c>
      <c r="E622" s="44"/>
      <c r="F622" s="44" t="s">
        <v>1109</v>
      </c>
      <c r="G622" s="39">
        <v>8.1999999999999993</v>
      </c>
      <c r="H622" s="39">
        <v>7.8</v>
      </c>
      <c r="I622" s="39">
        <v>1.5</v>
      </c>
      <c r="J622" s="39">
        <v>17.399999999999999</v>
      </c>
      <c r="K622" s="40">
        <v>955.35</v>
      </c>
      <c r="L622" s="45" t="s">
        <v>1015</v>
      </c>
      <c r="M622" s="41" t="str">
        <f>IF(MasterFees[[#This Row],[GST Basis]]="Excl",MasterFees[[#This Row],[Fee as Printed]],IF(MasterFees[[#This Row],[GST Basis]]="Incl",MasterFees[[#This Row],[Fee as Printed]]/(1+GST_Rate),""))</f>
        <v/>
      </c>
      <c r="N622" s="41" t="str">
        <f>IF(MasterFees[[#This Row],[GST Basis]]="Incl",MasterFees[[#This Row],[Fee as Printed]],IF(MasterFees[[#This Row],[GST Basis]]="Excl",MasterFees[[#This Row],[Fee as Printed]]*(1+GST_Rate),""))</f>
        <v/>
      </c>
      <c r="O622" s="42">
        <f>IF(N(MasterFees[[#This Row],[Total Units]])=0,"",MasterFees[[#This Row],[Fee as Printed]]/MasterFees[[#This Row],[Total Units]])</f>
        <v>54.90517241379311</v>
      </c>
      <c r="P622" s="43"/>
      <c r="Q622" s="46" t="s">
        <v>1013</v>
      </c>
      <c r="R622" s="46" t="s">
        <v>1730</v>
      </c>
      <c r="S622" s="37"/>
    </row>
    <row r="623" spans="1:19" x14ac:dyDescent="0.2">
      <c r="A623" s="36"/>
      <c r="B623" s="38" t="str">
        <f>IF(MasterFees[[#This Row],[RVG Code]]="","",_xlfn.XLOOKUP(MasterFees[[#This Row],[RVG Code]],RVGCodes[Code],RVGCodes[Base Units],"Code not found"))</f>
        <v/>
      </c>
      <c r="C623" s="37" t="s">
        <v>621</v>
      </c>
      <c r="D623" s="44" t="s">
        <v>1108</v>
      </c>
      <c r="E623" s="44"/>
      <c r="F623" s="44" t="s">
        <v>1109</v>
      </c>
      <c r="G623" s="39">
        <v>8</v>
      </c>
      <c r="H623" s="39">
        <v>7.1</v>
      </c>
      <c r="I623" s="39">
        <v>0.8</v>
      </c>
      <c r="J623" s="39">
        <v>15.9</v>
      </c>
      <c r="K623" s="40">
        <v>872.85</v>
      </c>
      <c r="L623" s="45" t="s">
        <v>1015</v>
      </c>
      <c r="M623" s="41" t="str">
        <f>IF(MasterFees[[#This Row],[GST Basis]]="Excl",MasterFees[[#This Row],[Fee as Printed]],IF(MasterFees[[#This Row],[GST Basis]]="Incl",MasterFees[[#This Row],[Fee as Printed]]/(1+GST_Rate),""))</f>
        <v/>
      </c>
      <c r="N623" s="41" t="str">
        <f>IF(MasterFees[[#This Row],[GST Basis]]="Incl",MasterFees[[#This Row],[Fee as Printed]],IF(MasterFees[[#This Row],[GST Basis]]="Excl",MasterFees[[#This Row],[Fee as Printed]]*(1+GST_Rate),""))</f>
        <v/>
      </c>
      <c r="O623" s="42">
        <f>IF(N(MasterFees[[#This Row],[Total Units]])=0,"",MasterFees[[#This Row],[Fee as Printed]]/MasterFees[[#This Row],[Total Units]])</f>
        <v>54.89622641509434</v>
      </c>
      <c r="P623" s="43"/>
      <c r="Q623" s="46" t="s">
        <v>1013</v>
      </c>
      <c r="R623" s="46" t="s">
        <v>1731</v>
      </c>
      <c r="S623" s="37"/>
    </row>
    <row r="624" spans="1:19" x14ac:dyDescent="0.2">
      <c r="A624" s="36"/>
      <c r="B624" s="38" t="str">
        <f>IF(MasterFees[[#This Row],[RVG Code]]="","",_xlfn.XLOOKUP(MasterFees[[#This Row],[RVG Code]],RVGCodes[Code],RVGCodes[Base Units],"Code not found"))</f>
        <v/>
      </c>
      <c r="C624" s="37" t="s">
        <v>622</v>
      </c>
      <c r="D624" s="44" t="s">
        <v>1108</v>
      </c>
      <c r="E624" s="44"/>
      <c r="F624" s="44" t="s">
        <v>1109</v>
      </c>
      <c r="G624" s="39">
        <v>9.6</v>
      </c>
      <c r="H624" s="39">
        <v>21.6</v>
      </c>
      <c r="I624" s="39">
        <v>0.9</v>
      </c>
      <c r="J624" s="39">
        <v>32.200000000000003</v>
      </c>
      <c r="K624" s="40">
        <v>1768.25</v>
      </c>
      <c r="L624" s="45" t="s">
        <v>1015</v>
      </c>
      <c r="M624" s="41" t="str">
        <f>IF(MasterFees[[#This Row],[GST Basis]]="Excl",MasterFees[[#This Row],[Fee as Printed]],IF(MasterFees[[#This Row],[GST Basis]]="Incl",MasterFees[[#This Row],[Fee as Printed]]/(1+GST_Rate),""))</f>
        <v/>
      </c>
      <c r="N624" s="41" t="str">
        <f>IF(MasterFees[[#This Row],[GST Basis]]="Incl",MasterFees[[#This Row],[Fee as Printed]],IF(MasterFees[[#This Row],[GST Basis]]="Excl",MasterFees[[#This Row],[Fee as Printed]]*(1+GST_Rate),""))</f>
        <v/>
      </c>
      <c r="O624" s="42">
        <f>IF(N(MasterFees[[#This Row],[Total Units]])=0,"",MasterFees[[#This Row],[Fee as Printed]]/MasterFees[[#This Row],[Total Units]])</f>
        <v>54.91459627329192</v>
      </c>
      <c r="P624" s="43"/>
      <c r="Q624" s="46" t="s">
        <v>1013</v>
      </c>
      <c r="R624" s="46" t="s">
        <v>1732</v>
      </c>
      <c r="S624" s="37"/>
    </row>
    <row r="625" spans="1:19" x14ac:dyDescent="0.2">
      <c r="A625" s="36"/>
      <c r="B625" s="38" t="str">
        <f>IF(MasterFees[[#This Row],[RVG Code]]="","",_xlfn.XLOOKUP(MasterFees[[#This Row],[RVG Code]],RVGCodes[Code],RVGCodes[Base Units],"Code not found"))</f>
        <v/>
      </c>
      <c r="C625" s="37" t="s">
        <v>623</v>
      </c>
      <c r="D625" s="44" t="s">
        <v>1108</v>
      </c>
      <c r="E625" s="44"/>
      <c r="F625" s="44" t="s">
        <v>1109</v>
      </c>
      <c r="G625" s="39">
        <v>8.9</v>
      </c>
      <c r="H625" s="39">
        <v>11</v>
      </c>
      <c r="I625" s="39">
        <v>1.4</v>
      </c>
      <c r="J625" s="39">
        <v>21.3</v>
      </c>
      <c r="K625" s="40">
        <v>1172.05</v>
      </c>
      <c r="L625" s="45" t="s">
        <v>1015</v>
      </c>
      <c r="M625" s="41" t="str">
        <f>IF(MasterFees[[#This Row],[GST Basis]]="Excl",MasterFees[[#This Row],[Fee as Printed]],IF(MasterFees[[#This Row],[GST Basis]]="Incl",MasterFees[[#This Row],[Fee as Printed]]/(1+GST_Rate),""))</f>
        <v/>
      </c>
      <c r="N625" s="41" t="str">
        <f>IF(MasterFees[[#This Row],[GST Basis]]="Incl",MasterFees[[#This Row],[Fee as Printed]],IF(MasterFees[[#This Row],[GST Basis]]="Excl",MasterFees[[#This Row],[Fee as Printed]]*(1+GST_Rate),""))</f>
        <v/>
      </c>
      <c r="O625" s="42">
        <f>IF(N(MasterFees[[#This Row],[Total Units]])=0,"",MasterFees[[#This Row],[Fee as Printed]]/MasterFees[[#This Row],[Total Units]])</f>
        <v>55.025821596244128</v>
      </c>
      <c r="P625" s="43"/>
      <c r="Q625" s="46" t="s">
        <v>1013</v>
      </c>
      <c r="R625" s="46" t="s">
        <v>1733</v>
      </c>
      <c r="S625" s="37"/>
    </row>
    <row r="626" spans="1:19" x14ac:dyDescent="0.2">
      <c r="A626" s="36"/>
      <c r="B626" s="38" t="str">
        <f>IF(MasterFees[[#This Row],[RVG Code]]="","",_xlfn.XLOOKUP(MasterFees[[#This Row],[RVG Code]],RVGCodes[Code],RVGCodes[Base Units],"Code not found"))</f>
        <v/>
      </c>
      <c r="C626" s="37" t="s">
        <v>624</v>
      </c>
      <c r="D626" s="44" t="s">
        <v>1108</v>
      </c>
      <c r="E626" s="44"/>
      <c r="F626" s="44" t="s">
        <v>1109</v>
      </c>
      <c r="G626" s="39">
        <v>10</v>
      </c>
      <c r="H626" s="39">
        <v>24</v>
      </c>
      <c r="I626" s="39">
        <v>0.5</v>
      </c>
      <c r="J626" s="39">
        <v>34.5</v>
      </c>
      <c r="K626" s="40">
        <v>1897.5</v>
      </c>
      <c r="L626" s="45" t="s">
        <v>1015</v>
      </c>
      <c r="M626" s="41" t="str">
        <f>IF(MasterFees[[#This Row],[GST Basis]]="Excl",MasterFees[[#This Row],[Fee as Printed]],IF(MasterFees[[#This Row],[GST Basis]]="Incl",MasterFees[[#This Row],[Fee as Printed]]/(1+GST_Rate),""))</f>
        <v/>
      </c>
      <c r="N626" s="41" t="str">
        <f>IF(MasterFees[[#This Row],[GST Basis]]="Incl",MasterFees[[#This Row],[Fee as Printed]],IF(MasterFees[[#This Row],[GST Basis]]="Excl",MasterFees[[#This Row],[Fee as Printed]]*(1+GST_Rate),""))</f>
        <v/>
      </c>
      <c r="O626" s="42">
        <f>IF(N(MasterFees[[#This Row],[Total Units]])=0,"",MasterFees[[#This Row],[Fee as Printed]]/MasterFees[[#This Row],[Total Units]])</f>
        <v>55</v>
      </c>
      <c r="P626" s="43"/>
      <c r="Q626" s="46" t="s">
        <v>1013</v>
      </c>
      <c r="R626" s="46" t="s">
        <v>1734</v>
      </c>
      <c r="S626" s="37"/>
    </row>
    <row r="627" spans="1:19" x14ac:dyDescent="0.2">
      <c r="A627" s="36"/>
      <c r="B627" s="38" t="str">
        <f>IF(MasterFees[[#This Row],[RVG Code]]="","",_xlfn.XLOOKUP(MasterFees[[#This Row],[RVG Code]],RVGCodes[Code],RVGCodes[Base Units],"Code not found"))</f>
        <v/>
      </c>
      <c r="C627" s="37" t="s">
        <v>625</v>
      </c>
      <c r="D627" s="44" t="s">
        <v>1108</v>
      </c>
      <c r="E627" s="44"/>
      <c r="F627" s="44" t="s">
        <v>1109</v>
      </c>
      <c r="G627" s="39">
        <v>0</v>
      </c>
      <c r="H627" s="39">
        <v>0</v>
      </c>
      <c r="I627" s="39">
        <v>0</v>
      </c>
      <c r="J627" s="39">
        <v>0</v>
      </c>
      <c r="K627" s="40">
        <v>0</v>
      </c>
      <c r="L627" s="45" t="s">
        <v>1015</v>
      </c>
      <c r="M627" s="41" t="str">
        <f>IF(MasterFees[[#This Row],[GST Basis]]="Excl",MasterFees[[#This Row],[Fee as Printed]],IF(MasterFees[[#This Row],[GST Basis]]="Incl",MasterFees[[#This Row],[Fee as Printed]]/(1+GST_Rate),""))</f>
        <v/>
      </c>
      <c r="N627" s="41" t="str">
        <f>IF(MasterFees[[#This Row],[GST Basis]]="Incl",MasterFees[[#This Row],[Fee as Printed]],IF(MasterFees[[#This Row],[GST Basis]]="Excl",MasterFees[[#This Row],[Fee as Printed]]*(1+GST_Rate),""))</f>
        <v/>
      </c>
      <c r="O627" s="42" t="str">
        <f>IF(N(MasterFees[[#This Row],[Total Units]])=0,"",MasterFees[[#This Row],[Fee as Printed]]/MasterFees[[#This Row],[Total Units]])</f>
        <v/>
      </c>
      <c r="P627" s="43"/>
      <c r="Q627" s="46" t="s">
        <v>1013</v>
      </c>
      <c r="R627" s="46" t="s">
        <v>1735</v>
      </c>
      <c r="S627" s="37"/>
    </row>
    <row r="628" spans="1:19" x14ac:dyDescent="0.2">
      <c r="A628" s="36"/>
      <c r="B628" s="38" t="str">
        <f>IF(MasterFees[[#This Row],[RVG Code]]="","",_xlfn.XLOOKUP(MasterFees[[#This Row],[RVG Code]],RVGCodes[Code],RVGCodes[Base Units],"Code not found"))</f>
        <v/>
      </c>
      <c r="C628" s="37" t="s">
        <v>626</v>
      </c>
      <c r="D628" s="44" t="s">
        <v>1108</v>
      </c>
      <c r="E628" s="44"/>
      <c r="F628" s="44" t="s">
        <v>1109</v>
      </c>
      <c r="G628" s="39">
        <v>7.3</v>
      </c>
      <c r="H628" s="39">
        <v>4.3</v>
      </c>
      <c r="I628" s="39">
        <v>1.7</v>
      </c>
      <c r="J628" s="39">
        <v>13.3</v>
      </c>
      <c r="K628" s="40">
        <v>732.6</v>
      </c>
      <c r="L628" s="45" t="s">
        <v>1015</v>
      </c>
      <c r="M628" s="41" t="str">
        <f>IF(MasterFees[[#This Row],[GST Basis]]="Excl",MasterFees[[#This Row],[Fee as Printed]],IF(MasterFees[[#This Row],[GST Basis]]="Incl",MasterFees[[#This Row],[Fee as Printed]]/(1+GST_Rate),""))</f>
        <v/>
      </c>
      <c r="N628" s="41" t="str">
        <f>IF(MasterFees[[#This Row],[GST Basis]]="Incl",MasterFees[[#This Row],[Fee as Printed]],IF(MasterFees[[#This Row],[GST Basis]]="Excl",MasterFees[[#This Row],[Fee as Printed]]*(1+GST_Rate),""))</f>
        <v/>
      </c>
      <c r="O628" s="42">
        <f>IF(N(MasterFees[[#This Row],[Total Units]])=0,"",MasterFees[[#This Row],[Fee as Printed]]/MasterFees[[#This Row],[Total Units]])</f>
        <v>55.082706766917291</v>
      </c>
      <c r="P628" s="43"/>
      <c r="Q628" s="46" t="s">
        <v>1013</v>
      </c>
      <c r="R628" s="46" t="s">
        <v>1736</v>
      </c>
      <c r="S628" s="37"/>
    </row>
    <row r="629" spans="1:19" x14ac:dyDescent="0.2">
      <c r="A629" s="36"/>
      <c r="B629" s="38" t="str">
        <f>IF(MasterFees[[#This Row],[RVG Code]]="","",_xlfn.XLOOKUP(MasterFees[[#This Row],[RVG Code]],RVGCodes[Code],RVGCodes[Base Units],"Code not found"))</f>
        <v/>
      </c>
      <c r="C629" s="37" t="s">
        <v>627</v>
      </c>
      <c r="D629" s="44" t="s">
        <v>1108</v>
      </c>
      <c r="E629" s="44"/>
      <c r="F629" s="44" t="s">
        <v>1109</v>
      </c>
      <c r="G629" s="39">
        <v>0</v>
      </c>
      <c r="H629" s="39">
        <v>0</v>
      </c>
      <c r="I629" s="39">
        <v>0</v>
      </c>
      <c r="J629" s="39">
        <v>0</v>
      </c>
      <c r="K629" s="40">
        <v>0</v>
      </c>
      <c r="L629" s="45" t="s">
        <v>1015</v>
      </c>
      <c r="M629" s="41" t="str">
        <f>IF(MasterFees[[#This Row],[GST Basis]]="Excl",MasterFees[[#This Row],[Fee as Printed]],IF(MasterFees[[#This Row],[GST Basis]]="Incl",MasterFees[[#This Row],[Fee as Printed]]/(1+GST_Rate),""))</f>
        <v/>
      </c>
      <c r="N629" s="41" t="str">
        <f>IF(MasterFees[[#This Row],[GST Basis]]="Incl",MasterFees[[#This Row],[Fee as Printed]],IF(MasterFees[[#This Row],[GST Basis]]="Excl",MasterFees[[#This Row],[Fee as Printed]]*(1+GST_Rate),""))</f>
        <v/>
      </c>
      <c r="O629" s="42" t="str">
        <f>IF(N(MasterFees[[#This Row],[Total Units]])=0,"",MasterFees[[#This Row],[Fee as Printed]]/MasterFees[[#This Row],[Total Units]])</f>
        <v/>
      </c>
      <c r="P629" s="43"/>
      <c r="Q629" s="46" t="s">
        <v>1013</v>
      </c>
      <c r="R629" s="46" t="s">
        <v>1737</v>
      </c>
      <c r="S629" s="37"/>
    </row>
    <row r="630" spans="1:19" x14ac:dyDescent="0.2">
      <c r="A630" s="36"/>
      <c r="B630" s="38" t="str">
        <f>IF(MasterFees[[#This Row],[RVG Code]]="","",_xlfn.XLOOKUP(MasterFees[[#This Row],[RVG Code]],RVGCodes[Code],RVGCodes[Base Units],"Code not found"))</f>
        <v/>
      </c>
      <c r="C630" s="37" t="s">
        <v>628</v>
      </c>
      <c r="D630" s="44" t="s">
        <v>1108</v>
      </c>
      <c r="E630" s="44"/>
      <c r="F630" s="44" t="s">
        <v>1109</v>
      </c>
      <c r="G630" s="39">
        <v>5.0999999999999996</v>
      </c>
      <c r="H630" s="39">
        <v>7.3</v>
      </c>
      <c r="I630" s="39">
        <v>1.9</v>
      </c>
      <c r="J630" s="39">
        <v>14.3</v>
      </c>
      <c r="K630" s="40">
        <v>783.75</v>
      </c>
      <c r="L630" s="45" t="s">
        <v>1015</v>
      </c>
      <c r="M630" s="41" t="str">
        <f>IF(MasterFees[[#This Row],[GST Basis]]="Excl",MasterFees[[#This Row],[Fee as Printed]],IF(MasterFees[[#This Row],[GST Basis]]="Incl",MasterFees[[#This Row],[Fee as Printed]]/(1+GST_Rate),""))</f>
        <v/>
      </c>
      <c r="N630" s="41" t="str">
        <f>IF(MasterFees[[#This Row],[GST Basis]]="Incl",MasterFees[[#This Row],[Fee as Printed]],IF(MasterFees[[#This Row],[GST Basis]]="Excl",MasterFees[[#This Row],[Fee as Printed]]*(1+GST_Rate),""))</f>
        <v/>
      </c>
      <c r="O630" s="42">
        <f>IF(N(MasterFees[[#This Row],[Total Units]])=0,"",MasterFees[[#This Row],[Fee as Printed]]/MasterFees[[#This Row],[Total Units]])</f>
        <v>54.807692307692307</v>
      </c>
      <c r="P630" s="43"/>
      <c r="Q630" s="46" t="s">
        <v>1013</v>
      </c>
      <c r="R630" s="46" t="s">
        <v>1738</v>
      </c>
      <c r="S630" s="37"/>
    </row>
    <row r="631" spans="1:19" x14ac:dyDescent="0.2">
      <c r="A631" s="36"/>
      <c r="B631" s="38" t="str">
        <f>IF(MasterFees[[#This Row],[RVG Code]]="","",_xlfn.XLOOKUP(MasterFees[[#This Row],[RVG Code]],RVGCodes[Code],RVGCodes[Base Units],"Code not found"))</f>
        <v/>
      </c>
      <c r="C631" s="37" t="s">
        <v>629</v>
      </c>
      <c r="D631" s="44" t="s">
        <v>1108</v>
      </c>
      <c r="E631" s="44"/>
      <c r="F631" s="44" t="s">
        <v>1109</v>
      </c>
      <c r="G631" s="39">
        <v>6</v>
      </c>
      <c r="H631" s="39">
        <v>16.3</v>
      </c>
      <c r="I631" s="39">
        <v>0.3</v>
      </c>
      <c r="J631" s="39">
        <v>22.7</v>
      </c>
      <c r="K631" s="40">
        <v>1246.3</v>
      </c>
      <c r="L631" s="45" t="s">
        <v>1015</v>
      </c>
      <c r="M631" s="41" t="str">
        <f>IF(MasterFees[[#This Row],[GST Basis]]="Excl",MasterFees[[#This Row],[Fee as Printed]],IF(MasterFees[[#This Row],[GST Basis]]="Incl",MasterFees[[#This Row],[Fee as Printed]]/(1+GST_Rate),""))</f>
        <v/>
      </c>
      <c r="N631" s="41" t="str">
        <f>IF(MasterFees[[#This Row],[GST Basis]]="Incl",MasterFees[[#This Row],[Fee as Printed]],IF(MasterFees[[#This Row],[GST Basis]]="Excl",MasterFees[[#This Row],[Fee as Printed]]*(1+GST_Rate),""))</f>
        <v/>
      </c>
      <c r="O631" s="42">
        <f>IF(N(MasterFees[[#This Row],[Total Units]])=0,"",MasterFees[[#This Row],[Fee as Printed]]/MasterFees[[#This Row],[Total Units]])</f>
        <v>54.903083700440526</v>
      </c>
      <c r="P631" s="43"/>
      <c r="Q631" s="46" t="s">
        <v>1013</v>
      </c>
      <c r="R631" s="46" t="s">
        <v>1739</v>
      </c>
      <c r="S631" s="37"/>
    </row>
    <row r="632" spans="1:19" x14ac:dyDescent="0.2">
      <c r="A632" s="36"/>
      <c r="B632" s="38" t="str">
        <f>IF(MasterFees[[#This Row],[RVG Code]]="","",_xlfn.XLOOKUP(MasterFees[[#This Row],[RVG Code]],RVGCodes[Code],RVGCodes[Base Units],"Code not found"))</f>
        <v/>
      </c>
      <c r="C632" s="37" t="s">
        <v>630</v>
      </c>
      <c r="D632" s="44" t="s">
        <v>1108</v>
      </c>
      <c r="E632" s="44"/>
      <c r="F632" s="44" t="s">
        <v>1109</v>
      </c>
      <c r="G632" s="39">
        <v>5.2</v>
      </c>
      <c r="H632" s="39">
        <v>12.6</v>
      </c>
      <c r="I632" s="39">
        <v>1.1000000000000001</v>
      </c>
      <c r="J632" s="39">
        <v>18.899999999999999</v>
      </c>
      <c r="K632" s="40">
        <v>1037.8499999999999</v>
      </c>
      <c r="L632" s="45" t="s">
        <v>1015</v>
      </c>
      <c r="M632" s="41" t="str">
        <f>IF(MasterFees[[#This Row],[GST Basis]]="Excl",MasterFees[[#This Row],[Fee as Printed]],IF(MasterFees[[#This Row],[GST Basis]]="Incl",MasterFees[[#This Row],[Fee as Printed]]/(1+GST_Rate),""))</f>
        <v/>
      </c>
      <c r="N632" s="41" t="str">
        <f>IF(MasterFees[[#This Row],[GST Basis]]="Incl",MasterFees[[#This Row],[Fee as Printed]],IF(MasterFees[[#This Row],[GST Basis]]="Excl",MasterFees[[#This Row],[Fee as Printed]]*(1+GST_Rate),""))</f>
        <v/>
      </c>
      <c r="O632" s="42">
        <f>IF(N(MasterFees[[#This Row],[Total Units]])=0,"",MasterFees[[#This Row],[Fee as Printed]]/MasterFees[[#This Row],[Total Units]])</f>
        <v>54.912698412698411</v>
      </c>
      <c r="P632" s="43"/>
      <c r="Q632" s="46" t="s">
        <v>1013</v>
      </c>
      <c r="R632" s="46" t="s">
        <v>1740</v>
      </c>
      <c r="S632" s="37"/>
    </row>
    <row r="633" spans="1:19" x14ac:dyDescent="0.2">
      <c r="A633" s="36"/>
      <c r="B633" s="38" t="str">
        <f>IF(MasterFees[[#This Row],[RVG Code]]="","",_xlfn.XLOOKUP(MasterFees[[#This Row],[RVG Code]],RVGCodes[Code],RVGCodes[Base Units],"Code not found"))</f>
        <v/>
      </c>
      <c r="C633" s="37" t="s">
        <v>631</v>
      </c>
      <c r="D633" s="44" t="s">
        <v>1108</v>
      </c>
      <c r="E633" s="44"/>
      <c r="F633" s="44" t="s">
        <v>1109</v>
      </c>
      <c r="G633" s="39">
        <v>0</v>
      </c>
      <c r="H633" s="39">
        <v>0</v>
      </c>
      <c r="I633" s="39">
        <v>0</v>
      </c>
      <c r="J633" s="39">
        <v>0</v>
      </c>
      <c r="K633" s="40">
        <v>0</v>
      </c>
      <c r="L633" s="45" t="s">
        <v>1015</v>
      </c>
      <c r="M633" s="41" t="str">
        <f>IF(MasterFees[[#This Row],[GST Basis]]="Excl",MasterFees[[#This Row],[Fee as Printed]],IF(MasterFees[[#This Row],[GST Basis]]="Incl",MasterFees[[#This Row],[Fee as Printed]]/(1+GST_Rate),""))</f>
        <v/>
      </c>
      <c r="N633" s="41" t="str">
        <f>IF(MasterFees[[#This Row],[GST Basis]]="Incl",MasterFees[[#This Row],[Fee as Printed]],IF(MasterFees[[#This Row],[GST Basis]]="Excl",MasterFees[[#This Row],[Fee as Printed]]*(1+GST_Rate),""))</f>
        <v/>
      </c>
      <c r="O633" s="42" t="str">
        <f>IF(N(MasterFees[[#This Row],[Total Units]])=0,"",MasterFees[[#This Row],[Fee as Printed]]/MasterFees[[#This Row],[Total Units]])</f>
        <v/>
      </c>
      <c r="P633" s="43"/>
      <c r="Q633" s="46" t="s">
        <v>1013</v>
      </c>
      <c r="R633" s="46" t="s">
        <v>1741</v>
      </c>
      <c r="S633" s="37"/>
    </row>
    <row r="634" spans="1:19" x14ac:dyDescent="0.2">
      <c r="A634" s="36"/>
      <c r="B634" s="38" t="str">
        <f>IF(MasterFees[[#This Row],[RVG Code]]="","",_xlfn.XLOOKUP(MasterFees[[#This Row],[RVG Code]],RVGCodes[Code],RVGCodes[Base Units],"Code not found"))</f>
        <v/>
      </c>
      <c r="C634" s="37" t="s">
        <v>632</v>
      </c>
      <c r="D634" s="44" t="s">
        <v>1108</v>
      </c>
      <c r="E634" s="44"/>
      <c r="F634" s="44" t="s">
        <v>1109</v>
      </c>
      <c r="G634" s="39">
        <v>4.3</v>
      </c>
      <c r="H634" s="39">
        <v>2.2999999999999998</v>
      </c>
      <c r="I634" s="39">
        <v>0.2</v>
      </c>
      <c r="J634" s="39">
        <v>6.8</v>
      </c>
      <c r="K634" s="40">
        <v>374</v>
      </c>
      <c r="L634" s="45" t="s">
        <v>1015</v>
      </c>
      <c r="M634" s="41" t="str">
        <f>IF(MasterFees[[#This Row],[GST Basis]]="Excl",MasterFees[[#This Row],[Fee as Printed]],IF(MasterFees[[#This Row],[GST Basis]]="Incl",MasterFees[[#This Row],[Fee as Printed]]/(1+GST_Rate),""))</f>
        <v/>
      </c>
      <c r="N634" s="41" t="str">
        <f>IF(MasterFees[[#This Row],[GST Basis]]="Incl",MasterFees[[#This Row],[Fee as Printed]],IF(MasterFees[[#This Row],[GST Basis]]="Excl",MasterFees[[#This Row],[Fee as Printed]]*(1+GST_Rate),""))</f>
        <v/>
      </c>
      <c r="O634" s="42">
        <f>IF(N(MasterFees[[#This Row],[Total Units]])=0,"",MasterFees[[#This Row],[Fee as Printed]]/MasterFees[[#This Row],[Total Units]])</f>
        <v>55</v>
      </c>
      <c r="P634" s="43"/>
      <c r="Q634" s="46" t="s">
        <v>1013</v>
      </c>
      <c r="R634" s="46" t="s">
        <v>1742</v>
      </c>
      <c r="S634" s="37"/>
    </row>
    <row r="635" spans="1:19" x14ac:dyDescent="0.2">
      <c r="A635" s="36"/>
      <c r="B635" s="38" t="str">
        <f>IF(MasterFees[[#This Row],[RVG Code]]="","",_xlfn.XLOOKUP(MasterFees[[#This Row],[RVG Code]],RVGCodes[Code],RVGCodes[Base Units],"Code not found"))</f>
        <v/>
      </c>
      <c r="C635" s="37" t="s">
        <v>633</v>
      </c>
      <c r="D635" s="44" t="s">
        <v>1108</v>
      </c>
      <c r="E635" s="44"/>
      <c r="F635" s="44" t="s">
        <v>1109</v>
      </c>
      <c r="G635" s="39">
        <v>4</v>
      </c>
      <c r="H635" s="39">
        <v>3</v>
      </c>
      <c r="I635" s="39">
        <v>0</v>
      </c>
      <c r="J635" s="39">
        <v>7</v>
      </c>
      <c r="K635" s="40">
        <v>385</v>
      </c>
      <c r="L635" s="45" t="s">
        <v>1015</v>
      </c>
      <c r="M635" s="41" t="str">
        <f>IF(MasterFees[[#This Row],[GST Basis]]="Excl",MasterFees[[#This Row],[Fee as Printed]],IF(MasterFees[[#This Row],[GST Basis]]="Incl",MasterFees[[#This Row],[Fee as Printed]]/(1+GST_Rate),""))</f>
        <v/>
      </c>
      <c r="N635" s="41" t="str">
        <f>IF(MasterFees[[#This Row],[GST Basis]]="Incl",MasterFees[[#This Row],[Fee as Printed]],IF(MasterFees[[#This Row],[GST Basis]]="Excl",MasterFees[[#This Row],[Fee as Printed]]*(1+GST_Rate),""))</f>
        <v/>
      </c>
      <c r="O635" s="42">
        <f>IF(N(MasterFees[[#This Row],[Total Units]])=0,"",MasterFees[[#This Row],[Fee as Printed]]/MasterFees[[#This Row],[Total Units]])</f>
        <v>55</v>
      </c>
      <c r="P635" s="43"/>
      <c r="Q635" s="46" t="s">
        <v>1013</v>
      </c>
      <c r="R635" s="46" t="s">
        <v>1743</v>
      </c>
      <c r="S635" s="37"/>
    </row>
    <row r="636" spans="1:19" x14ac:dyDescent="0.2">
      <c r="A636" s="36"/>
      <c r="B636" s="38" t="str">
        <f>IF(MasterFees[[#This Row],[RVG Code]]="","",_xlfn.XLOOKUP(MasterFees[[#This Row],[RVG Code]],RVGCodes[Code],RVGCodes[Base Units],"Code not found"))</f>
        <v/>
      </c>
      <c r="C636" s="37" t="s">
        <v>634</v>
      </c>
      <c r="D636" s="44" t="s">
        <v>1108</v>
      </c>
      <c r="E636" s="44"/>
      <c r="F636" s="44" t="s">
        <v>1109</v>
      </c>
      <c r="G636" s="39">
        <v>8</v>
      </c>
      <c r="H636" s="39">
        <v>10.5</v>
      </c>
      <c r="I636" s="39">
        <v>2</v>
      </c>
      <c r="J636" s="39">
        <v>20.5</v>
      </c>
      <c r="K636" s="40">
        <v>1127.5</v>
      </c>
      <c r="L636" s="45" t="s">
        <v>1015</v>
      </c>
      <c r="M636" s="41" t="str">
        <f>IF(MasterFees[[#This Row],[GST Basis]]="Excl",MasterFees[[#This Row],[Fee as Printed]],IF(MasterFees[[#This Row],[GST Basis]]="Incl",MasterFees[[#This Row],[Fee as Printed]]/(1+GST_Rate),""))</f>
        <v/>
      </c>
      <c r="N636" s="41" t="str">
        <f>IF(MasterFees[[#This Row],[GST Basis]]="Incl",MasterFees[[#This Row],[Fee as Printed]],IF(MasterFees[[#This Row],[GST Basis]]="Excl",MasterFees[[#This Row],[Fee as Printed]]*(1+GST_Rate),""))</f>
        <v/>
      </c>
      <c r="O636" s="42">
        <f>IF(N(MasterFees[[#This Row],[Total Units]])=0,"",MasterFees[[#This Row],[Fee as Printed]]/MasterFees[[#This Row],[Total Units]])</f>
        <v>55</v>
      </c>
      <c r="P636" s="43"/>
      <c r="Q636" s="46" t="s">
        <v>1013</v>
      </c>
      <c r="R636" s="46" t="s">
        <v>1744</v>
      </c>
      <c r="S636" s="37"/>
    </row>
    <row r="637" spans="1:19" x14ac:dyDescent="0.2">
      <c r="A637" s="36"/>
      <c r="B637" s="38" t="str">
        <f>IF(MasterFees[[#This Row],[RVG Code]]="","",_xlfn.XLOOKUP(MasterFees[[#This Row],[RVG Code]],RVGCodes[Code],RVGCodes[Base Units],"Code not found"))</f>
        <v/>
      </c>
      <c r="C637" s="37" t="s">
        <v>635</v>
      </c>
      <c r="D637" s="44" t="s">
        <v>1108</v>
      </c>
      <c r="E637" s="44"/>
      <c r="F637" s="44" t="s">
        <v>1109</v>
      </c>
      <c r="G637" s="39">
        <v>4.0999999999999996</v>
      </c>
      <c r="H637" s="39">
        <v>3.2</v>
      </c>
      <c r="I637" s="39">
        <v>0.8</v>
      </c>
      <c r="J637" s="39">
        <v>8.1</v>
      </c>
      <c r="K637" s="40">
        <v>444.4</v>
      </c>
      <c r="L637" s="45" t="s">
        <v>1015</v>
      </c>
      <c r="M637" s="41" t="str">
        <f>IF(MasterFees[[#This Row],[GST Basis]]="Excl",MasterFees[[#This Row],[Fee as Printed]],IF(MasterFees[[#This Row],[GST Basis]]="Incl",MasterFees[[#This Row],[Fee as Printed]]/(1+GST_Rate),""))</f>
        <v/>
      </c>
      <c r="N637" s="41" t="str">
        <f>IF(MasterFees[[#This Row],[GST Basis]]="Incl",MasterFees[[#This Row],[Fee as Printed]],IF(MasterFees[[#This Row],[GST Basis]]="Excl",MasterFees[[#This Row],[Fee as Printed]]*(1+GST_Rate),""))</f>
        <v/>
      </c>
      <c r="O637" s="42">
        <f>IF(N(MasterFees[[#This Row],[Total Units]])=0,"",MasterFees[[#This Row],[Fee as Printed]]/MasterFees[[#This Row],[Total Units]])</f>
        <v>54.864197530864196</v>
      </c>
      <c r="P637" s="43"/>
      <c r="Q637" s="46" t="s">
        <v>1013</v>
      </c>
      <c r="R637" s="46" t="s">
        <v>1745</v>
      </c>
      <c r="S637" s="37"/>
    </row>
    <row r="638" spans="1:19" x14ac:dyDescent="0.2">
      <c r="A638" s="36"/>
      <c r="B638" s="38" t="str">
        <f>IF(MasterFees[[#This Row],[RVG Code]]="","",_xlfn.XLOOKUP(MasterFees[[#This Row],[RVG Code]],RVGCodes[Code],RVGCodes[Base Units],"Code not found"))</f>
        <v/>
      </c>
      <c r="C638" s="37" t="s">
        <v>636</v>
      </c>
      <c r="D638" s="44" t="s">
        <v>1108</v>
      </c>
      <c r="E638" s="44"/>
      <c r="F638" s="44" t="s">
        <v>1109</v>
      </c>
      <c r="G638" s="39">
        <v>4.5</v>
      </c>
      <c r="H638" s="39">
        <v>4</v>
      </c>
      <c r="I638" s="39">
        <v>1.6</v>
      </c>
      <c r="J638" s="39">
        <v>10.1</v>
      </c>
      <c r="K638" s="40">
        <v>553.85</v>
      </c>
      <c r="L638" s="45" t="s">
        <v>1015</v>
      </c>
      <c r="M638" s="41" t="str">
        <f>IF(MasterFees[[#This Row],[GST Basis]]="Excl",MasterFees[[#This Row],[Fee as Printed]],IF(MasterFees[[#This Row],[GST Basis]]="Incl",MasterFees[[#This Row],[Fee as Printed]]/(1+GST_Rate),""))</f>
        <v/>
      </c>
      <c r="N638" s="41" t="str">
        <f>IF(MasterFees[[#This Row],[GST Basis]]="Incl",MasterFees[[#This Row],[Fee as Printed]],IF(MasterFees[[#This Row],[GST Basis]]="Excl",MasterFees[[#This Row],[Fee as Printed]]*(1+GST_Rate),""))</f>
        <v/>
      </c>
      <c r="O638" s="42">
        <f>IF(N(MasterFees[[#This Row],[Total Units]])=0,"",MasterFees[[#This Row],[Fee as Printed]]/MasterFees[[#This Row],[Total Units]])</f>
        <v>54.836633663366342</v>
      </c>
      <c r="P638" s="43"/>
      <c r="Q638" s="46" t="s">
        <v>1013</v>
      </c>
      <c r="R638" s="46" t="s">
        <v>1746</v>
      </c>
      <c r="S638" s="37"/>
    </row>
    <row r="639" spans="1:19" x14ac:dyDescent="0.2">
      <c r="A639" s="36"/>
      <c r="B639" s="38" t="str">
        <f>IF(MasterFees[[#This Row],[RVG Code]]="","",_xlfn.XLOOKUP(MasterFees[[#This Row],[RVG Code]],RVGCodes[Code],RVGCodes[Base Units],"Code not found"))</f>
        <v/>
      </c>
      <c r="C639" s="37" t="s">
        <v>637</v>
      </c>
      <c r="D639" s="44" t="s">
        <v>1108</v>
      </c>
      <c r="E639" s="44"/>
      <c r="F639" s="44" t="s">
        <v>1109</v>
      </c>
      <c r="G639" s="39">
        <v>8</v>
      </c>
      <c r="H639" s="39">
        <v>6</v>
      </c>
      <c r="I639" s="39">
        <v>1</v>
      </c>
      <c r="J639" s="39">
        <v>15</v>
      </c>
      <c r="K639" s="40">
        <v>825</v>
      </c>
      <c r="L639" s="45" t="s">
        <v>1015</v>
      </c>
      <c r="M639" s="41" t="str">
        <f>IF(MasterFees[[#This Row],[GST Basis]]="Excl",MasterFees[[#This Row],[Fee as Printed]],IF(MasterFees[[#This Row],[GST Basis]]="Incl",MasterFees[[#This Row],[Fee as Printed]]/(1+GST_Rate),""))</f>
        <v/>
      </c>
      <c r="N639" s="41" t="str">
        <f>IF(MasterFees[[#This Row],[GST Basis]]="Incl",MasterFees[[#This Row],[Fee as Printed]],IF(MasterFees[[#This Row],[GST Basis]]="Excl",MasterFees[[#This Row],[Fee as Printed]]*(1+GST_Rate),""))</f>
        <v/>
      </c>
      <c r="O639" s="42">
        <f>IF(N(MasterFees[[#This Row],[Total Units]])=0,"",MasterFees[[#This Row],[Fee as Printed]]/MasterFees[[#This Row],[Total Units]])</f>
        <v>55</v>
      </c>
      <c r="P639" s="43"/>
      <c r="Q639" s="46" t="s">
        <v>1013</v>
      </c>
      <c r="R639" s="46" t="s">
        <v>1747</v>
      </c>
      <c r="S639" s="37"/>
    </row>
    <row r="640" spans="1:19" x14ac:dyDescent="0.2">
      <c r="A640" s="36"/>
      <c r="B640" s="38" t="str">
        <f>IF(MasterFees[[#This Row],[RVG Code]]="","",_xlfn.XLOOKUP(MasterFees[[#This Row],[RVG Code]],RVGCodes[Code],RVGCodes[Base Units],"Code not found"))</f>
        <v/>
      </c>
      <c r="C640" s="37" t="s">
        <v>638</v>
      </c>
      <c r="D640" s="44" t="s">
        <v>1108</v>
      </c>
      <c r="E640" s="44"/>
      <c r="F640" s="44" t="s">
        <v>1109</v>
      </c>
      <c r="G640" s="39">
        <v>4.5999999999999996</v>
      </c>
      <c r="H640" s="39">
        <v>4.4000000000000004</v>
      </c>
      <c r="I640" s="39">
        <v>0.6</v>
      </c>
      <c r="J640" s="39">
        <v>9.6</v>
      </c>
      <c r="K640" s="40">
        <v>528</v>
      </c>
      <c r="L640" s="45" t="s">
        <v>1015</v>
      </c>
      <c r="M640" s="41" t="str">
        <f>IF(MasterFees[[#This Row],[GST Basis]]="Excl",MasterFees[[#This Row],[Fee as Printed]],IF(MasterFees[[#This Row],[GST Basis]]="Incl",MasterFees[[#This Row],[Fee as Printed]]/(1+GST_Rate),""))</f>
        <v/>
      </c>
      <c r="N640" s="41" t="str">
        <f>IF(MasterFees[[#This Row],[GST Basis]]="Incl",MasterFees[[#This Row],[Fee as Printed]],IF(MasterFees[[#This Row],[GST Basis]]="Excl",MasterFees[[#This Row],[Fee as Printed]]*(1+GST_Rate),""))</f>
        <v/>
      </c>
      <c r="O640" s="42">
        <f>IF(N(MasterFees[[#This Row],[Total Units]])=0,"",MasterFees[[#This Row],[Fee as Printed]]/MasterFees[[#This Row],[Total Units]])</f>
        <v>55</v>
      </c>
      <c r="P640" s="43"/>
      <c r="Q640" s="46" t="s">
        <v>1013</v>
      </c>
      <c r="R640" s="46" t="s">
        <v>1748</v>
      </c>
      <c r="S640" s="37"/>
    </row>
    <row r="641" spans="1:19" x14ac:dyDescent="0.2">
      <c r="A641" s="36"/>
      <c r="B641" s="38" t="str">
        <f>IF(MasterFees[[#This Row],[RVG Code]]="","",_xlfn.XLOOKUP(MasterFees[[#This Row],[RVG Code]],RVGCodes[Code],RVGCodes[Base Units],"Code not found"))</f>
        <v/>
      </c>
      <c r="C641" s="37" t="s">
        <v>639</v>
      </c>
      <c r="D641" s="44" t="s">
        <v>1108</v>
      </c>
      <c r="E641" s="44"/>
      <c r="F641" s="44" t="s">
        <v>1109</v>
      </c>
      <c r="G641" s="39">
        <v>5.3</v>
      </c>
      <c r="H641" s="39">
        <v>2.8</v>
      </c>
      <c r="I641" s="39">
        <v>0.7</v>
      </c>
      <c r="J641" s="39">
        <v>8.8000000000000007</v>
      </c>
      <c r="K641" s="40">
        <v>484</v>
      </c>
      <c r="L641" s="45" t="s">
        <v>1015</v>
      </c>
      <c r="M641" s="41" t="str">
        <f>IF(MasterFees[[#This Row],[GST Basis]]="Excl",MasterFees[[#This Row],[Fee as Printed]],IF(MasterFees[[#This Row],[GST Basis]]="Incl",MasterFees[[#This Row],[Fee as Printed]]/(1+GST_Rate),""))</f>
        <v/>
      </c>
      <c r="N641" s="41" t="str">
        <f>IF(MasterFees[[#This Row],[GST Basis]]="Incl",MasterFees[[#This Row],[Fee as Printed]],IF(MasterFees[[#This Row],[GST Basis]]="Excl",MasterFees[[#This Row],[Fee as Printed]]*(1+GST_Rate),""))</f>
        <v/>
      </c>
      <c r="O641" s="42">
        <f>IF(N(MasterFees[[#This Row],[Total Units]])=0,"",MasterFees[[#This Row],[Fee as Printed]]/MasterFees[[#This Row],[Total Units]])</f>
        <v>54.999999999999993</v>
      </c>
      <c r="P641" s="43"/>
      <c r="Q641" s="46" t="s">
        <v>1013</v>
      </c>
      <c r="R641" s="46" t="s">
        <v>1749</v>
      </c>
      <c r="S641" s="37"/>
    </row>
    <row r="642" spans="1:19" x14ac:dyDescent="0.2">
      <c r="A642" s="36"/>
      <c r="B642" s="38" t="str">
        <f>IF(MasterFees[[#This Row],[RVG Code]]="","",_xlfn.XLOOKUP(MasterFees[[#This Row],[RVG Code]],RVGCodes[Code],RVGCodes[Base Units],"Code not found"))</f>
        <v/>
      </c>
      <c r="C642" s="37" t="s">
        <v>640</v>
      </c>
      <c r="D642" s="44" t="s">
        <v>1108</v>
      </c>
      <c r="E642" s="44"/>
      <c r="F642" s="44" t="s">
        <v>1109</v>
      </c>
      <c r="G642" s="39">
        <v>1.2</v>
      </c>
      <c r="H642" s="39">
        <v>1.3</v>
      </c>
      <c r="I642" s="39">
        <v>0</v>
      </c>
      <c r="J642" s="39">
        <v>2.5</v>
      </c>
      <c r="K642" s="40">
        <v>136.94999999999999</v>
      </c>
      <c r="L642" s="45" t="s">
        <v>1015</v>
      </c>
      <c r="M642" s="41" t="str">
        <f>IF(MasterFees[[#This Row],[GST Basis]]="Excl",MasterFees[[#This Row],[Fee as Printed]],IF(MasterFees[[#This Row],[GST Basis]]="Incl",MasterFees[[#This Row],[Fee as Printed]]/(1+GST_Rate),""))</f>
        <v/>
      </c>
      <c r="N642" s="41" t="str">
        <f>IF(MasterFees[[#This Row],[GST Basis]]="Incl",MasterFees[[#This Row],[Fee as Printed]],IF(MasterFees[[#This Row],[GST Basis]]="Excl",MasterFees[[#This Row],[Fee as Printed]]*(1+GST_Rate),""))</f>
        <v/>
      </c>
      <c r="O642" s="42">
        <f>IF(N(MasterFees[[#This Row],[Total Units]])=0,"",MasterFees[[#This Row],[Fee as Printed]]/MasterFees[[#This Row],[Total Units]])</f>
        <v>54.779999999999994</v>
      </c>
      <c r="P642" s="43"/>
      <c r="Q642" s="46" t="s">
        <v>1013</v>
      </c>
      <c r="R642" s="46" t="s">
        <v>1750</v>
      </c>
      <c r="S642" s="37"/>
    </row>
    <row r="643" spans="1:19" x14ac:dyDescent="0.2">
      <c r="A643" s="36"/>
      <c r="B643" s="38" t="str">
        <f>IF(MasterFees[[#This Row],[RVG Code]]="","",_xlfn.XLOOKUP(MasterFees[[#This Row],[RVG Code]],RVGCodes[Code],RVGCodes[Base Units],"Code not found"))</f>
        <v/>
      </c>
      <c r="C643" s="37" t="s">
        <v>641</v>
      </c>
      <c r="D643" s="44" t="s">
        <v>1108</v>
      </c>
      <c r="E643" s="44"/>
      <c r="F643" s="44" t="s">
        <v>1109</v>
      </c>
      <c r="G643" s="39">
        <v>17.5</v>
      </c>
      <c r="H643" s="39">
        <v>21.2</v>
      </c>
      <c r="I643" s="39">
        <v>3.5</v>
      </c>
      <c r="J643" s="39">
        <v>42.1</v>
      </c>
      <c r="K643" s="40">
        <v>2314.4</v>
      </c>
      <c r="L643" s="45" t="s">
        <v>1015</v>
      </c>
      <c r="M643" s="41" t="str">
        <f>IF(MasterFees[[#This Row],[GST Basis]]="Excl",MasterFees[[#This Row],[Fee as Printed]],IF(MasterFees[[#This Row],[GST Basis]]="Incl",MasterFees[[#This Row],[Fee as Printed]]/(1+GST_Rate),""))</f>
        <v/>
      </c>
      <c r="N643" s="41" t="str">
        <f>IF(MasterFees[[#This Row],[GST Basis]]="Incl",MasterFees[[#This Row],[Fee as Printed]],IF(MasterFees[[#This Row],[GST Basis]]="Excl",MasterFees[[#This Row],[Fee as Printed]]*(1+GST_Rate),""))</f>
        <v/>
      </c>
      <c r="O643" s="42">
        <f>IF(N(MasterFees[[#This Row],[Total Units]])=0,"",MasterFees[[#This Row],[Fee as Printed]]/MasterFees[[#This Row],[Total Units]])</f>
        <v>54.973871733966746</v>
      </c>
      <c r="P643" s="43"/>
      <c r="Q643" s="46" t="s">
        <v>1013</v>
      </c>
      <c r="R643" s="46" t="s">
        <v>1751</v>
      </c>
      <c r="S643" s="37"/>
    </row>
    <row r="644" spans="1:19" x14ac:dyDescent="0.2">
      <c r="A644" s="36"/>
      <c r="B644" s="38" t="str">
        <f>IF(MasterFees[[#This Row],[RVG Code]]="","",_xlfn.XLOOKUP(MasterFees[[#This Row],[RVG Code]],RVGCodes[Code],RVGCodes[Base Units],"Code not found"))</f>
        <v/>
      </c>
      <c r="C644" s="37" t="s">
        <v>642</v>
      </c>
      <c r="D644" s="44" t="s">
        <v>1108</v>
      </c>
      <c r="E644" s="44"/>
      <c r="F644" s="44" t="s">
        <v>1109</v>
      </c>
      <c r="G644" s="39">
        <v>16.3</v>
      </c>
      <c r="H644" s="39">
        <v>19.3</v>
      </c>
      <c r="I644" s="39">
        <v>2.4</v>
      </c>
      <c r="J644" s="39">
        <v>38</v>
      </c>
      <c r="K644" s="40">
        <v>2088.9</v>
      </c>
      <c r="L644" s="45" t="s">
        <v>1015</v>
      </c>
      <c r="M644" s="41" t="str">
        <f>IF(MasterFees[[#This Row],[GST Basis]]="Excl",MasterFees[[#This Row],[Fee as Printed]],IF(MasterFees[[#This Row],[GST Basis]]="Incl",MasterFees[[#This Row],[Fee as Printed]]/(1+GST_Rate),""))</f>
        <v/>
      </c>
      <c r="N644" s="41" t="str">
        <f>IF(MasterFees[[#This Row],[GST Basis]]="Incl",MasterFees[[#This Row],[Fee as Printed]],IF(MasterFees[[#This Row],[GST Basis]]="Excl",MasterFees[[#This Row],[Fee as Printed]]*(1+GST_Rate),""))</f>
        <v/>
      </c>
      <c r="O644" s="42">
        <f>IF(N(MasterFees[[#This Row],[Total Units]])=0,"",MasterFees[[#This Row],[Fee as Printed]]/MasterFees[[#This Row],[Total Units]])</f>
        <v>54.971052631578949</v>
      </c>
      <c r="P644" s="43"/>
      <c r="Q644" s="46" t="s">
        <v>1013</v>
      </c>
      <c r="R644" s="46" t="s">
        <v>1752</v>
      </c>
      <c r="S644" s="37"/>
    </row>
    <row r="645" spans="1:19" x14ac:dyDescent="0.2">
      <c r="A645" s="36"/>
      <c r="B645" s="38" t="str">
        <f>IF(MasterFees[[#This Row],[RVG Code]]="","",_xlfn.XLOOKUP(MasterFees[[#This Row],[RVG Code]],RVGCodes[Code],RVGCodes[Base Units],"Code not found"))</f>
        <v/>
      </c>
      <c r="C645" s="37" t="s">
        <v>643</v>
      </c>
      <c r="D645" s="44" t="s">
        <v>1108</v>
      </c>
      <c r="E645" s="44"/>
      <c r="F645" s="44" t="s">
        <v>1109</v>
      </c>
      <c r="G645" s="39">
        <v>5.4</v>
      </c>
      <c r="H645" s="39">
        <v>6.8</v>
      </c>
      <c r="I645" s="39">
        <v>2</v>
      </c>
      <c r="J645" s="39">
        <v>14.2</v>
      </c>
      <c r="K645" s="40">
        <v>781</v>
      </c>
      <c r="L645" s="45" t="s">
        <v>1015</v>
      </c>
      <c r="M645" s="41" t="str">
        <f>IF(MasterFees[[#This Row],[GST Basis]]="Excl",MasterFees[[#This Row],[Fee as Printed]],IF(MasterFees[[#This Row],[GST Basis]]="Incl",MasterFees[[#This Row],[Fee as Printed]]/(1+GST_Rate),""))</f>
        <v/>
      </c>
      <c r="N645" s="41" t="str">
        <f>IF(MasterFees[[#This Row],[GST Basis]]="Incl",MasterFees[[#This Row],[Fee as Printed]],IF(MasterFees[[#This Row],[GST Basis]]="Excl",MasterFees[[#This Row],[Fee as Printed]]*(1+GST_Rate),""))</f>
        <v/>
      </c>
      <c r="O645" s="42">
        <f>IF(N(MasterFees[[#This Row],[Total Units]])=0,"",MasterFees[[#This Row],[Fee as Printed]]/MasterFees[[#This Row],[Total Units]])</f>
        <v>55</v>
      </c>
      <c r="P645" s="43"/>
      <c r="Q645" s="46" t="s">
        <v>1013</v>
      </c>
      <c r="R645" s="46" t="s">
        <v>1753</v>
      </c>
      <c r="S645" s="37"/>
    </row>
    <row r="646" spans="1:19" x14ac:dyDescent="0.2">
      <c r="A646" s="36"/>
      <c r="B646" s="38" t="str">
        <f>IF(MasterFees[[#This Row],[RVG Code]]="","",_xlfn.XLOOKUP(MasterFees[[#This Row],[RVG Code]],RVGCodes[Code],RVGCodes[Base Units],"Code not found"))</f>
        <v/>
      </c>
      <c r="C646" s="37" t="s">
        <v>644</v>
      </c>
      <c r="D646" s="44" t="s">
        <v>1108</v>
      </c>
      <c r="E646" s="44"/>
      <c r="F646" s="44" t="s">
        <v>1109</v>
      </c>
      <c r="G646" s="39">
        <v>0</v>
      </c>
      <c r="H646" s="39">
        <v>0</v>
      </c>
      <c r="I646" s="39">
        <v>0</v>
      </c>
      <c r="J646" s="39">
        <v>0</v>
      </c>
      <c r="K646" s="40">
        <v>0</v>
      </c>
      <c r="L646" s="45" t="s">
        <v>1015</v>
      </c>
      <c r="M646" s="41" t="str">
        <f>IF(MasterFees[[#This Row],[GST Basis]]="Excl",MasterFees[[#This Row],[Fee as Printed]],IF(MasterFees[[#This Row],[GST Basis]]="Incl",MasterFees[[#This Row],[Fee as Printed]]/(1+GST_Rate),""))</f>
        <v/>
      </c>
      <c r="N646" s="41" t="str">
        <f>IF(MasterFees[[#This Row],[GST Basis]]="Incl",MasterFees[[#This Row],[Fee as Printed]],IF(MasterFees[[#This Row],[GST Basis]]="Excl",MasterFees[[#This Row],[Fee as Printed]]*(1+GST_Rate),""))</f>
        <v/>
      </c>
      <c r="O646" s="42" t="str">
        <f>IF(N(MasterFees[[#This Row],[Total Units]])=0,"",MasterFees[[#This Row],[Fee as Printed]]/MasterFees[[#This Row],[Total Units]])</f>
        <v/>
      </c>
      <c r="P646" s="43"/>
      <c r="Q646" s="46" t="s">
        <v>1013</v>
      </c>
      <c r="R646" s="46" t="s">
        <v>1754</v>
      </c>
      <c r="S646" s="37"/>
    </row>
    <row r="647" spans="1:19" x14ac:dyDescent="0.2">
      <c r="A647" s="36"/>
      <c r="B647" s="38" t="str">
        <f>IF(MasterFees[[#This Row],[RVG Code]]="","",_xlfn.XLOOKUP(MasterFees[[#This Row],[RVG Code]],RVGCodes[Code],RVGCodes[Base Units],"Code not found"))</f>
        <v/>
      </c>
      <c r="C647" s="37" t="s">
        <v>645</v>
      </c>
      <c r="D647" s="44" t="s">
        <v>1108</v>
      </c>
      <c r="E647" s="44"/>
      <c r="F647" s="44" t="s">
        <v>1109</v>
      </c>
      <c r="G647" s="39">
        <v>3.2</v>
      </c>
      <c r="H647" s="39">
        <v>2</v>
      </c>
      <c r="I647" s="39">
        <v>0.4</v>
      </c>
      <c r="J647" s="39">
        <v>5.6</v>
      </c>
      <c r="K647" s="40">
        <v>308</v>
      </c>
      <c r="L647" s="45" t="s">
        <v>1015</v>
      </c>
      <c r="M647" s="41" t="str">
        <f>IF(MasterFees[[#This Row],[GST Basis]]="Excl",MasterFees[[#This Row],[Fee as Printed]],IF(MasterFees[[#This Row],[GST Basis]]="Incl",MasterFees[[#This Row],[Fee as Printed]]/(1+GST_Rate),""))</f>
        <v/>
      </c>
      <c r="N647" s="41" t="str">
        <f>IF(MasterFees[[#This Row],[GST Basis]]="Incl",MasterFees[[#This Row],[Fee as Printed]],IF(MasterFees[[#This Row],[GST Basis]]="Excl",MasterFees[[#This Row],[Fee as Printed]]*(1+GST_Rate),""))</f>
        <v/>
      </c>
      <c r="O647" s="42">
        <f>IF(N(MasterFees[[#This Row],[Total Units]])=0,"",MasterFees[[#This Row],[Fee as Printed]]/MasterFees[[#This Row],[Total Units]])</f>
        <v>55</v>
      </c>
      <c r="P647" s="43"/>
      <c r="Q647" s="46" t="s">
        <v>1013</v>
      </c>
      <c r="R647" s="46" t="s">
        <v>1755</v>
      </c>
      <c r="S647" s="37"/>
    </row>
    <row r="648" spans="1:19" x14ac:dyDescent="0.2">
      <c r="A648" s="36"/>
      <c r="B648" s="38" t="str">
        <f>IF(MasterFees[[#This Row],[RVG Code]]="","",_xlfn.XLOOKUP(MasterFees[[#This Row],[RVG Code]],RVGCodes[Code],RVGCodes[Base Units],"Code not found"))</f>
        <v/>
      </c>
      <c r="C648" s="37" t="s">
        <v>646</v>
      </c>
      <c r="D648" s="44" t="s">
        <v>1108</v>
      </c>
      <c r="E648" s="44"/>
      <c r="F648" s="44" t="s">
        <v>1109</v>
      </c>
      <c r="G648" s="39">
        <v>5</v>
      </c>
      <c r="H648" s="39">
        <v>8.5</v>
      </c>
      <c r="I648" s="39">
        <v>3</v>
      </c>
      <c r="J648" s="39">
        <v>16.5</v>
      </c>
      <c r="K648" s="40">
        <v>907.5</v>
      </c>
      <c r="L648" s="45" t="s">
        <v>1015</v>
      </c>
      <c r="M648" s="41" t="str">
        <f>IF(MasterFees[[#This Row],[GST Basis]]="Excl",MasterFees[[#This Row],[Fee as Printed]],IF(MasterFees[[#This Row],[GST Basis]]="Incl",MasterFees[[#This Row],[Fee as Printed]]/(1+GST_Rate),""))</f>
        <v/>
      </c>
      <c r="N648" s="41" t="str">
        <f>IF(MasterFees[[#This Row],[GST Basis]]="Incl",MasterFees[[#This Row],[Fee as Printed]],IF(MasterFees[[#This Row],[GST Basis]]="Excl",MasterFees[[#This Row],[Fee as Printed]]*(1+GST_Rate),""))</f>
        <v/>
      </c>
      <c r="O648" s="42">
        <f>IF(N(MasterFees[[#This Row],[Total Units]])=0,"",MasterFees[[#This Row],[Fee as Printed]]/MasterFees[[#This Row],[Total Units]])</f>
        <v>55</v>
      </c>
      <c r="P648" s="43"/>
      <c r="Q648" s="46" t="s">
        <v>1013</v>
      </c>
      <c r="R648" s="46" t="s">
        <v>1756</v>
      </c>
      <c r="S648" s="37"/>
    </row>
    <row r="649" spans="1:19" x14ac:dyDescent="0.2">
      <c r="A649" s="36"/>
      <c r="B649" s="38" t="str">
        <f>IF(MasterFees[[#This Row],[RVG Code]]="","",_xlfn.XLOOKUP(MasterFees[[#This Row],[RVG Code]],RVGCodes[Code],RVGCodes[Base Units],"Code not found"))</f>
        <v/>
      </c>
      <c r="C649" s="37" t="s">
        <v>647</v>
      </c>
      <c r="D649" s="44" t="s">
        <v>1108</v>
      </c>
      <c r="E649" s="44"/>
      <c r="F649" s="44" t="s">
        <v>1109</v>
      </c>
      <c r="G649" s="39">
        <v>5</v>
      </c>
      <c r="H649" s="39">
        <v>6</v>
      </c>
      <c r="I649" s="39">
        <v>5</v>
      </c>
      <c r="J649" s="39">
        <v>16</v>
      </c>
      <c r="K649" s="40">
        <v>880</v>
      </c>
      <c r="L649" s="45" t="s">
        <v>1015</v>
      </c>
      <c r="M649" s="41" t="str">
        <f>IF(MasterFees[[#This Row],[GST Basis]]="Excl",MasterFees[[#This Row],[Fee as Printed]],IF(MasterFees[[#This Row],[GST Basis]]="Incl",MasterFees[[#This Row],[Fee as Printed]]/(1+GST_Rate),""))</f>
        <v/>
      </c>
      <c r="N649" s="41" t="str">
        <f>IF(MasterFees[[#This Row],[GST Basis]]="Incl",MasterFees[[#This Row],[Fee as Printed]],IF(MasterFees[[#This Row],[GST Basis]]="Excl",MasterFees[[#This Row],[Fee as Printed]]*(1+GST_Rate),""))</f>
        <v/>
      </c>
      <c r="O649" s="42">
        <f>IF(N(MasterFees[[#This Row],[Total Units]])=0,"",MasterFees[[#This Row],[Fee as Printed]]/MasterFees[[#This Row],[Total Units]])</f>
        <v>55</v>
      </c>
      <c r="P649" s="43"/>
      <c r="Q649" s="46" t="s">
        <v>1013</v>
      </c>
      <c r="R649" s="46" t="s">
        <v>1757</v>
      </c>
      <c r="S649" s="37"/>
    </row>
    <row r="650" spans="1:19" x14ac:dyDescent="0.2">
      <c r="A650" s="36"/>
      <c r="B650" s="38" t="str">
        <f>IF(MasterFees[[#This Row],[RVG Code]]="","",_xlfn.XLOOKUP(MasterFees[[#This Row],[RVG Code]],RVGCodes[Code],RVGCodes[Base Units],"Code not found"))</f>
        <v/>
      </c>
      <c r="C650" s="37" t="s">
        <v>648</v>
      </c>
      <c r="D650" s="44" t="s">
        <v>1108</v>
      </c>
      <c r="E650" s="44"/>
      <c r="F650" s="44" t="s">
        <v>1109</v>
      </c>
      <c r="G650" s="39">
        <v>4</v>
      </c>
      <c r="H650" s="39">
        <v>2</v>
      </c>
      <c r="I650" s="39">
        <v>0</v>
      </c>
      <c r="J650" s="39">
        <v>6</v>
      </c>
      <c r="K650" s="40">
        <v>330</v>
      </c>
      <c r="L650" s="45" t="s">
        <v>1015</v>
      </c>
      <c r="M650" s="41" t="str">
        <f>IF(MasterFees[[#This Row],[GST Basis]]="Excl",MasterFees[[#This Row],[Fee as Printed]],IF(MasterFees[[#This Row],[GST Basis]]="Incl",MasterFees[[#This Row],[Fee as Printed]]/(1+GST_Rate),""))</f>
        <v/>
      </c>
      <c r="N650" s="41" t="str">
        <f>IF(MasterFees[[#This Row],[GST Basis]]="Incl",MasterFees[[#This Row],[Fee as Printed]],IF(MasterFees[[#This Row],[GST Basis]]="Excl",MasterFees[[#This Row],[Fee as Printed]]*(1+GST_Rate),""))</f>
        <v/>
      </c>
      <c r="O650" s="42">
        <f>IF(N(MasterFees[[#This Row],[Total Units]])=0,"",MasterFees[[#This Row],[Fee as Printed]]/MasterFees[[#This Row],[Total Units]])</f>
        <v>55</v>
      </c>
      <c r="P650" s="43"/>
      <c r="Q650" s="46" t="s">
        <v>1013</v>
      </c>
      <c r="R650" s="46" t="s">
        <v>1758</v>
      </c>
      <c r="S650" s="37"/>
    </row>
    <row r="651" spans="1:19" x14ac:dyDescent="0.2">
      <c r="A651" s="36"/>
      <c r="B651" s="38" t="str">
        <f>IF(MasterFees[[#This Row],[RVG Code]]="","",_xlfn.XLOOKUP(MasterFees[[#This Row],[RVG Code]],RVGCodes[Code],RVGCodes[Base Units],"Code not found"))</f>
        <v/>
      </c>
      <c r="C651" s="37" t="s">
        <v>649</v>
      </c>
      <c r="D651" s="44" t="s">
        <v>1108</v>
      </c>
      <c r="E651" s="44"/>
      <c r="F651" s="44" t="s">
        <v>1109</v>
      </c>
      <c r="G651" s="39">
        <v>18</v>
      </c>
      <c r="H651" s="39">
        <v>17.7</v>
      </c>
      <c r="I651" s="39">
        <v>3.3</v>
      </c>
      <c r="J651" s="39">
        <v>39</v>
      </c>
      <c r="K651" s="40">
        <v>2144.4499999999998</v>
      </c>
      <c r="L651" s="45" t="s">
        <v>1015</v>
      </c>
      <c r="M651" s="41" t="str">
        <f>IF(MasterFees[[#This Row],[GST Basis]]="Excl",MasterFees[[#This Row],[Fee as Printed]],IF(MasterFees[[#This Row],[GST Basis]]="Incl",MasterFees[[#This Row],[Fee as Printed]]/(1+GST_Rate),""))</f>
        <v/>
      </c>
      <c r="N651" s="41" t="str">
        <f>IF(MasterFees[[#This Row],[GST Basis]]="Incl",MasterFees[[#This Row],[Fee as Printed]],IF(MasterFees[[#This Row],[GST Basis]]="Excl",MasterFees[[#This Row],[Fee as Printed]]*(1+GST_Rate),""))</f>
        <v/>
      </c>
      <c r="O651" s="42">
        <f>IF(N(MasterFees[[#This Row],[Total Units]])=0,"",MasterFees[[#This Row],[Fee as Printed]]/MasterFees[[#This Row],[Total Units]])</f>
        <v>54.985897435897428</v>
      </c>
      <c r="P651" s="43"/>
      <c r="Q651" s="46" t="s">
        <v>1013</v>
      </c>
      <c r="R651" s="46" t="s">
        <v>1759</v>
      </c>
      <c r="S651" s="37"/>
    </row>
    <row r="652" spans="1:19" x14ac:dyDescent="0.2">
      <c r="A652" s="36"/>
      <c r="B652" s="38" t="str">
        <f>IF(MasterFees[[#This Row],[RVG Code]]="","",_xlfn.XLOOKUP(MasterFees[[#This Row],[RVG Code]],RVGCodes[Code],RVGCodes[Base Units],"Code not found"))</f>
        <v/>
      </c>
      <c r="C652" s="37" t="s">
        <v>650</v>
      </c>
      <c r="D652" s="44" t="s">
        <v>1108</v>
      </c>
      <c r="E652" s="44"/>
      <c r="F652" s="44" t="s">
        <v>1109</v>
      </c>
      <c r="G652" s="39">
        <v>6</v>
      </c>
      <c r="H652" s="39">
        <v>8.5</v>
      </c>
      <c r="I652" s="39">
        <v>1</v>
      </c>
      <c r="J652" s="39">
        <v>15.5</v>
      </c>
      <c r="K652" s="40">
        <v>852.5</v>
      </c>
      <c r="L652" s="45" t="s">
        <v>1015</v>
      </c>
      <c r="M652" s="41" t="str">
        <f>IF(MasterFees[[#This Row],[GST Basis]]="Excl",MasterFees[[#This Row],[Fee as Printed]],IF(MasterFees[[#This Row],[GST Basis]]="Incl",MasterFees[[#This Row],[Fee as Printed]]/(1+GST_Rate),""))</f>
        <v/>
      </c>
      <c r="N652" s="41" t="str">
        <f>IF(MasterFees[[#This Row],[GST Basis]]="Incl",MasterFees[[#This Row],[Fee as Printed]],IF(MasterFees[[#This Row],[GST Basis]]="Excl",MasterFees[[#This Row],[Fee as Printed]]*(1+GST_Rate),""))</f>
        <v/>
      </c>
      <c r="O652" s="42">
        <f>IF(N(MasterFees[[#This Row],[Total Units]])=0,"",MasterFees[[#This Row],[Fee as Printed]]/MasterFees[[#This Row],[Total Units]])</f>
        <v>55</v>
      </c>
      <c r="P652" s="43"/>
      <c r="Q652" s="46" t="s">
        <v>1013</v>
      </c>
      <c r="R652" s="46" t="s">
        <v>1760</v>
      </c>
      <c r="S652" s="37"/>
    </row>
    <row r="653" spans="1:19" x14ac:dyDescent="0.2">
      <c r="A653" s="36"/>
      <c r="B653" s="38" t="str">
        <f>IF(MasterFees[[#This Row],[RVG Code]]="","",_xlfn.XLOOKUP(MasterFees[[#This Row],[RVG Code]],RVGCodes[Code],RVGCodes[Base Units],"Code not found"))</f>
        <v/>
      </c>
      <c r="C653" s="37" t="s">
        <v>651</v>
      </c>
      <c r="D653" s="44" t="s">
        <v>1108</v>
      </c>
      <c r="E653" s="44"/>
      <c r="F653" s="44" t="s">
        <v>1109</v>
      </c>
      <c r="G653" s="39">
        <v>5.3</v>
      </c>
      <c r="H653" s="39">
        <v>6.1</v>
      </c>
      <c r="I653" s="39">
        <v>0.4</v>
      </c>
      <c r="J653" s="39">
        <v>11.8</v>
      </c>
      <c r="K653" s="40">
        <v>647.9</v>
      </c>
      <c r="L653" s="45" t="s">
        <v>1015</v>
      </c>
      <c r="M653" s="41" t="str">
        <f>IF(MasterFees[[#This Row],[GST Basis]]="Excl",MasterFees[[#This Row],[Fee as Printed]],IF(MasterFees[[#This Row],[GST Basis]]="Incl",MasterFees[[#This Row],[Fee as Printed]]/(1+GST_Rate),""))</f>
        <v/>
      </c>
      <c r="N653" s="41" t="str">
        <f>IF(MasterFees[[#This Row],[GST Basis]]="Incl",MasterFees[[#This Row],[Fee as Printed]],IF(MasterFees[[#This Row],[GST Basis]]="Excl",MasterFees[[#This Row],[Fee as Printed]]*(1+GST_Rate),""))</f>
        <v/>
      </c>
      <c r="O653" s="42">
        <f>IF(N(MasterFees[[#This Row],[Total Units]])=0,"",MasterFees[[#This Row],[Fee as Printed]]/MasterFees[[#This Row],[Total Units]])</f>
        <v>54.906779661016941</v>
      </c>
      <c r="P653" s="43"/>
      <c r="Q653" s="46" t="s">
        <v>1013</v>
      </c>
      <c r="R653" s="46" t="s">
        <v>1761</v>
      </c>
      <c r="S653" s="37"/>
    </row>
    <row r="654" spans="1:19" x14ac:dyDescent="0.2">
      <c r="A654" s="36"/>
      <c r="B654" s="38" t="str">
        <f>IF(MasterFees[[#This Row],[RVG Code]]="","",_xlfn.XLOOKUP(MasterFees[[#This Row],[RVG Code]],RVGCodes[Code],RVGCodes[Base Units],"Code not found"))</f>
        <v/>
      </c>
      <c r="C654" s="37" t="s">
        <v>652</v>
      </c>
      <c r="D654" s="44" t="s">
        <v>1108</v>
      </c>
      <c r="E654" s="44"/>
      <c r="F654" s="44" t="s">
        <v>1109</v>
      </c>
      <c r="G654" s="39">
        <v>7.8</v>
      </c>
      <c r="H654" s="39">
        <v>7.3</v>
      </c>
      <c r="I654" s="39">
        <v>1</v>
      </c>
      <c r="J654" s="39">
        <v>16</v>
      </c>
      <c r="K654" s="40">
        <v>880</v>
      </c>
      <c r="L654" s="45" t="s">
        <v>1015</v>
      </c>
      <c r="M654" s="41" t="str">
        <f>IF(MasterFees[[#This Row],[GST Basis]]="Excl",MasterFees[[#This Row],[Fee as Printed]],IF(MasterFees[[#This Row],[GST Basis]]="Incl",MasterFees[[#This Row],[Fee as Printed]]/(1+GST_Rate),""))</f>
        <v/>
      </c>
      <c r="N654" s="41" t="str">
        <f>IF(MasterFees[[#This Row],[GST Basis]]="Incl",MasterFees[[#This Row],[Fee as Printed]],IF(MasterFees[[#This Row],[GST Basis]]="Excl",MasterFees[[#This Row],[Fee as Printed]]*(1+GST_Rate),""))</f>
        <v/>
      </c>
      <c r="O654" s="42">
        <f>IF(N(MasterFees[[#This Row],[Total Units]])=0,"",MasterFees[[#This Row],[Fee as Printed]]/MasterFees[[#This Row],[Total Units]])</f>
        <v>55</v>
      </c>
      <c r="P654" s="43"/>
      <c r="Q654" s="46" t="s">
        <v>1013</v>
      </c>
      <c r="R654" s="46" t="s">
        <v>1762</v>
      </c>
      <c r="S654" s="37"/>
    </row>
    <row r="655" spans="1:19" x14ac:dyDescent="0.2">
      <c r="A655" s="36"/>
      <c r="B655" s="38" t="str">
        <f>IF(MasterFees[[#This Row],[RVG Code]]="","",_xlfn.XLOOKUP(MasterFees[[#This Row],[RVG Code]],RVGCodes[Code],RVGCodes[Base Units],"Code not found"))</f>
        <v/>
      </c>
      <c r="C655" s="37" t="s">
        <v>653</v>
      </c>
      <c r="D655" s="44" t="s">
        <v>1108</v>
      </c>
      <c r="E655" s="44"/>
      <c r="F655" s="44" t="s">
        <v>1109</v>
      </c>
      <c r="G655" s="39">
        <v>0</v>
      </c>
      <c r="H655" s="39">
        <v>0</v>
      </c>
      <c r="I655" s="39">
        <v>0</v>
      </c>
      <c r="J655" s="39">
        <v>0</v>
      </c>
      <c r="K655" s="40">
        <v>0</v>
      </c>
      <c r="L655" s="45" t="s">
        <v>1015</v>
      </c>
      <c r="M655" s="41" t="str">
        <f>IF(MasterFees[[#This Row],[GST Basis]]="Excl",MasterFees[[#This Row],[Fee as Printed]],IF(MasterFees[[#This Row],[GST Basis]]="Incl",MasterFees[[#This Row],[Fee as Printed]]/(1+GST_Rate),""))</f>
        <v/>
      </c>
      <c r="N655" s="41" t="str">
        <f>IF(MasterFees[[#This Row],[GST Basis]]="Incl",MasterFees[[#This Row],[Fee as Printed]],IF(MasterFees[[#This Row],[GST Basis]]="Excl",MasterFees[[#This Row],[Fee as Printed]]*(1+GST_Rate),""))</f>
        <v/>
      </c>
      <c r="O655" s="42" t="str">
        <f>IF(N(MasterFees[[#This Row],[Total Units]])=0,"",MasterFees[[#This Row],[Fee as Printed]]/MasterFees[[#This Row],[Total Units]])</f>
        <v/>
      </c>
      <c r="P655" s="43"/>
      <c r="Q655" s="46" t="s">
        <v>1013</v>
      </c>
      <c r="R655" s="46" t="s">
        <v>1763</v>
      </c>
      <c r="S655" s="37"/>
    </row>
    <row r="656" spans="1:19" x14ac:dyDescent="0.2">
      <c r="A656" s="36"/>
      <c r="B656" s="38" t="str">
        <f>IF(MasterFees[[#This Row],[RVG Code]]="","",_xlfn.XLOOKUP(MasterFees[[#This Row],[RVG Code]],RVGCodes[Code],RVGCodes[Base Units],"Code not found"))</f>
        <v/>
      </c>
      <c r="C656" s="37" t="s">
        <v>654</v>
      </c>
      <c r="D656" s="44" t="s">
        <v>1108</v>
      </c>
      <c r="E656" s="44"/>
      <c r="F656" s="44" t="s">
        <v>1109</v>
      </c>
      <c r="G656" s="39">
        <v>4</v>
      </c>
      <c r="H656" s="39">
        <v>3</v>
      </c>
      <c r="I656" s="39">
        <v>1</v>
      </c>
      <c r="J656" s="39">
        <v>8</v>
      </c>
      <c r="K656" s="40">
        <v>440</v>
      </c>
      <c r="L656" s="45" t="s">
        <v>1015</v>
      </c>
      <c r="M656" s="41" t="str">
        <f>IF(MasterFees[[#This Row],[GST Basis]]="Excl",MasterFees[[#This Row],[Fee as Printed]],IF(MasterFees[[#This Row],[GST Basis]]="Incl",MasterFees[[#This Row],[Fee as Printed]]/(1+GST_Rate),""))</f>
        <v/>
      </c>
      <c r="N656" s="41" t="str">
        <f>IF(MasterFees[[#This Row],[GST Basis]]="Incl",MasterFees[[#This Row],[Fee as Printed]],IF(MasterFees[[#This Row],[GST Basis]]="Excl",MasterFees[[#This Row],[Fee as Printed]]*(1+GST_Rate),""))</f>
        <v/>
      </c>
      <c r="O656" s="42">
        <f>IF(N(MasterFees[[#This Row],[Total Units]])=0,"",MasterFees[[#This Row],[Fee as Printed]]/MasterFees[[#This Row],[Total Units]])</f>
        <v>55</v>
      </c>
      <c r="P656" s="43"/>
      <c r="Q656" s="46" t="s">
        <v>1013</v>
      </c>
      <c r="R656" s="46" t="s">
        <v>1764</v>
      </c>
      <c r="S656" s="37"/>
    </row>
    <row r="657" spans="1:19" x14ac:dyDescent="0.2">
      <c r="A657" s="36"/>
      <c r="B657" s="38" t="str">
        <f>IF(MasterFees[[#This Row],[RVG Code]]="","",_xlfn.XLOOKUP(MasterFees[[#This Row],[RVG Code]],RVGCodes[Code],RVGCodes[Base Units],"Code not found"))</f>
        <v/>
      </c>
      <c r="C657" s="37" t="s">
        <v>655</v>
      </c>
      <c r="D657" s="44" t="s">
        <v>1108</v>
      </c>
      <c r="E657" s="44"/>
      <c r="F657" s="44" t="s">
        <v>1109</v>
      </c>
      <c r="G657" s="39">
        <v>16</v>
      </c>
      <c r="H657" s="39">
        <v>22</v>
      </c>
      <c r="I657" s="39">
        <v>2.9</v>
      </c>
      <c r="J657" s="39">
        <v>40.9</v>
      </c>
      <c r="K657" s="40">
        <v>2251.6999999999998</v>
      </c>
      <c r="L657" s="45" t="s">
        <v>1015</v>
      </c>
      <c r="M657" s="41" t="str">
        <f>IF(MasterFees[[#This Row],[GST Basis]]="Excl",MasterFees[[#This Row],[Fee as Printed]],IF(MasterFees[[#This Row],[GST Basis]]="Incl",MasterFees[[#This Row],[Fee as Printed]]/(1+GST_Rate),""))</f>
        <v/>
      </c>
      <c r="N657" s="41" t="str">
        <f>IF(MasterFees[[#This Row],[GST Basis]]="Incl",MasterFees[[#This Row],[Fee as Printed]],IF(MasterFees[[#This Row],[GST Basis]]="Excl",MasterFees[[#This Row],[Fee as Printed]]*(1+GST_Rate),""))</f>
        <v/>
      </c>
      <c r="O657" s="42">
        <f>IF(N(MasterFees[[#This Row],[Total Units]])=0,"",MasterFees[[#This Row],[Fee as Printed]]/MasterFees[[#This Row],[Total Units]])</f>
        <v>55.053789731051339</v>
      </c>
      <c r="P657" s="43"/>
      <c r="Q657" s="46" t="s">
        <v>1013</v>
      </c>
      <c r="R657" s="46" t="s">
        <v>1765</v>
      </c>
      <c r="S657" s="37"/>
    </row>
    <row r="658" spans="1:19" x14ac:dyDescent="0.2">
      <c r="A658" s="36"/>
      <c r="B658" s="38" t="str">
        <f>IF(MasterFees[[#This Row],[RVG Code]]="","",_xlfn.XLOOKUP(MasterFees[[#This Row],[RVG Code]],RVGCodes[Code],RVGCodes[Base Units],"Code not found"))</f>
        <v/>
      </c>
      <c r="C658" s="37" t="s">
        <v>656</v>
      </c>
      <c r="D658" s="44" t="s">
        <v>1108</v>
      </c>
      <c r="E658" s="44"/>
      <c r="F658" s="44" t="s">
        <v>1109</v>
      </c>
      <c r="G658" s="39">
        <v>3.1</v>
      </c>
      <c r="H658" s="39">
        <v>3.4</v>
      </c>
      <c r="I658" s="39">
        <v>0.6</v>
      </c>
      <c r="J658" s="39">
        <v>7.1</v>
      </c>
      <c r="K658" s="40">
        <v>389.95</v>
      </c>
      <c r="L658" s="45" t="s">
        <v>1015</v>
      </c>
      <c r="M658" s="41" t="str">
        <f>IF(MasterFees[[#This Row],[GST Basis]]="Excl",MasterFees[[#This Row],[Fee as Printed]],IF(MasterFees[[#This Row],[GST Basis]]="Incl",MasterFees[[#This Row],[Fee as Printed]]/(1+GST_Rate),""))</f>
        <v/>
      </c>
      <c r="N658" s="41" t="str">
        <f>IF(MasterFees[[#This Row],[GST Basis]]="Incl",MasterFees[[#This Row],[Fee as Printed]],IF(MasterFees[[#This Row],[GST Basis]]="Excl",MasterFees[[#This Row],[Fee as Printed]]*(1+GST_Rate),""))</f>
        <v/>
      </c>
      <c r="O658" s="42">
        <f>IF(N(MasterFees[[#This Row],[Total Units]])=0,"",MasterFees[[#This Row],[Fee as Printed]]/MasterFees[[#This Row],[Total Units]])</f>
        <v>54.922535211267608</v>
      </c>
      <c r="P658" s="43"/>
      <c r="Q658" s="46" t="s">
        <v>1013</v>
      </c>
      <c r="R658" s="46" t="s">
        <v>1766</v>
      </c>
      <c r="S658" s="37"/>
    </row>
    <row r="659" spans="1:19" x14ac:dyDescent="0.2">
      <c r="A659" s="36"/>
      <c r="B659" s="38" t="str">
        <f>IF(MasterFees[[#This Row],[RVG Code]]="","",_xlfn.XLOOKUP(MasterFees[[#This Row],[RVG Code]],RVGCodes[Code],RVGCodes[Base Units],"Code not found"))</f>
        <v/>
      </c>
      <c r="C659" s="37" t="s">
        <v>657</v>
      </c>
      <c r="D659" s="44" t="s">
        <v>1108</v>
      </c>
      <c r="E659" s="44"/>
      <c r="F659" s="44" t="s">
        <v>1109</v>
      </c>
      <c r="G659" s="39">
        <v>6</v>
      </c>
      <c r="H659" s="39">
        <v>6</v>
      </c>
      <c r="I659" s="39">
        <v>0</v>
      </c>
      <c r="J659" s="39">
        <v>12</v>
      </c>
      <c r="K659" s="40">
        <v>660</v>
      </c>
      <c r="L659" s="45" t="s">
        <v>1015</v>
      </c>
      <c r="M659" s="41" t="str">
        <f>IF(MasterFees[[#This Row],[GST Basis]]="Excl",MasterFees[[#This Row],[Fee as Printed]],IF(MasterFees[[#This Row],[GST Basis]]="Incl",MasterFees[[#This Row],[Fee as Printed]]/(1+GST_Rate),""))</f>
        <v/>
      </c>
      <c r="N659" s="41" t="str">
        <f>IF(MasterFees[[#This Row],[GST Basis]]="Incl",MasterFees[[#This Row],[Fee as Printed]],IF(MasterFees[[#This Row],[GST Basis]]="Excl",MasterFees[[#This Row],[Fee as Printed]]*(1+GST_Rate),""))</f>
        <v/>
      </c>
      <c r="O659" s="42">
        <f>IF(N(MasterFees[[#This Row],[Total Units]])=0,"",MasterFees[[#This Row],[Fee as Printed]]/MasterFees[[#This Row],[Total Units]])</f>
        <v>55</v>
      </c>
      <c r="P659" s="43"/>
      <c r="Q659" s="46" t="s">
        <v>1013</v>
      </c>
      <c r="R659" s="46" t="s">
        <v>1767</v>
      </c>
      <c r="S659" s="37"/>
    </row>
    <row r="660" spans="1:19" x14ac:dyDescent="0.2">
      <c r="A660" s="36"/>
      <c r="B660" s="38" t="str">
        <f>IF(MasterFees[[#This Row],[RVG Code]]="","",_xlfn.XLOOKUP(MasterFees[[#This Row],[RVG Code]],RVGCodes[Code],RVGCodes[Base Units],"Code not found"))</f>
        <v/>
      </c>
      <c r="C660" s="37" t="s">
        <v>658</v>
      </c>
      <c r="D660" s="44" t="s">
        <v>1108</v>
      </c>
      <c r="E660" s="44"/>
      <c r="F660" s="44" t="s">
        <v>1109</v>
      </c>
      <c r="G660" s="39">
        <v>17</v>
      </c>
      <c r="H660" s="39">
        <v>27</v>
      </c>
      <c r="I660" s="39">
        <v>5</v>
      </c>
      <c r="J660" s="39">
        <v>49</v>
      </c>
      <c r="K660" s="40">
        <v>2695</v>
      </c>
      <c r="L660" s="45" t="s">
        <v>1015</v>
      </c>
      <c r="M660" s="41" t="str">
        <f>IF(MasterFees[[#This Row],[GST Basis]]="Excl",MasterFees[[#This Row],[Fee as Printed]],IF(MasterFees[[#This Row],[GST Basis]]="Incl",MasterFees[[#This Row],[Fee as Printed]]/(1+GST_Rate),""))</f>
        <v/>
      </c>
      <c r="N660" s="41" t="str">
        <f>IF(MasterFees[[#This Row],[GST Basis]]="Incl",MasterFees[[#This Row],[Fee as Printed]],IF(MasterFees[[#This Row],[GST Basis]]="Excl",MasterFees[[#This Row],[Fee as Printed]]*(1+GST_Rate),""))</f>
        <v/>
      </c>
      <c r="O660" s="42">
        <f>IF(N(MasterFees[[#This Row],[Total Units]])=0,"",MasterFees[[#This Row],[Fee as Printed]]/MasterFees[[#This Row],[Total Units]])</f>
        <v>55</v>
      </c>
      <c r="P660" s="43"/>
      <c r="Q660" s="46" t="s">
        <v>1013</v>
      </c>
      <c r="R660" s="46" t="s">
        <v>1768</v>
      </c>
      <c r="S660" s="37"/>
    </row>
    <row r="661" spans="1:19" x14ac:dyDescent="0.2">
      <c r="A661" s="36"/>
      <c r="B661" s="38" t="str">
        <f>IF(MasterFees[[#This Row],[RVG Code]]="","",_xlfn.XLOOKUP(MasterFees[[#This Row],[RVG Code]],RVGCodes[Code],RVGCodes[Base Units],"Code not found"))</f>
        <v/>
      </c>
      <c r="C661" s="37" t="s">
        <v>659</v>
      </c>
      <c r="D661" s="44" t="s">
        <v>1108</v>
      </c>
      <c r="E661" s="44"/>
      <c r="F661" s="44" t="s">
        <v>1109</v>
      </c>
      <c r="G661" s="39">
        <v>0</v>
      </c>
      <c r="H661" s="39">
        <v>0</v>
      </c>
      <c r="I661" s="39">
        <v>0</v>
      </c>
      <c r="J661" s="39">
        <v>0</v>
      </c>
      <c r="K661" s="40">
        <v>0</v>
      </c>
      <c r="L661" s="45" t="s">
        <v>1015</v>
      </c>
      <c r="M661" s="41" t="str">
        <f>IF(MasterFees[[#This Row],[GST Basis]]="Excl",MasterFees[[#This Row],[Fee as Printed]],IF(MasterFees[[#This Row],[GST Basis]]="Incl",MasterFees[[#This Row],[Fee as Printed]]/(1+GST_Rate),""))</f>
        <v/>
      </c>
      <c r="N661" s="41" t="str">
        <f>IF(MasterFees[[#This Row],[GST Basis]]="Incl",MasterFees[[#This Row],[Fee as Printed]],IF(MasterFees[[#This Row],[GST Basis]]="Excl",MasterFees[[#This Row],[Fee as Printed]]*(1+GST_Rate),""))</f>
        <v/>
      </c>
      <c r="O661" s="42" t="str">
        <f>IF(N(MasterFees[[#This Row],[Total Units]])=0,"",MasterFees[[#This Row],[Fee as Printed]]/MasterFees[[#This Row],[Total Units]])</f>
        <v/>
      </c>
      <c r="P661" s="43"/>
      <c r="Q661" s="46" t="s">
        <v>1013</v>
      </c>
      <c r="R661" s="46" t="s">
        <v>1769</v>
      </c>
      <c r="S661" s="37"/>
    </row>
    <row r="662" spans="1:19" x14ac:dyDescent="0.2">
      <c r="A662" s="36"/>
      <c r="B662" s="38" t="str">
        <f>IF(MasterFees[[#This Row],[RVG Code]]="","",_xlfn.XLOOKUP(MasterFees[[#This Row],[RVG Code]],RVGCodes[Code],RVGCodes[Base Units],"Code not found"))</f>
        <v/>
      </c>
      <c r="C662" s="37" t="s">
        <v>660</v>
      </c>
      <c r="D662" s="44" t="s">
        <v>1108</v>
      </c>
      <c r="E662" s="44"/>
      <c r="F662" s="44" t="s">
        <v>1109</v>
      </c>
      <c r="G662" s="39">
        <v>0</v>
      </c>
      <c r="H662" s="39">
        <v>2</v>
      </c>
      <c r="I662" s="39">
        <v>0</v>
      </c>
      <c r="J662" s="39">
        <v>2</v>
      </c>
      <c r="K662" s="40">
        <v>110</v>
      </c>
      <c r="L662" s="45" t="s">
        <v>1015</v>
      </c>
      <c r="M662" s="41" t="str">
        <f>IF(MasterFees[[#This Row],[GST Basis]]="Excl",MasterFees[[#This Row],[Fee as Printed]],IF(MasterFees[[#This Row],[GST Basis]]="Incl",MasterFees[[#This Row],[Fee as Printed]]/(1+GST_Rate),""))</f>
        <v/>
      </c>
      <c r="N662" s="41" t="str">
        <f>IF(MasterFees[[#This Row],[GST Basis]]="Incl",MasterFees[[#This Row],[Fee as Printed]],IF(MasterFees[[#This Row],[GST Basis]]="Excl",MasterFees[[#This Row],[Fee as Printed]]*(1+GST_Rate),""))</f>
        <v/>
      </c>
      <c r="O662" s="42">
        <f>IF(N(MasterFees[[#This Row],[Total Units]])=0,"",MasterFees[[#This Row],[Fee as Printed]]/MasterFees[[#This Row],[Total Units]])</f>
        <v>55</v>
      </c>
      <c r="P662" s="43"/>
      <c r="Q662" s="46" t="s">
        <v>1013</v>
      </c>
      <c r="R662" s="46" t="s">
        <v>1770</v>
      </c>
      <c r="S662" s="37"/>
    </row>
    <row r="663" spans="1:19" x14ac:dyDescent="0.2">
      <c r="A663" s="36"/>
      <c r="B663" s="38" t="str">
        <f>IF(MasterFees[[#This Row],[RVG Code]]="","",_xlfn.XLOOKUP(MasterFees[[#This Row],[RVG Code]],RVGCodes[Code],RVGCodes[Base Units],"Code not found"))</f>
        <v/>
      </c>
      <c r="C663" s="37" t="s">
        <v>661</v>
      </c>
      <c r="D663" s="44" t="s">
        <v>1108</v>
      </c>
      <c r="E663" s="44"/>
      <c r="F663" s="44" t="s">
        <v>1109</v>
      </c>
      <c r="G663" s="39">
        <v>4.9000000000000004</v>
      </c>
      <c r="H663" s="39">
        <v>5.5</v>
      </c>
      <c r="I663" s="39">
        <v>1.1000000000000001</v>
      </c>
      <c r="J663" s="39">
        <v>11.6</v>
      </c>
      <c r="K663" s="40">
        <v>635.79999999999995</v>
      </c>
      <c r="L663" s="45" t="s">
        <v>1015</v>
      </c>
      <c r="M663" s="41" t="str">
        <f>IF(MasterFees[[#This Row],[GST Basis]]="Excl",MasterFees[[#This Row],[Fee as Printed]],IF(MasterFees[[#This Row],[GST Basis]]="Incl",MasterFees[[#This Row],[Fee as Printed]]/(1+GST_Rate),""))</f>
        <v/>
      </c>
      <c r="N663" s="41" t="str">
        <f>IF(MasterFees[[#This Row],[GST Basis]]="Incl",MasterFees[[#This Row],[Fee as Printed]],IF(MasterFees[[#This Row],[GST Basis]]="Excl",MasterFees[[#This Row],[Fee as Printed]]*(1+GST_Rate),""))</f>
        <v/>
      </c>
      <c r="O663" s="42">
        <f>IF(N(MasterFees[[#This Row],[Total Units]])=0,"",MasterFees[[#This Row],[Fee as Printed]]/MasterFees[[#This Row],[Total Units]])</f>
        <v>54.810344827586206</v>
      </c>
      <c r="P663" s="43"/>
      <c r="Q663" s="46" t="s">
        <v>1013</v>
      </c>
      <c r="R663" s="46" t="s">
        <v>1771</v>
      </c>
      <c r="S663" s="37"/>
    </row>
    <row r="664" spans="1:19" x14ac:dyDescent="0.2">
      <c r="A664" s="36"/>
      <c r="B664" s="38" t="str">
        <f>IF(MasterFees[[#This Row],[RVG Code]]="","",_xlfn.XLOOKUP(MasterFees[[#This Row],[RVG Code]],RVGCodes[Code],RVGCodes[Base Units],"Code not found"))</f>
        <v/>
      </c>
      <c r="C664" s="37" t="s">
        <v>662</v>
      </c>
      <c r="D664" s="44" t="s">
        <v>1108</v>
      </c>
      <c r="E664" s="44"/>
      <c r="F664" s="44" t="s">
        <v>1109</v>
      </c>
      <c r="G664" s="39">
        <v>5</v>
      </c>
      <c r="H664" s="39">
        <v>7</v>
      </c>
      <c r="I664" s="39">
        <v>0</v>
      </c>
      <c r="J664" s="39">
        <v>12</v>
      </c>
      <c r="K664" s="40">
        <v>660</v>
      </c>
      <c r="L664" s="45" t="s">
        <v>1015</v>
      </c>
      <c r="M664" s="41" t="str">
        <f>IF(MasterFees[[#This Row],[GST Basis]]="Excl",MasterFees[[#This Row],[Fee as Printed]],IF(MasterFees[[#This Row],[GST Basis]]="Incl",MasterFees[[#This Row],[Fee as Printed]]/(1+GST_Rate),""))</f>
        <v/>
      </c>
      <c r="N664" s="41" t="str">
        <f>IF(MasterFees[[#This Row],[GST Basis]]="Incl",MasterFees[[#This Row],[Fee as Printed]],IF(MasterFees[[#This Row],[GST Basis]]="Excl",MasterFees[[#This Row],[Fee as Printed]]*(1+GST_Rate),""))</f>
        <v/>
      </c>
      <c r="O664" s="42">
        <f>IF(N(MasterFees[[#This Row],[Total Units]])=0,"",MasterFees[[#This Row],[Fee as Printed]]/MasterFees[[#This Row],[Total Units]])</f>
        <v>55</v>
      </c>
      <c r="P664" s="43"/>
      <c r="Q664" s="46" t="s">
        <v>1013</v>
      </c>
      <c r="R664" s="46" t="s">
        <v>1772</v>
      </c>
      <c r="S664" s="37"/>
    </row>
    <row r="665" spans="1:19" x14ac:dyDescent="0.2">
      <c r="A665" s="36"/>
      <c r="B665" s="38" t="str">
        <f>IF(MasterFees[[#This Row],[RVG Code]]="","",_xlfn.XLOOKUP(MasterFees[[#This Row],[RVG Code]],RVGCodes[Code],RVGCodes[Base Units],"Code not found"))</f>
        <v/>
      </c>
      <c r="C665" s="37" t="s">
        <v>663</v>
      </c>
      <c r="D665" s="44" t="s">
        <v>1108</v>
      </c>
      <c r="E665" s="44"/>
      <c r="F665" s="44" t="s">
        <v>1109</v>
      </c>
      <c r="G665" s="39">
        <v>5</v>
      </c>
      <c r="H665" s="39">
        <v>4.9000000000000004</v>
      </c>
      <c r="I665" s="39">
        <v>1.2</v>
      </c>
      <c r="J665" s="39">
        <v>11</v>
      </c>
      <c r="K665" s="40">
        <v>607.20000000000005</v>
      </c>
      <c r="L665" s="45" t="s">
        <v>1015</v>
      </c>
      <c r="M665" s="41" t="str">
        <f>IF(MasterFees[[#This Row],[GST Basis]]="Excl",MasterFees[[#This Row],[Fee as Printed]],IF(MasterFees[[#This Row],[GST Basis]]="Incl",MasterFees[[#This Row],[Fee as Printed]]/(1+GST_Rate),""))</f>
        <v/>
      </c>
      <c r="N665" s="41" t="str">
        <f>IF(MasterFees[[#This Row],[GST Basis]]="Incl",MasterFees[[#This Row],[Fee as Printed]],IF(MasterFees[[#This Row],[GST Basis]]="Excl",MasterFees[[#This Row],[Fee as Printed]]*(1+GST_Rate),""))</f>
        <v/>
      </c>
      <c r="O665" s="42">
        <f>IF(N(MasterFees[[#This Row],[Total Units]])=0,"",MasterFees[[#This Row],[Fee as Printed]]/MasterFees[[#This Row],[Total Units]])</f>
        <v>55.2</v>
      </c>
      <c r="P665" s="43"/>
      <c r="Q665" s="46" t="s">
        <v>1013</v>
      </c>
      <c r="R665" s="46" t="s">
        <v>1773</v>
      </c>
      <c r="S665" s="37"/>
    </row>
    <row r="666" spans="1:19" x14ac:dyDescent="0.2">
      <c r="A666" s="36"/>
      <c r="B666" s="38" t="str">
        <f>IF(MasterFees[[#This Row],[RVG Code]]="","",_xlfn.XLOOKUP(MasterFees[[#This Row],[RVG Code]],RVGCodes[Code],RVGCodes[Base Units],"Code not found"))</f>
        <v/>
      </c>
      <c r="C666" s="37" t="s">
        <v>664</v>
      </c>
      <c r="D666" s="44" t="s">
        <v>1108</v>
      </c>
      <c r="E666" s="44"/>
      <c r="F666" s="44" t="s">
        <v>1109</v>
      </c>
      <c r="G666" s="39">
        <v>4.9000000000000004</v>
      </c>
      <c r="H666" s="39">
        <v>4.5999999999999996</v>
      </c>
      <c r="I666" s="39">
        <v>1.1000000000000001</v>
      </c>
      <c r="J666" s="39">
        <v>10.6</v>
      </c>
      <c r="K666" s="40">
        <v>582.45000000000005</v>
      </c>
      <c r="L666" s="45" t="s">
        <v>1015</v>
      </c>
      <c r="M666" s="41" t="str">
        <f>IF(MasterFees[[#This Row],[GST Basis]]="Excl",MasterFees[[#This Row],[Fee as Printed]],IF(MasterFees[[#This Row],[GST Basis]]="Incl",MasterFees[[#This Row],[Fee as Printed]]/(1+GST_Rate),""))</f>
        <v/>
      </c>
      <c r="N666" s="41" t="str">
        <f>IF(MasterFees[[#This Row],[GST Basis]]="Incl",MasterFees[[#This Row],[Fee as Printed]],IF(MasterFees[[#This Row],[GST Basis]]="Excl",MasterFees[[#This Row],[Fee as Printed]]*(1+GST_Rate),""))</f>
        <v/>
      </c>
      <c r="O666" s="42">
        <f>IF(N(MasterFees[[#This Row],[Total Units]])=0,"",MasterFees[[#This Row],[Fee as Printed]]/MasterFees[[#This Row],[Total Units]])</f>
        <v>54.948113207547173</v>
      </c>
      <c r="P666" s="43"/>
      <c r="Q666" s="46" t="s">
        <v>1013</v>
      </c>
      <c r="R666" s="46" t="s">
        <v>1774</v>
      </c>
      <c r="S666" s="37"/>
    </row>
    <row r="667" spans="1:19" x14ac:dyDescent="0.2">
      <c r="A667" s="36"/>
      <c r="B667" s="38" t="str">
        <f>IF(MasterFees[[#This Row],[RVG Code]]="","",_xlfn.XLOOKUP(MasterFees[[#This Row],[RVG Code]],RVGCodes[Code],RVGCodes[Base Units],"Code not found"))</f>
        <v/>
      </c>
      <c r="C667" s="37" t="s">
        <v>665</v>
      </c>
      <c r="D667" s="44" t="s">
        <v>1108</v>
      </c>
      <c r="E667" s="44"/>
      <c r="F667" s="44" t="s">
        <v>1109</v>
      </c>
      <c r="G667" s="39">
        <v>5</v>
      </c>
      <c r="H667" s="39">
        <v>8</v>
      </c>
      <c r="I667" s="39">
        <v>1</v>
      </c>
      <c r="J667" s="39">
        <v>14</v>
      </c>
      <c r="K667" s="40">
        <v>770</v>
      </c>
      <c r="L667" s="45" t="s">
        <v>1015</v>
      </c>
      <c r="M667" s="41" t="str">
        <f>IF(MasterFees[[#This Row],[GST Basis]]="Excl",MasterFees[[#This Row],[Fee as Printed]],IF(MasterFees[[#This Row],[GST Basis]]="Incl",MasterFees[[#This Row],[Fee as Printed]]/(1+GST_Rate),""))</f>
        <v/>
      </c>
      <c r="N667" s="41" t="str">
        <f>IF(MasterFees[[#This Row],[GST Basis]]="Incl",MasterFees[[#This Row],[Fee as Printed]],IF(MasterFees[[#This Row],[GST Basis]]="Excl",MasterFees[[#This Row],[Fee as Printed]]*(1+GST_Rate),""))</f>
        <v/>
      </c>
      <c r="O667" s="42">
        <f>IF(N(MasterFees[[#This Row],[Total Units]])=0,"",MasterFees[[#This Row],[Fee as Printed]]/MasterFees[[#This Row],[Total Units]])</f>
        <v>55</v>
      </c>
      <c r="P667" s="43"/>
      <c r="Q667" s="46" t="s">
        <v>1013</v>
      </c>
      <c r="R667" s="46" t="s">
        <v>1775</v>
      </c>
      <c r="S667" s="37"/>
    </row>
    <row r="668" spans="1:19" x14ac:dyDescent="0.2">
      <c r="A668" s="36"/>
      <c r="B668" s="38" t="str">
        <f>IF(MasterFees[[#This Row],[RVG Code]]="","",_xlfn.XLOOKUP(MasterFees[[#This Row],[RVG Code]],RVGCodes[Code],RVGCodes[Base Units],"Code not found"))</f>
        <v/>
      </c>
      <c r="C668" s="37" t="s">
        <v>666</v>
      </c>
      <c r="D668" s="44" t="s">
        <v>1108</v>
      </c>
      <c r="E668" s="44"/>
      <c r="F668" s="44" t="s">
        <v>1109</v>
      </c>
      <c r="G668" s="39">
        <v>0</v>
      </c>
      <c r="H668" s="39">
        <v>0</v>
      </c>
      <c r="I668" s="39">
        <v>0</v>
      </c>
      <c r="J668" s="39">
        <v>0</v>
      </c>
      <c r="K668" s="40">
        <v>0</v>
      </c>
      <c r="L668" s="45" t="s">
        <v>1015</v>
      </c>
      <c r="M668" s="41" t="str">
        <f>IF(MasterFees[[#This Row],[GST Basis]]="Excl",MasterFees[[#This Row],[Fee as Printed]],IF(MasterFees[[#This Row],[GST Basis]]="Incl",MasterFees[[#This Row],[Fee as Printed]]/(1+GST_Rate),""))</f>
        <v/>
      </c>
      <c r="N668" s="41" t="str">
        <f>IF(MasterFees[[#This Row],[GST Basis]]="Incl",MasterFees[[#This Row],[Fee as Printed]],IF(MasterFees[[#This Row],[GST Basis]]="Excl",MasterFees[[#This Row],[Fee as Printed]]*(1+GST_Rate),""))</f>
        <v/>
      </c>
      <c r="O668" s="42" t="str">
        <f>IF(N(MasterFees[[#This Row],[Total Units]])=0,"",MasterFees[[#This Row],[Fee as Printed]]/MasterFees[[#This Row],[Total Units]])</f>
        <v/>
      </c>
      <c r="P668" s="43"/>
      <c r="Q668" s="46" t="s">
        <v>1013</v>
      </c>
      <c r="R668" s="46" t="s">
        <v>1776</v>
      </c>
      <c r="S668" s="37"/>
    </row>
    <row r="669" spans="1:19" x14ac:dyDescent="0.2">
      <c r="A669" s="36"/>
      <c r="B669" s="38" t="str">
        <f>IF(MasterFees[[#This Row],[RVG Code]]="","",_xlfn.XLOOKUP(MasterFees[[#This Row],[RVG Code]],RVGCodes[Code],RVGCodes[Base Units],"Code not found"))</f>
        <v/>
      </c>
      <c r="C669" s="37" t="s">
        <v>667</v>
      </c>
      <c r="D669" s="44" t="s">
        <v>1108</v>
      </c>
      <c r="E669" s="44"/>
      <c r="F669" s="44" t="s">
        <v>1109</v>
      </c>
      <c r="G669" s="39">
        <v>3.8</v>
      </c>
      <c r="H669" s="39">
        <v>7.9</v>
      </c>
      <c r="I669" s="39">
        <v>0.1</v>
      </c>
      <c r="J669" s="39">
        <v>11.8</v>
      </c>
      <c r="K669" s="40">
        <v>649</v>
      </c>
      <c r="L669" s="45" t="s">
        <v>1015</v>
      </c>
      <c r="M669" s="41" t="str">
        <f>IF(MasterFees[[#This Row],[GST Basis]]="Excl",MasterFees[[#This Row],[Fee as Printed]],IF(MasterFees[[#This Row],[GST Basis]]="Incl",MasterFees[[#This Row],[Fee as Printed]]/(1+GST_Rate),""))</f>
        <v/>
      </c>
      <c r="N669" s="41" t="str">
        <f>IF(MasterFees[[#This Row],[GST Basis]]="Incl",MasterFees[[#This Row],[Fee as Printed]],IF(MasterFees[[#This Row],[GST Basis]]="Excl",MasterFees[[#This Row],[Fee as Printed]]*(1+GST_Rate),""))</f>
        <v/>
      </c>
      <c r="O669" s="42">
        <f>IF(N(MasterFees[[#This Row],[Total Units]])=0,"",MasterFees[[#This Row],[Fee as Printed]]/MasterFees[[#This Row],[Total Units]])</f>
        <v>55</v>
      </c>
      <c r="P669" s="43"/>
      <c r="Q669" s="46" t="s">
        <v>1013</v>
      </c>
      <c r="R669" s="46" t="s">
        <v>1777</v>
      </c>
      <c r="S669" s="37"/>
    </row>
    <row r="670" spans="1:19" x14ac:dyDescent="0.2">
      <c r="A670" s="36"/>
      <c r="B670" s="38" t="str">
        <f>IF(MasterFees[[#This Row],[RVG Code]]="","",_xlfn.XLOOKUP(MasterFees[[#This Row],[RVG Code]],RVGCodes[Code],RVGCodes[Base Units],"Code not found"))</f>
        <v/>
      </c>
      <c r="C670" s="37" t="s">
        <v>668</v>
      </c>
      <c r="D670" s="44" t="s">
        <v>1108</v>
      </c>
      <c r="E670" s="44"/>
      <c r="F670" s="44" t="s">
        <v>1109</v>
      </c>
      <c r="G670" s="39">
        <v>6</v>
      </c>
      <c r="H670" s="39">
        <v>4</v>
      </c>
      <c r="I670" s="39">
        <v>0</v>
      </c>
      <c r="J670" s="39">
        <v>10</v>
      </c>
      <c r="K670" s="40">
        <v>550</v>
      </c>
      <c r="L670" s="45" t="s">
        <v>1015</v>
      </c>
      <c r="M670" s="41" t="str">
        <f>IF(MasterFees[[#This Row],[GST Basis]]="Excl",MasterFees[[#This Row],[Fee as Printed]],IF(MasterFees[[#This Row],[GST Basis]]="Incl",MasterFees[[#This Row],[Fee as Printed]]/(1+GST_Rate),""))</f>
        <v/>
      </c>
      <c r="N670" s="41" t="str">
        <f>IF(MasterFees[[#This Row],[GST Basis]]="Incl",MasterFees[[#This Row],[Fee as Printed]],IF(MasterFees[[#This Row],[GST Basis]]="Excl",MasterFees[[#This Row],[Fee as Printed]]*(1+GST_Rate),""))</f>
        <v/>
      </c>
      <c r="O670" s="42">
        <f>IF(N(MasterFees[[#This Row],[Total Units]])=0,"",MasterFees[[#This Row],[Fee as Printed]]/MasterFees[[#This Row],[Total Units]])</f>
        <v>55</v>
      </c>
      <c r="P670" s="43"/>
      <c r="Q670" s="46" t="s">
        <v>1013</v>
      </c>
      <c r="R670" s="46" t="s">
        <v>1778</v>
      </c>
      <c r="S670" s="37"/>
    </row>
    <row r="671" spans="1:19" x14ac:dyDescent="0.2">
      <c r="A671" s="36"/>
      <c r="B671" s="38" t="str">
        <f>IF(MasterFees[[#This Row],[RVG Code]]="","",_xlfn.XLOOKUP(MasterFees[[#This Row],[RVG Code]],RVGCodes[Code],RVGCodes[Base Units],"Code not found"))</f>
        <v/>
      </c>
      <c r="C671" s="37" t="s">
        <v>669</v>
      </c>
      <c r="D671" s="44" t="s">
        <v>1108</v>
      </c>
      <c r="E671" s="44"/>
      <c r="F671" s="44" t="s">
        <v>1109</v>
      </c>
      <c r="G671" s="39">
        <v>5.8</v>
      </c>
      <c r="H671" s="39">
        <v>8.6</v>
      </c>
      <c r="I671" s="39">
        <v>0</v>
      </c>
      <c r="J671" s="39">
        <v>14.4</v>
      </c>
      <c r="K671" s="40">
        <v>792</v>
      </c>
      <c r="L671" s="45" t="s">
        <v>1015</v>
      </c>
      <c r="M671" s="41" t="str">
        <f>IF(MasterFees[[#This Row],[GST Basis]]="Excl",MasterFees[[#This Row],[Fee as Printed]],IF(MasterFees[[#This Row],[GST Basis]]="Incl",MasterFees[[#This Row],[Fee as Printed]]/(1+GST_Rate),""))</f>
        <v/>
      </c>
      <c r="N671" s="41" t="str">
        <f>IF(MasterFees[[#This Row],[GST Basis]]="Incl",MasterFees[[#This Row],[Fee as Printed]],IF(MasterFees[[#This Row],[GST Basis]]="Excl",MasterFees[[#This Row],[Fee as Printed]]*(1+GST_Rate),""))</f>
        <v/>
      </c>
      <c r="O671" s="42">
        <f>IF(N(MasterFees[[#This Row],[Total Units]])=0,"",MasterFees[[#This Row],[Fee as Printed]]/MasterFees[[#This Row],[Total Units]])</f>
        <v>55</v>
      </c>
      <c r="P671" s="43"/>
      <c r="Q671" s="46" t="s">
        <v>1013</v>
      </c>
      <c r="R671" s="46" t="s">
        <v>1779</v>
      </c>
      <c r="S671" s="37"/>
    </row>
    <row r="672" spans="1:19" x14ac:dyDescent="0.2">
      <c r="A672" s="36"/>
      <c r="B672" s="38" t="str">
        <f>IF(MasterFees[[#This Row],[RVG Code]]="","",_xlfn.XLOOKUP(MasterFees[[#This Row],[RVG Code]],RVGCodes[Code],RVGCodes[Base Units],"Code not found"))</f>
        <v/>
      </c>
      <c r="C672" s="37" t="s">
        <v>670</v>
      </c>
      <c r="D672" s="44" t="s">
        <v>1108</v>
      </c>
      <c r="E672" s="44"/>
      <c r="F672" s="44" t="s">
        <v>1109</v>
      </c>
      <c r="G672" s="39">
        <v>6.1</v>
      </c>
      <c r="H672" s="39">
        <v>9.5</v>
      </c>
      <c r="I672" s="39">
        <v>0.3</v>
      </c>
      <c r="J672" s="39">
        <v>15.8</v>
      </c>
      <c r="K672" s="40">
        <v>867.9</v>
      </c>
      <c r="L672" s="45" t="s">
        <v>1015</v>
      </c>
      <c r="M672" s="41" t="str">
        <f>IF(MasterFees[[#This Row],[GST Basis]]="Excl",MasterFees[[#This Row],[Fee as Printed]],IF(MasterFees[[#This Row],[GST Basis]]="Incl",MasterFees[[#This Row],[Fee as Printed]]/(1+GST_Rate),""))</f>
        <v/>
      </c>
      <c r="N672" s="41" t="str">
        <f>IF(MasterFees[[#This Row],[GST Basis]]="Incl",MasterFees[[#This Row],[Fee as Printed]],IF(MasterFees[[#This Row],[GST Basis]]="Excl",MasterFees[[#This Row],[Fee as Printed]]*(1+GST_Rate),""))</f>
        <v/>
      </c>
      <c r="O672" s="42">
        <f>IF(N(MasterFees[[#This Row],[Total Units]])=0,"",MasterFees[[#This Row],[Fee as Printed]]/MasterFees[[#This Row],[Total Units]])</f>
        <v>54.930379746835442</v>
      </c>
      <c r="P672" s="43"/>
      <c r="Q672" s="46" t="s">
        <v>1013</v>
      </c>
      <c r="R672" s="46" t="s">
        <v>1780</v>
      </c>
      <c r="S672" s="37"/>
    </row>
    <row r="673" spans="1:19" x14ac:dyDescent="0.2">
      <c r="A673" s="36"/>
      <c r="B673" s="38" t="str">
        <f>IF(MasterFees[[#This Row],[RVG Code]]="","",_xlfn.XLOOKUP(MasterFees[[#This Row],[RVG Code]],RVGCodes[Code],RVGCodes[Base Units],"Code not found"))</f>
        <v/>
      </c>
      <c r="C673" s="37" t="s">
        <v>671</v>
      </c>
      <c r="D673" s="44" t="s">
        <v>1108</v>
      </c>
      <c r="E673" s="44"/>
      <c r="F673" s="44" t="s">
        <v>1109</v>
      </c>
      <c r="G673" s="39">
        <v>6</v>
      </c>
      <c r="H673" s="39">
        <v>8</v>
      </c>
      <c r="I673" s="39">
        <v>0</v>
      </c>
      <c r="J673" s="39">
        <v>14</v>
      </c>
      <c r="K673" s="40">
        <v>770</v>
      </c>
      <c r="L673" s="45" t="s">
        <v>1015</v>
      </c>
      <c r="M673" s="41" t="str">
        <f>IF(MasterFees[[#This Row],[GST Basis]]="Excl",MasterFees[[#This Row],[Fee as Printed]],IF(MasterFees[[#This Row],[GST Basis]]="Incl",MasterFees[[#This Row],[Fee as Printed]]/(1+GST_Rate),""))</f>
        <v/>
      </c>
      <c r="N673" s="41" t="str">
        <f>IF(MasterFees[[#This Row],[GST Basis]]="Incl",MasterFees[[#This Row],[Fee as Printed]],IF(MasterFees[[#This Row],[GST Basis]]="Excl",MasterFees[[#This Row],[Fee as Printed]]*(1+GST_Rate),""))</f>
        <v/>
      </c>
      <c r="O673" s="42">
        <f>IF(N(MasterFees[[#This Row],[Total Units]])=0,"",MasterFees[[#This Row],[Fee as Printed]]/MasterFees[[#This Row],[Total Units]])</f>
        <v>55</v>
      </c>
      <c r="P673" s="43"/>
      <c r="Q673" s="46" t="s">
        <v>1013</v>
      </c>
      <c r="R673" s="46" t="s">
        <v>1781</v>
      </c>
      <c r="S673" s="37"/>
    </row>
    <row r="674" spans="1:19" x14ac:dyDescent="0.2">
      <c r="A674" s="36"/>
      <c r="B674" s="38" t="str">
        <f>IF(MasterFees[[#This Row],[RVG Code]]="","",_xlfn.XLOOKUP(MasterFees[[#This Row],[RVG Code]],RVGCodes[Code],RVGCodes[Base Units],"Code not found"))</f>
        <v/>
      </c>
      <c r="C674" s="37" t="s">
        <v>672</v>
      </c>
      <c r="D674" s="44" t="s">
        <v>1108</v>
      </c>
      <c r="E674" s="44"/>
      <c r="F674" s="44" t="s">
        <v>1109</v>
      </c>
      <c r="G674" s="39">
        <v>4.9000000000000004</v>
      </c>
      <c r="H674" s="39">
        <v>4.0999999999999996</v>
      </c>
      <c r="I674" s="39">
        <v>0.6</v>
      </c>
      <c r="J674" s="39">
        <v>9.5</v>
      </c>
      <c r="K674" s="40">
        <v>521.95000000000005</v>
      </c>
      <c r="L674" s="45" t="s">
        <v>1015</v>
      </c>
      <c r="M674" s="41" t="str">
        <f>IF(MasterFees[[#This Row],[GST Basis]]="Excl",MasterFees[[#This Row],[Fee as Printed]],IF(MasterFees[[#This Row],[GST Basis]]="Incl",MasterFees[[#This Row],[Fee as Printed]]/(1+GST_Rate),""))</f>
        <v/>
      </c>
      <c r="N674" s="41" t="str">
        <f>IF(MasterFees[[#This Row],[GST Basis]]="Incl",MasterFees[[#This Row],[Fee as Printed]],IF(MasterFees[[#This Row],[GST Basis]]="Excl",MasterFees[[#This Row],[Fee as Printed]]*(1+GST_Rate),""))</f>
        <v/>
      </c>
      <c r="O674" s="42">
        <f>IF(N(MasterFees[[#This Row],[Total Units]])=0,"",MasterFees[[#This Row],[Fee as Printed]]/MasterFees[[#This Row],[Total Units]])</f>
        <v>54.942105263157899</v>
      </c>
      <c r="P674" s="43"/>
      <c r="Q674" s="46" t="s">
        <v>1013</v>
      </c>
      <c r="R674" s="46" t="s">
        <v>1782</v>
      </c>
      <c r="S674" s="37"/>
    </row>
    <row r="675" spans="1:19" x14ac:dyDescent="0.2">
      <c r="A675" s="36"/>
      <c r="B675" s="38" t="str">
        <f>IF(MasterFees[[#This Row],[RVG Code]]="","",_xlfn.XLOOKUP(MasterFees[[#This Row],[RVG Code]],RVGCodes[Code],RVGCodes[Base Units],"Code not found"))</f>
        <v/>
      </c>
      <c r="C675" s="37" t="s">
        <v>673</v>
      </c>
      <c r="D675" s="44" t="s">
        <v>1108</v>
      </c>
      <c r="E675" s="44"/>
      <c r="F675" s="44" t="s">
        <v>1109</v>
      </c>
      <c r="G675" s="39">
        <v>0</v>
      </c>
      <c r="H675" s="39">
        <v>0</v>
      </c>
      <c r="I675" s="39">
        <v>0</v>
      </c>
      <c r="J675" s="39">
        <v>0</v>
      </c>
      <c r="K675" s="40">
        <v>0</v>
      </c>
      <c r="L675" s="45" t="s">
        <v>1015</v>
      </c>
      <c r="M675" s="41" t="str">
        <f>IF(MasterFees[[#This Row],[GST Basis]]="Excl",MasterFees[[#This Row],[Fee as Printed]],IF(MasterFees[[#This Row],[GST Basis]]="Incl",MasterFees[[#This Row],[Fee as Printed]]/(1+GST_Rate),""))</f>
        <v/>
      </c>
      <c r="N675" s="41" t="str">
        <f>IF(MasterFees[[#This Row],[GST Basis]]="Incl",MasterFees[[#This Row],[Fee as Printed]],IF(MasterFees[[#This Row],[GST Basis]]="Excl",MasterFees[[#This Row],[Fee as Printed]]*(1+GST_Rate),""))</f>
        <v/>
      </c>
      <c r="O675" s="42" t="str">
        <f>IF(N(MasterFees[[#This Row],[Total Units]])=0,"",MasterFees[[#This Row],[Fee as Printed]]/MasterFees[[#This Row],[Total Units]])</f>
        <v/>
      </c>
      <c r="P675" s="43"/>
      <c r="Q675" s="46" t="s">
        <v>1013</v>
      </c>
      <c r="R675" s="46" t="s">
        <v>1783</v>
      </c>
      <c r="S675" s="37"/>
    </row>
    <row r="676" spans="1:19" x14ac:dyDescent="0.2">
      <c r="A676" s="36"/>
      <c r="B676" s="38" t="str">
        <f>IF(MasterFees[[#This Row],[RVG Code]]="","",_xlfn.XLOOKUP(MasterFees[[#This Row],[RVG Code]],RVGCodes[Code],RVGCodes[Base Units],"Code not found"))</f>
        <v/>
      </c>
      <c r="C676" s="37" t="s">
        <v>674</v>
      </c>
      <c r="D676" s="44" t="s">
        <v>1108</v>
      </c>
      <c r="E676" s="44"/>
      <c r="F676" s="44" t="s">
        <v>1109</v>
      </c>
      <c r="G676" s="39">
        <v>0</v>
      </c>
      <c r="H676" s="39">
        <v>0</v>
      </c>
      <c r="I676" s="39">
        <v>0</v>
      </c>
      <c r="J676" s="39">
        <v>0</v>
      </c>
      <c r="K676" s="40">
        <v>0</v>
      </c>
      <c r="L676" s="45" t="s">
        <v>1015</v>
      </c>
      <c r="M676" s="41" t="str">
        <f>IF(MasterFees[[#This Row],[GST Basis]]="Excl",MasterFees[[#This Row],[Fee as Printed]],IF(MasterFees[[#This Row],[GST Basis]]="Incl",MasterFees[[#This Row],[Fee as Printed]]/(1+GST_Rate),""))</f>
        <v/>
      </c>
      <c r="N676" s="41" t="str">
        <f>IF(MasterFees[[#This Row],[GST Basis]]="Incl",MasterFees[[#This Row],[Fee as Printed]],IF(MasterFees[[#This Row],[GST Basis]]="Excl",MasterFees[[#This Row],[Fee as Printed]]*(1+GST_Rate),""))</f>
        <v/>
      </c>
      <c r="O676" s="42" t="str">
        <f>IF(N(MasterFees[[#This Row],[Total Units]])=0,"",MasterFees[[#This Row],[Fee as Printed]]/MasterFees[[#This Row],[Total Units]])</f>
        <v/>
      </c>
      <c r="P676" s="43"/>
      <c r="Q676" s="46" t="s">
        <v>1013</v>
      </c>
      <c r="R676" s="46" t="s">
        <v>1784</v>
      </c>
      <c r="S676" s="37"/>
    </row>
    <row r="677" spans="1:19" x14ac:dyDescent="0.2">
      <c r="A677" s="36"/>
      <c r="B677" s="38" t="str">
        <f>IF(MasterFees[[#This Row],[RVG Code]]="","",_xlfn.XLOOKUP(MasterFees[[#This Row],[RVG Code]],RVGCodes[Code],RVGCodes[Base Units],"Code not found"))</f>
        <v/>
      </c>
      <c r="C677" s="37" t="s">
        <v>675</v>
      </c>
      <c r="D677" s="44" t="s">
        <v>1108</v>
      </c>
      <c r="E677" s="44"/>
      <c r="F677" s="44" t="s">
        <v>1109</v>
      </c>
      <c r="G677" s="39">
        <v>0</v>
      </c>
      <c r="H677" s="39">
        <v>0</v>
      </c>
      <c r="I677" s="39">
        <v>0</v>
      </c>
      <c r="J677" s="39">
        <v>0</v>
      </c>
      <c r="K677" s="40">
        <v>0</v>
      </c>
      <c r="L677" s="45" t="s">
        <v>1015</v>
      </c>
      <c r="M677" s="41" t="str">
        <f>IF(MasterFees[[#This Row],[GST Basis]]="Excl",MasterFees[[#This Row],[Fee as Printed]],IF(MasterFees[[#This Row],[GST Basis]]="Incl",MasterFees[[#This Row],[Fee as Printed]]/(1+GST_Rate),""))</f>
        <v/>
      </c>
      <c r="N677" s="41" t="str">
        <f>IF(MasterFees[[#This Row],[GST Basis]]="Incl",MasterFees[[#This Row],[Fee as Printed]],IF(MasterFees[[#This Row],[GST Basis]]="Excl",MasterFees[[#This Row],[Fee as Printed]]*(1+GST_Rate),""))</f>
        <v/>
      </c>
      <c r="O677" s="42" t="str">
        <f>IF(N(MasterFees[[#This Row],[Total Units]])=0,"",MasterFees[[#This Row],[Fee as Printed]]/MasterFees[[#This Row],[Total Units]])</f>
        <v/>
      </c>
      <c r="P677" s="43"/>
      <c r="Q677" s="46" t="s">
        <v>1013</v>
      </c>
      <c r="R677" s="46" t="s">
        <v>1785</v>
      </c>
      <c r="S677" s="37"/>
    </row>
    <row r="678" spans="1:19" x14ac:dyDescent="0.2">
      <c r="A678" s="36"/>
      <c r="B678" s="38" t="str">
        <f>IF(MasterFees[[#This Row],[RVG Code]]="","",_xlfn.XLOOKUP(MasterFees[[#This Row],[RVG Code]],RVGCodes[Code],RVGCodes[Base Units],"Code not found"))</f>
        <v/>
      </c>
      <c r="C678" s="37" t="s">
        <v>676</v>
      </c>
      <c r="D678" s="44" t="s">
        <v>1108</v>
      </c>
      <c r="E678" s="44"/>
      <c r="F678" s="44" t="s">
        <v>1109</v>
      </c>
      <c r="G678" s="39">
        <v>4.2</v>
      </c>
      <c r="H678" s="39">
        <v>2.5</v>
      </c>
      <c r="I678" s="39">
        <v>1.2</v>
      </c>
      <c r="J678" s="39">
        <v>8</v>
      </c>
      <c r="K678" s="40">
        <v>438.9</v>
      </c>
      <c r="L678" s="45" t="s">
        <v>1015</v>
      </c>
      <c r="M678" s="41" t="str">
        <f>IF(MasterFees[[#This Row],[GST Basis]]="Excl",MasterFees[[#This Row],[Fee as Printed]],IF(MasterFees[[#This Row],[GST Basis]]="Incl",MasterFees[[#This Row],[Fee as Printed]]/(1+GST_Rate),""))</f>
        <v/>
      </c>
      <c r="N678" s="41" t="str">
        <f>IF(MasterFees[[#This Row],[GST Basis]]="Incl",MasterFees[[#This Row],[Fee as Printed]],IF(MasterFees[[#This Row],[GST Basis]]="Excl",MasterFees[[#This Row],[Fee as Printed]]*(1+GST_Rate),""))</f>
        <v/>
      </c>
      <c r="O678" s="42">
        <f>IF(N(MasterFees[[#This Row],[Total Units]])=0,"",MasterFees[[#This Row],[Fee as Printed]]/MasterFees[[#This Row],[Total Units]])</f>
        <v>54.862499999999997</v>
      </c>
      <c r="P678" s="43"/>
      <c r="Q678" s="46" t="s">
        <v>1013</v>
      </c>
      <c r="R678" s="46" t="s">
        <v>1786</v>
      </c>
      <c r="S678" s="37"/>
    </row>
    <row r="679" spans="1:19" x14ac:dyDescent="0.2">
      <c r="A679" s="36"/>
      <c r="B679" s="38" t="str">
        <f>IF(MasterFees[[#This Row],[RVG Code]]="","",_xlfn.XLOOKUP(MasterFees[[#This Row],[RVG Code]],RVGCodes[Code],RVGCodes[Base Units],"Code not found"))</f>
        <v/>
      </c>
      <c r="C679" s="37" t="s">
        <v>677</v>
      </c>
      <c r="D679" s="44" t="s">
        <v>1108</v>
      </c>
      <c r="E679" s="44"/>
      <c r="F679" s="44" t="s">
        <v>1109</v>
      </c>
      <c r="G679" s="39">
        <v>4</v>
      </c>
      <c r="H679" s="39">
        <v>4</v>
      </c>
      <c r="I679" s="39">
        <v>0</v>
      </c>
      <c r="J679" s="39">
        <v>8</v>
      </c>
      <c r="K679" s="40">
        <v>440</v>
      </c>
      <c r="L679" s="45" t="s">
        <v>1015</v>
      </c>
      <c r="M679" s="41" t="str">
        <f>IF(MasterFees[[#This Row],[GST Basis]]="Excl",MasterFees[[#This Row],[Fee as Printed]],IF(MasterFees[[#This Row],[GST Basis]]="Incl",MasterFees[[#This Row],[Fee as Printed]]/(1+GST_Rate),""))</f>
        <v/>
      </c>
      <c r="N679" s="41" t="str">
        <f>IF(MasterFees[[#This Row],[GST Basis]]="Incl",MasterFees[[#This Row],[Fee as Printed]],IF(MasterFees[[#This Row],[GST Basis]]="Excl",MasterFees[[#This Row],[Fee as Printed]]*(1+GST_Rate),""))</f>
        <v/>
      </c>
      <c r="O679" s="42">
        <f>IF(N(MasterFees[[#This Row],[Total Units]])=0,"",MasterFees[[#This Row],[Fee as Printed]]/MasterFees[[#This Row],[Total Units]])</f>
        <v>55</v>
      </c>
      <c r="P679" s="43"/>
      <c r="Q679" s="46" t="s">
        <v>1013</v>
      </c>
      <c r="R679" s="46" t="s">
        <v>1787</v>
      </c>
      <c r="S679" s="37"/>
    </row>
    <row r="680" spans="1:19" x14ac:dyDescent="0.2">
      <c r="A680" s="36"/>
      <c r="B680" s="38" t="str">
        <f>IF(MasterFees[[#This Row],[RVG Code]]="","",_xlfn.XLOOKUP(MasterFees[[#This Row],[RVG Code]],RVGCodes[Code],RVGCodes[Base Units],"Code not found"))</f>
        <v/>
      </c>
      <c r="C680" s="37" t="s">
        <v>678</v>
      </c>
      <c r="D680" s="44" t="s">
        <v>1108</v>
      </c>
      <c r="E680" s="44"/>
      <c r="F680" s="44" t="s">
        <v>1109</v>
      </c>
      <c r="G680" s="39">
        <v>4</v>
      </c>
      <c r="H680" s="39">
        <v>1</v>
      </c>
      <c r="I680" s="39">
        <v>0</v>
      </c>
      <c r="J680" s="39">
        <v>5</v>
      </c>
      <c r="K680" s="40">
        <v>275</v>
      </c>
      <c r="L680" s="45" t="s">
        <v>1015</v>
      </c>
      <c r="M680" s="41" t="str">
        <f>IF(MasterFees[[#This Row],[GST Basis]]="Excl",MasterFees[[#This Row],[Fee as Printed]],IF(MasterFees[[#This Row],[GST Basis]]="Incl",MasterFees[[#This Row],[Fee as Printed]]/(1+GST_Rate),""))</f>
        <v/>
      </c>
      <c r="N680" s="41" t="str">
        <f>IF(MasterFees[[#This Row],[GST Basis]]="Incl",MasterFees[[#This Row],[Fee as Printed]],IF(MasterFees[[#This Row],[GST Basis]]="Excl",MasterFees[[#This Row],[Fee as Printed]]*(1+GST_Rate),""))</f>
        <v/>
      </c>
      <c r="O680" s="42">
        <f>IF(N(MasterFees[[#This Row],[Total Units]])=0,"",MasterFees[[#This Row],[Fee as Printed]]/MasterFees[[#This Row],[Total Units]])</f>
        <v>55</v>
      </c>
      <c r="P680" s="43"/>
      <c r="Q680" s="46" t="s">
        <v>1013</v>
      </c>
      <c r="R680" s="46" t="s">
        <v>1788</v>
      </c>
      <c r="S680" s="37"/>
    </row>
    <row r="681" spans="1:19" x14ac:dyDescent="0.2">
      <c r="A681" s="36"/>
      <c r="B681" s="38" t="str">
        <f>IF(MasterFees[[#This Row],[RVG Code]]="","",_xlfn.XLOOKUP(MasterFees[[#This Row],[RVG Code]],RVGCodes[Code],RVGCodes[Base Units],"Code not found"))</f>
        <v/>
      </c>
      <c r="C681" s="37" t="s">
        <v>679</v>
      </c>
      <c r="D681" s="44" t="s">
        <v>1108</v>
      </c>
      <c r="E681" s="44"/>
      <c r="F681" s="44" t="s">
        <v>1109</v>
      </c>
      <c r="G681" s="39">
        <v>4</v>
      </c>
      <c r="H681" s="39">
        <v>3.6</v>
      </c>
      <c r="I681" s="39">
        <v>1.1000000000000001</v>
      </c>
      <c r="J681" s="39">
        <v>8.6999999999999993</v>
      </c>
      <c r="K681" s="40">
        <v>476.3</v>
      </c>
      <c r="L681" s="45" t="s">
        <v>1015</v>
      </c>
      <c r="M681" s="41" t="str">
        <f>IF(MasterFees[[#This Row],[GST Basis]]="Excl",MasterFees[[#This Row],[Fee as Printed]],IF(MasterFees[[#This Row],[GST Basis]]="Incl",MasterFees[[#This Row],[Fee as Printed]]/(1+GST_Rate),""))</f>
        <v/>
      </c>
      <c r="N681" s="41" t="str">
        <f>IF(MasterFees[[#This Row],[GST Basis]]="Incl",MasterFees[[#This Row],[Fee as Printed]],IF(MasterFees[[#This Row],[GST Basis]]="Excl",MasterFees[[#This Row],[Fee as Printed]]*(1+GST_Rate),""))</f>
        <v/>
      </c>
      <c r="O681" s="42">
        <f>IF(N(MasterFees[[#This Row],[Total Units]])=0,"",MasterFees[[#This Row],[Fee as Printed]]/MasterFees[[#This Row],[Total Units]])</f>
        <v>54.747126436781613</v>
      </c>
      <c r="P681" s="43"/>
      <c r="Q681" s="46" t="s">
        <v>1013</v>
      </c>
      <c r="R681" s="46" t="s">
        <v>1789</v>
      </c>
      <c r="S681" s="37"/>
    </row>
    <row r="682" spans="1:19" x14ac:dyDescent="0.2">
      <c r="A682" s="36"/>
      <c r="B682" s="38" t="str">
        <f>IF(MasterFees[[#This Row],[RVG Code]]="","",_xlfn.XLOOKUP(MasterFees[[#This Row],[RVG Code]],RVGCodes[Code],RVGCodes[Base Units],"Code not found"))</f>
        <v/>
      </c>
      <c r="C682" s="37" t="s">
        <v>680</v>
      </c>
      <c r="D682" s="44" t="s">
        <v>1108</v>
      </c>
      <c r="E682" s="44"/>
      <c r="F682" s="44" t="s">
        <v>1109</v>
      </c>
      <c r="G682" s="39">
        <v>3.9</v>
      </c>
      <c r="H682" s="39">
        <v>3.5</v>
      </c>
      <c r="I682" s="39">
        <v>0.5</v>
      </c>
      <c r="J682" s="39">
        <v>8</v>
      </c>
      <c r="K682" s="40">
        <v>438.9</v>
      </c>
      <c r="L682" s="45" t="s">
        <v>1015</v>
      </c>
      <c r="M682" s="41" t="str">
        <f>IF(MasterFees[[#This Row],[GST Basis]]="Excl",MasterFees[[#This Row],[Fee as Printed]],IF(MasterFees[[#This Row],[GST Basis]]="Incl",MasterFees[[#This Row],[Fee as Printed]]/(1+GST_Rate),""))</f>
        <v/>
      </c>
      <c r="N682" s="41" t="str">
        <f>IF(MasterFees[[#This Row],[GST Basis]]="Incl",MasterFees[[#This Row],[Fee as Printed]],IF(MasterFees[[#This Row],[GST Basis]]="Excl",MasterFees[[#This Row],[Fee as Printed]]*(1+GST_Rate),""))</f>
        <v/>
      </c>
      <c r="O682" s="42">
        <f>IF(N(MasterFees[[#This Row],[Total Units]])=0,"",MasterFees[[#This Row],[Fee as Printed]]/MasterFees[[#This Row],[Total Units]])</f>
        <v>54.862499999999997</v>
      </c>
      <c r="P682" s="43"/>
      <c r="Q682" s="46" t="s">
        <v>1013</v>
      </c>
      <c r="R682" s="46" t="s">
        <v>1790</v>
      </c>
      <c r="S682" s="37"/>
    </row>
    <row r="683" spans="1:19" x14ac:dyDescent="0.2">
      <c r="A683" s="36"/>
      <c r="B683" s="38" t="str">
        <f>IF(MasterFees[[#This Row],[RVG Code]]="","",_xlfn.XLOOKUP(MasterFees[[#This Row],[RVG Code]],RVGCodes[Code],RVGCodes[Base Units],"Code not found"))</f>
        <v/>
      </c>
      <c r="C683" s="37" t="s">
        <v>681</v>
      </c>
      <c r="D683" s="44" t="s">
        <v>1108</v>
      </c>
      <c r="E683" s="44"/>
      <c r="F683" s="44" t="s">
        <v>1109</v>
      </c>
      <c r="G683" s="39">
        <v>5.5</v>
      </c>
      <c r="H683" s="39">
        <v>10.8</v>
      </c>
      <c r="I683" s="39">
        <v>0.3</v>
      </c>
      <c r="J683" s="39">
        <v>16.5</v>
      </c>
      <c r="K683" s="40">
        <v>907.5</v>
      </c>
      <c r="L683" s="45" t="s">
        <v>1015</v>
      </c>
      <c r="M683" s="41" t="str">
        <f>IF(MasterFees[[#This Row],[GST Basis]]="Excl",MasterFees[[#This Row],[Fee as Printed]],IF(MasterFees[[#This Row],[GST Basis]]="Incl",MasterFees[[#This Row],[Fee as Printed]]/(1+GST_Rate),""))</f>
        <v/>
      </c>
      <c r="N683" s="41" t="str">
        <f>IF(MasterFees[[#This Row],[GST Basis]]="Incl",MasterFees[[#This Row],[Fee as Printed]],IF(MasterFees[[#This Row],[GST Basis]]="Excl",MasterFees[[#This Row],[Fee as Printed]]*(1+GST_Rate),""))</f>
        <v/>
      </c>
      <c r="O683" s="42">
        <f>IF(N(MasterFees[[#This Row],[Total Units]])=0,"",MasterFees[[#This Row],[Fee as Printed]]/MasterFees[[#This Row],[Total Units]])</f>
        <v>55</v>
      </c>
      <c r="P683" s="43"/>
      <c r="Q683" s="46" t="s">
        <v>1013</v>
      </c>
      <c r="R683" s="46" t="s">
        <v>1791</v>
      </c>
      <c r="S683" s="37"/>
    </row>
    <row r="684" spans="1:19" x14ac:dyDescent="0.2">
      <c r="A684" s="36"/>
      <c r="B684" s="38" t="str">
        <f>IF(MasterFees[[#This Row],[RVG Code]]="","",_xlfn.XLOOKUP(MasterFees[[#This Row],[RVG Code]],RVGCodes[Code],RVGCodes[Base Units],"Code not found"))</f>
        <v/>
      </c>
      <c r="C684" s="37" t="s">
        <v>682</v>
      </c>
      <c r="D684" s="44" t="s">
        <v>1108</v>
      </c>
      <c r="E684" s="44"/>
      <c r="F684" s="44" t="s">
        <v>1109</v>
      </c>
      <c r="G684" s="39">
        <v>16</v>
      </c>
      <c r="H684" s="39">
        <v>19</v>
      </c>
      <c r="I684" s="39">
        <v>3</v>
      </c>
      <c r="J684" s="39">
        <v>38</v>
      </c>
      <c r="K684" s="40">
        <v>2090</v>
      </c>
      <c r="L684" s="45" t="s">
        <v>1015</v>
      </c>
      <c r="M684" s="41" t="str">
        <f>IF(MasterFees[[#This Row],[GST Basis]]="Excl",MasterFees[[#This Row],[Fee as Printed]],IF(MasterFees[[#This Row],[GST Basis]]="Incl",MasterFees[[#This Row],[Fee as Printed]]/(1+GST_Rate),""))</f>
        <v/>
      </c>
      <c r="N684" s="41" t="str">
        <f>IF(MasterFees[[#This Row],[GST Basis]]="Incl",MasterFees[[#This Row],[Fee as Printed]],IF(MasterFees[[#This Row],[GST Basis]]="Excl",MasterFees[[#This Row],[Fee as Printed]]*(1+GST_Rate),""))</f>
        <v/>
      </c>
      <c r="O684" s="42">
        <f>IF(N(MasterFees[[#This Row],[Total Units]])=0,"",MasterFees[[#This Row],[Fee as Printed]]/MasterFees[[#This Row],[Total Units]])</f>
        <v>55</v>
      </c>
      <c r="P684" s="43"/>
      <c r="Q684" s="46" t="s">
        <v>1013</v>
      </c>
      <c r="R684" s="46" t="s">
        <v>1792</v>
      </c>
      <c r="S684" s="37"/>
    </row>
    <row r="685" spans="1:19" x14ac:dyDescent="0.2">
      <c r="A685" s="36"/>
      <c r="B685" s="38" t="str">
        <f>IF(MasterFees[[#This Row],[RVG Code]]="","",_xlfn.XLOOKUP(MasterFees[[#This Row],[RVG Code]],RVGCodes[Code],RVGCodes[Base Units],"Code not found"))</f>
        <v/>
      </c>
      <c r="C685" s="37" t="s">
        <v>683</v>
      </c>
      <c r="D685" s="44" t="s">
        <v>1108</v>
      </c>
      <c r="E685" s="44"/>
      <c r="F685" s="44" t="s">
        <v>1109</v>
      </c>
      <c r="G685" s="39">
        <v>6</v>
      </c>
      <c r="H685" s="39">
        <v>6</v>
      </c>
      <c r="I685" s="39">
        <v>0</v>
      </c>
      <c r="J685" s="39">
        <v>12</v>
      </c>
      <c r="K685" s="40">
        <v>660</v>
      </c>
      <c r="L685" s="45" t="s">
        <v>1015</v>
      </c>
      <c r="M685" s="41" t="str">
        <f>IF(MasterFees[[#This Row],[GST Basis]]="Excl",MasterFees[[#This Row],[Fee as Printed]],IF(MasterFees[[#This Row],[GST Basis]]="Incl",MasterFees[[#This Row],[Fee as Printed]]/(1+GST_Rate),""))</f>
        <v/>
      </c>
      <c r="N685" s="41" t="str">
        <f>IF(MasterFees[[#This Row],[GST Basis]]="Incl",MasterFees[[#This Row],[Fee as Printed]],IF(MasterFees[[#This Row],[GST Basis]]="Excl",MasterFees[[#This Row],[Fee as Printed]]*(1+GST_Rate),""))</f>
        <v/>
      </c>
      <c r="O685" s="42">
        <f>IF(N(MasterFees[[#This Row],[Total Units]])=0,"",MasterFees[[#This Row],[Fee as Printed]]/MasterFees[[#This Row],[Total Units]])</f>
        <v>55</v>
      </c>
      <c r="P685" s="43"/>
      <c r="Q685" s="46" t="s">
        <v>1013</v>
      </c>
      <c r="R685" s="46" t="s">
        <v>1793</v>
      </c>
      <c r="S685" s="37"/>
    </row>
    <row r="686" spans="1:19" x14ac:dyDescent="0.2">
      <c r="A686" s="36"/>
      <c r="B686" s="38" t="str">
        <f>IF(MasterFees[[#This Row],[RVG Code]]="","",_xlfn.XLOOKUP(MasterFees[[#This Row],[RVG Code]],RVGCodes[Code],RVGCodes[Base Units],"Code not found"))</f>
        <v/>
      </c>
      <c r="C686" s="37" t="s">
        <v>684</v>
      </c>
      <c r="D686" s="44" t="s">
        <v>1108</v>
      </c>
      <c r="E686" s="44"/>
      <c r="F686" s="44" t="s">
        <v>1109</v>
      </c>
      <c r="G686" s="39">
        <v>4</v>
      </c>
      <c r="H686" s="39">
        <v>6</v>
      </c>
      <c r="I686" s="39">
        <v>0.5</v>
      </c>
      <c r="J686" s="39">
        <v>10.5</v>
      </c>
      <c r="K686" s="40">
        <v>577.5</v>
      </c>
      <c r="L686" s="45" t="s">
        <v>1015</v>
      </c>
      <c r="M686" s="41" t="str">
        <f>IF(MasterFees[[#This Row],[GST Basis]]="Excl",MasterFees[[#This Row],[Fee as Printed]],IF(MasterFees[[#This Row],[GST Basis]]="Incl",MasterFees[[#This Row],[Fee as Printed]]/(1+GST_Rate),""))</f>
        <v/>
      </c>
      <c r="N686" s="41" t="str">
        <f>IF(MasterFees[[#This Row],[GST Basis]]="Incl",MasterFees[[#This Row],[Fee as Printed]],IF(MasterFees[[#This Row],[GST Basis]]="Excl",MasterFees[[#This Row],[Fee as Printed]]*(1+GST_Rate),""))</f>
        <v/>
      </c>
      <c r="O686" s="42">
        <f>IF(N(MasterFees[[#This Row],[Total Units]])=0,"",MasterFees[[#This Row],[Fee as Printed]]/MasterFees[[#This Row],[Total Units]])</f>
        <v>55</v>
      </c>
      <c r="P686" s="43"/>
      <c r="Q686" s="46" t="s">
        <v>1013</v>
      </c>
      <c r="R686" s="46" t="s">
        <v>1794</v>
      </c>
      <c r="S686" s="37"/>
    </row>
    <row r="687" spans="1:19" x14ac:dyDescent="0.2">
      <c r="A687" s="36"/>
      <c r="B687" s="38" t="str">
        <f>IF(MasterFees[[#This Row],[RVG Code]]="","",_xlfn.XLOOKUP(MasterFees[[#This Row],[RVG Code]],RVGCodes[Code],RVGCodes[Base Units],"Code not found"))</f>
        <v/>
      </c>
      <c r="C687" s="37" t="s">
        <v>685</v>
      </c>
      <c r="D687" s="44" t="s">
        <v>1108</v>
      </c>
      <c r="E687" s="44"/>
      <c r="F687" s="44" t="s">
        <v>1109</v>
      </c>
      <c r="G687" s="39">
        <v>5</v>
      </c>
      <c r="H687" s="39">
        <v>11</v>
      </c>
      <c r="I687" s="39">
        <v>0</v>
      </c>
      <c r="J687" s="39">
        <v>16</v>
      </c>
      <c r="K687" s="40">
        <v>880</v>
      </c>
      <c r="L687" s="45" t="s">
        <v>1015</v>
      </c>
      <c r="M687" s="41" t="str">
        <f>IF(MasterFees[[#This Row],[GST Basis]]="Excl",MasterFees[[#This Row],[Fee as Printed]],IF(MasterFees[[#This Row],[GST Basis]]="Incl",MasterFees[[#This Row],[Fee as Printed]]/(1+GST_Rate),""))</f>
        <v/>
      </c>
      <c r="N687" s="41" t="str">
        <f>IF(MasterFees[[#This Row],[GST Basis]]="Incl",MasterFees[[#This Row],[Fee as Printed]],IF(MasterFees[[#This Row],[GST Basis]]="Excl",MasterFees[[#This Row],[Fee as Printed]]*(1+GST_Rate),""))</f>
        <v/>
      </c>
      <c r="O687" s="42">
        <f>IF(N(MasterFees[[#This Row],[Total Units]])=0,"",MasterFees[[#This Row],[Fee as Printed]]/MasterFees[[#This Row],[Total Units]])</f>
        <v>55</v>
      </c>
      <c r="P687" s="43"/>
      <c r="Q687" s="46" t="s">
        <v>1013</v>
      </c>
      <c r="R687" s="46" t="s">
        <v>1795</v>
      </c>
      <c r="S687" s="37"/>
    </row>
    <row r="688" spans="1:19" x14ac:dyDescent="0.2">
      <c r="A688" s="36"/>
      <c r="B688" s="38" t="str">
        <f>IF(MasterFees[[#This Row],[RVG Code]]="","",_xlfn.XLOOKUP(MasterFees[[#This Row],[RVG Code]],RVGCodes[Code],RVGCodes[Base Units],"Code not found"))</f>
        <v/>
      </c>
      <c r="C688" s="37" t="s">
        <v>686</v>
      </c>
      <c r="D688" s="44" t="s">
        <v>1108</v>
      </c>
      <c r="E688" s="44"/>
      <c r="F688" s="44" t="s">
        <v>1109</v>
      </c>
      <c r="G688" s="39">
        <v>0</v>
      </c>
      <c r="H688" s="39">
        <v>1</v>
      </c>
      <c r="I688" s="39">
        <v>0</v>
      </c>
      <c r="J688" s="39">
        <v>1</v>
      </c>
      <c r="K688" s="40">
        <v>55</v>
      </c>
      <c r="L688" s="45" t="s">
        <v>1015</v>
      </c>
      <c r="M688" s="41" t="str">
        <f>IF(MasterFees[[#This Row],[GST Basis]]="Excl",MasterFees[[#This Row],[Fee as Printed]],IF(MasterFees[[#This Row],[GST Basis]]="Incl",MasterFees[[#This Row],[Fee as Printed]]/(1+GST_Rate),""))</f>
        <v/>
      </c>
      <c r="N688" s="41" t="str">
        <f>IF(MasterFees[[#This Row],[GST Basis]]="Incl",MasterFees[[#This Row],[Fee as Printed]],IF(MasterFees[[#This Row],[GST Basis]]="Excl",MasterFees[[#This Row],[Fee as Printed]]*(1+GST_Rate),""))</f>
        <v/>
      </c>
      <c r="O688" s="42">
        <f>IF(N(MasterFees[[#This Row],[Total Units]])=0,"",MasterFees[[#This Row],[Fee as Printed]]/MasterFees[[#This Row],[Total Units]])</f>
        <v>55</v>
      </c>
      <c r="P688" s="43"/>
      <c r="Q688" s="46" t="s">
        <v>1013</v>
      </c>
      <c r="R688" s="46" t="s">
        <v>1796</v>
      </c>
      <c r="S688" s="37"/>
    </row>
    <row r="689" spans="1:19" x14ac:dyDescent="0.2">
      <c r="A689" s="36"/>
      <c r="B689" s="38" t="str">
        <f>IF(MasterFees[[#This Row],[RVG Code]]="","",_xlfn.XLOOKUP(MasterFees[[#This Row],[RVG Code]],RVGCodes[Code],RVGCodes[Base Units],"Code not found"))</f>
        <v/>
      </c>
      <c r="C689" s="37" t="s">
        <v>687</v>
      </c>
      <c r="D689" s="44" t="s">
        <v>1108</v>
      </c>
      <c r="E689" s="44"/>
      <c r="F689" s="44" t="s">
        <v>1109</v>
      </c>
      <c r="G689" s="39">
        <v>12.7</v>
      </c>
      <c r="H689" s="39">
        <v>18</v>
      </c>
      <c r="I689" s="39">
        <v>2.8</v>
      </c>
      <c r="J689" s="39">
        <v>33.5</v>
      </c>
      <c r="K689" s="40">
        <v>1841.95</v>
      </c>
      <c r="L689" s="45" t="s">
        <v>1015</v>
      </c>
      <c r="M689" s="41" t="str">
        <f>IF(MasterFees[[#This Row],[GST Basis]]="Excl",MasterFees[[#This Row],[Fee as Printed]],IF(MasterFees[[#This Row],[GST Basis]]="Incl",MasterFees[[#This Row],[Fee as Printed]]/(1+GST_Rate),""))</f>
        <v/>
      </c>
      <c r="N689" s="41" t="str">
        <f>IF(MasterFees[[#This Row],[GST Basis]]="Incl",MasterFees[[#This Row],[Fee as Printed]],IF(MasterFees[[#This Row],[GST Basis]]="Excl",MasterFees[[#This Row],[Fee as Printed]]*(1+GST_Rate),""))</f>
        <v/>
      </c>
      <c r="O689" s="42">
        <f>IF(N(MasterFees[[#This Row],[Total Units]])=0,"",MasterFees[[#This Row],[Fee as Printed]]/MasterFees[[#This Row],[Total Units]])</f>
        <v>54.983582089552243</v>
      </c>
      <c r="P689" s="43"/>
      <c r="Q689" s="46" t="s">
        <v>1013</v>
      </c>
      <c r="R689" s="46" t="s">
        <v>1797</v>
      </c>
      <c r="S689" s="37"/>
    </row>
    <row r="690" spans="1:19" x14ac:dyDescent="0.2">
      <c r="A690" s="36"/>
      <c r="B690" s="38" t="str">
        <f>IF(MasterFees[[#This Row],[RVG Code]]="","",_xlfn.XLOOKUP(MasterFees[[#This Row],[RVG Code]],RVGCodes[Code],RVGCodes[Base Units],"Code not found"))</f>
        <v/>
      </c>
      <c r="C690" s="37" t="s">
        <v>688</v>
      </c>
      <c r="D690" s="44" t="s">
        <v>1108</v>
      </c>
      <c r="E690" s="44"/>
      <c r="F690" s="44" t="s">
        <v>1109</v>
      </c>
      <c r="G690" s="39">
        <v>6.5</v>
      </c>
      <c r="H690" s="39">
        <v>7.1</v>
      </c>
      <c r="I690" s="39">
        <v>0.9</v>
      </c>
      <c r="J690" s="39">
        <v>14.5</v>
      </c>
      <c r="K690" s="40">
        <v>797.5</v>
      </c>
      <c r="L690" s="45" t="s">
        <v>1015</v>
      </c>
      <c r="M690" s="41" t="str">
        <f>IF(MasterFees[[#This Row],[GST Basis]]="Excl",MasterFees[[#This Row],[Fee as Printed]],IF(MasterFees[[#This Row],[GST Basis]]="Incl",MasterFees[[#This Row],[Fee as Printed]]/(1+GST_Rate),""))</f>
        <v/>
      </c>
      <c r="N690" s="41" t="str">
        <f>IF(MasterFees[[#This Row],[GST Basis]]="Incl",MasterFees[[#This Row],[Fee as Printed]],IF(MasterFees[[#This Row],[GST Basis]]="Excl",MasterFees[[#This Row],[Fee as Printed]]*(1+GST_Rate),""))</f>
        <v/>
      </c>
      <c r="O690" s="42">
        <f>IF(N(MasterFees[[#This Row],[Total Units]])=0,"",MasterFees[[#This Row],[Fee as Printed]]/MasterFees[[#This Row],[Total Units]])</f>
        <v>55</v>
      </c>
      <c r="P690" s="43"/>
      <c r="Q690" s="46" t="s">
        <v>1013</v>
      </c>
      <c r="R690" s="46" t="s">
        <v>1798</v>
      </c>
      <c r="S690" s="37"/>
    </row>
    <row r="691" spans="1:19" x14ac:dyDescent="0.2">
      <c r="A691" s="36"/>
      <c r="B691" s="38" t="str">
        <f>IF(MasterFees[[#This Row],[RVG Code]]="","",_xlfn.XLOOKUP(MasterFees[[#This Row],[RVG Code]],RVGCodes[Code],RVGCodes[Base Units],"Code not found"))</f>
        <v/>
      </c>
      <c r="C691" s="37" t="s">
        <v>689</v>
      </c>
      <c r="D691" s="44" t="s">
        <v>1108</v>
      </c>
      <c r="E691" s="44"/>
      <c r="F691" s="44" t="s">
        <v>1109</v>
      </c>
      <c r="G691" s="39">
        <v>6.1</v>
      </c>
      <c r="H691" s="39">
        <v>6.9</v>
      </c>
      <c r="I691" s="39">
        <v>0.8</v>
      </c>
      <c r="J691" s="39">
        <v>13.8</v>
      </c>
      <c r="K691" s="40">
        <v>757.9</v>
      </c>
      <c r="L691" s="45" t="s">
        <v>1015</v>
      </c>
      <c r="M691" s="41" t="str">
        <f>IF(MasterFees[[#This Row],[GST Basis]]="Excl",MasterFees[[#This Row],[Fee as Printed]],IF(MasterFees[[#This Row],[GST Basis]]="Incl",MasterFees[[#This Row],[Fee as Printed]]/(1+GST_Rate),""))</f>
        <v/>
      </c>
      <c r="N691" s="41" t="str">
        <f>IF(MasterFees[[#This Row],[GST Basis]]="Incl",MasterFees[[#This Row],[Fee as Printed]],IF(MasterFees[[#This Row],[GST Basis]]="Excl",MasterFees[[#This Row],[Fee as Printed]]*(1+GST_Rate),""))</f>
        <v/>
      </c>
      <c r="O691" s="42">
        <f>IF(N(MasterFees[[#This Row],[Total Units]])=0,"",MasterFees[[#This Row],[Fee as Printed]]/MasterFees[[#This Row],[Total Units]])</f>
        <v>54.920289855072461</v>
      </c>
      <c r="P691" s="43"/>
      <c r="Q691" s="46" t="s">
        <v>1013</v>
      </c>
      <c r="R691" s="46" t="s">
        <v>1799</v>
      </c>
      <c r="S691" s="37"/>
    </row>
    <row r="692" spans="1:19" x14ac:dyDescent="0.2">
      <c r="A692" s="36"/>
      <c r="B692" s="38" t="str">
        <f>IF(MasterFees[[#This Row],[RVG Code]]="","",_xlfn.XLOOKUP(MasterFees[[#This Row],[RVG Code]],RVGCodes[Code],RVGCodes[Base Units],"Code not found"))</f>
        <v/>
      </c>
      <c r="C692" s="37" t="s">
        <v>690</v>
      </c>
      <c r="D692" s="44" t="s">
        <v>1108</v>
      </c>
      <c r="E692" s="44"/>
      <c r="F692" s="44" t="s">
        <v>1109</v>
      </c>
      <c r="G692" s="39">
        <v>5.9</v>
      </c>
      <c r="H692" s="39">
        <v>5.2</v>
      </c>
      <c r="I692" s="39">
        <v>0.9</v>
      </c>
      <c r="J692" s="39">
        <v>12</v>
      </c>
      <c r="K692" s="40">
        <v>658.9</v>
      </c>
      <c r="L692" s="45" t="s">
        <v>1015</v>
      </c>
      <c r="M692" s="41" t="str">
        <f>IF(MasterFees[[#This Row],[GST Basis]]="Excl",MasterFees[[#This Row],[Fee as Printed]],IF(MasterFees[[#This Row],[GST Basis]]="Incl",MasterFees[[#This Row],[Fee as Printed]]/(1+GST_Rate),""))</f>
        <v/>
      </c>
      <c r="N692" s="41" t="str">
        <f>IF(MasterFees[[#This Row],[GST Basis]]="Incl",MasterFees[[#This Row],[Fee as Printed]],IF(MasterFees[[#This Row],[GST Basis]]="Excl",MasterFees[[#This Row],[Fee as Printed]]*(1+GST_Rate),""))</f>
        <v/>
      </c>
      <c r="O692" s="42">
        <f>IF(N(MasterFees[[#This Row],[Total Units]])=0,"",MasterFees[[#This Row],[Fee as Printed]]/MasterFees[[#This Row],[Total Units]])</f>
        <v>54.908333333333331</v>
      </c>
      <c r="P692" s="43"/>
      <c r="Q692" s="46" t="s">
        <v>1013</v>
      </c>
      <c r="R692" s="46" t="s">
        <v>1800</v>
      </c>
      <c r="S692" s="37"/>
    </row>
    <row r="693" spans="1:19" x14ac:dyDescent="0.2">
      <c r="A693" s="36"/>
      <c r="B693" s="38" t="str">
        <f>IF(MasterFees[[#This Row],[RVG Code]]="","",_xlfn.XLOOKUP(MasterFees[[#This Row],[RVG Code]],RVGCodes[Code],RVGCodes[Base Units],"Code not found"))</f>
        <v/>
      </c>
      <c r="C693" s="37" t="s">
        <v>691</v>
      </c>
      <c r="D693" s="44" t="s">
        <v>1108</v>
      </c>
      <c r="E693" s="44"/>
      <c r="F693" s="44" t="s">
        <v>1109</v>
      </c>
      <c r="G693" s="39">
        <v>6</v>
      </c>
      <c r="H693" s="39">
        <v>9.9</v>
      </c>
      <c r="I693" s="39">
        <v>1.4</v>
      </c>
      <c r="J693" s="39">
        <v>17.3</v>
      </c>
      <c r="K693" s="40">
        <v>953.15</v>
      </c>
      <c r="L693" s="45" t="s">
        <v>1015</v>
      </c>
      <c r="M693" s="41" t="str">
        <f>IF(MasterFees[[#This Row],[GST Basis]]="Excl",MasterFees[[#This Row],[Fee as Printed]],IF(MasterFees[[#This Row],[GST Basis]]="Incl",MasterFees[[#This Row],[Fee as Printed]]/(1+GST_Rate),""))</f>
        <v/>
      </c>
      <c r="N693" s="41" t="str">
        <f>IF(MasterFees[[#This Row],[GST Basis]]="Incl",MasterFees[[#This Row],[Fee as Printed]],IF(MasterFees[[#This Row],[GST Basis]]="Excl",MasterFees[[#This Row],[Fee as Printed]]*(1+GST_Rate),""))</f>
        <v/>
      </c>
      <c r="O693" s="42">
        <f>IF(N(MasterFees[[#This Row],[Total Units]])=0,"",MasterFees[[#This Row],[Fee as Printed]]/MasterFees[[#This Row],[Total Units]])</f>
        <v>55.095375722543352</v>
      </c>
      <c r="P693" s="43"/>
      <c r="Q693" s="46" t="s">
        <v>1013</v>
      </c>
      <c r="R693" s="46" t="s">
        <v>1801</v>
      </c>
      <c r="S693" s="37"/>
    </row>
    <row r="694" spans="1:19" x14ac:dyDescent="0.2">
      <c r="A694" s="36"/>
      <c r="B694" s="38" t="str">
        <f>IF(MasterFees[[#This Row],[RVG Code]]="","",_xlfn.XLOOKUP(MasterFees[[#This Row],[RVG Code]],RVGCodes[Code],RVGCodes[Base Units],"Code not found"))</f>
        <v/>
      </c>
      <c r="C694" s="37" t="s">
        <v>692</v>
      </c>
      <c r="D694" s="44" t="s">
        <v>1108</v>
      </c>
      <c r="E694" s="44"/>
      <c r="F694" s="44" t="s">
        <v>1109</v>
      </c>
      <c r="G694" s="39">
        <v>6</v>
      </c>
      <c r="H694" s="39">
        <v>5.5</v>
      </c>
      <c r="I694" s="39">
        <v>0</v>
      </c>
      <c r="J694" s="39">
        <v>11.5</v>
      </c>
      <c r="K694" s="40">
        <v>632.5</v>
      </c>
      <c r="L694" s="45" t="s">
        <v>1015</v>
      </c>
      <c r="M694" s="41" t="str">
        <f>IF(MasterFees[[#This Row],[GST Basis]]="Excl",MasterFees[[#This Row],[Fee as Printed]],IF(MasterFees[[#This Row],[GST Basis]]="Incl",MasterFees[[#This Row],[Fee as Printed]]/(1+GST_Rate),""))</f>
        <v/>
      </c>
      <c r="N694" s="41" t="str">
        <f>IF(MasterFees[[#This Row],[GST Basis]]="Incl",MasterFees[[#This Row],[Fee as Printed]],IF(MasterFees[[#This Row],[GST Basis]]="Excl",MasterFees[[#This Row],[Fee as Printed]]*(1+GST_Rate),""))</f>
        <v/>
      </c>
      <c r="O694" s="42">
        <f>IF(N(MasterFees[[#This Row],[Total Units]])=0,"",MasterFees[[#This Row],[Fee as Printed]]/MasterFees[[#This Row],[Total Units]])</f>
        <v>55</v>
      </c>
      <c r="P694" s="43"/>
      <c r="Q694" s="46" t="s">
        <v>1013</v>
      </c>
      <c r="R694" s="46" t="s">
        <v>1802</v>
      </c>
      <c r="S694" s="37"/>
    </row>
    <row r="695" spans="1:19" x14ac:dyDescent="0.2">
      <c r="A695" s="36"/>
      <c r="B695" s="38" t="str">
        <f>IF(MasterFees[[#This Row],[RVG Code]]="","",_xlfn.XLOOKUP(MasterFees[[#This Row],[RVG Code]],RVGCodes[Code],RVGCodes[Base Units],"Code not found"))</f>
        <v/>
      </c>
      <c r="C695" s="37" t="s">
        <v>693</v>
      </c>
      <c r="D695" s="44" t="s">
        <v>1108</v>
      </c>
      <c r="E695" s="44"/>
      <c r="F695" s="44" t="s">
        <v>1109</v>
      </c>
      <c r="G695" s="39">
        <v>4.5999999999999996</v>
      </c>
      <c r="H695" s="39">
        <v>4.5999999999999996</v>
      </c>
      <c r="I695" s="39">
        <v>0.7</v>
      </c>
      <c r="J695" s="39">
        <v>9.9</v>
      </c>
      <c r="K695" s="40">
        <v>541.75</v>
      </c>
      <c r="L695" s="45" t="s">
        <v>1015</v>
      </c>
      <c r="M695" s="41" t="str">
        <f>IF(MasterFees[[#This Row],[GST Basis]]="Excl",MasterFees[[#This Row],[Fee as Printed]],IF(MasterFees[[#This Row],[GST Basis]]="Incl",MasterFees[[#This Row],[Fee as Printed]]/(1+GST_Rate),""))</f>
        <v/>
      </c>
      <c r="N695" s="41" t="str">
        <f>IF(MasterFees[[#This Row],[GST Basis]]="Incl",MasterFees[[#This Row],[Fee as Printed]],IF(MasterFees[[#This Row],[GST Basis]]="Excl",MasterFees[[#This Row],[Fee as Printed]]*(1+GST_Rate),""))</f>
        <v/>
      </c>
      <c r="O695" s="42">
        <f>IF(N(MasterFees[[#This Row],[Total Units]])=0,"",MasterFees[[#This Row],[Fee as Printed]]/MasterFees[[#This Row],[Total Units]])</f>
        <v>54.722222222222221</v>
      </c>
      <c r="P695" s="43"/>
      <c r="Q695" s="46" t="s">
        <v>1013</v>
      </c>
      <c r="R695" s="46" t="s">
        <v>1803</v>
      </c>
      <c r="S695" s="37"/>
    </row>
    <row r="696" spans="1:19" x14ac:dyDescent="0.2">
      <c r="A696" s="36"/>
      <c r="B696" s="38" t="str">
        <f>IF(MasterFees[[#This Row],[RVG Code]]="","",_xlfn.XLOOKUP(MasterFees[[#This Row],[RVG Code]],RVGCodes[Code],RVGCodes[Base Units],"Code not found"))</f>
        <v/>
      </c>
      <c r="C696" s="37" t="s">
        <v>694</v>
      </c>
      <c r="D696" s="44" t="s">
        <v>1108</v>
      </c>
      <c r="E696" s="44"/>
      <c r="F696" s="44" t="s">
        <v>1109</v>
      </c>
      <c r="G696" s="39">
        <v>4.2</v>
      </c>
      <c r="H696" s="39">
        <v>3.2</v>
      </c>
      <c r="I696" s="39">
        <v>0.8</v>
      </c>
      <c r="J696" s="39">
        <v>8.1</v>
      </c>
      <c r="K696" s="40">
        <v>447.15</v>
      </c>
      <c r="L696" s="45" t="s">
        <v>1015</v>
      </c>
      <c r="M696" s="41" t="str">
        <f>IF(MasterFees[[#This Row],[GST Basis]]="Excl",MasterFees[[#This Row],[Fee as Printed]],IF(MasterFees[[#This Row],[GST Basis]]="Incl",MasterFees[[#This Row],[Fee as Printed]]/(1+GST_Rate),""))</f>
        <v/>
      </c>
      <c r="N696" s="41" t="str">
        <f>IF(MasterFees[[#This Row],[GST Basis]]="Incl",MasterFees[[#This Row],[Fee as Printed]],IF(MasterFees[[#This Row],[GST Basis]]="Excl",MasterFees[[#This Row],[Fee as Printed]]*(1+GST_Rate),""))</f>
        <v/>
      </c>
      <c r="O696" s="42">
        <f>IF(N(MasterFees[[#This Row],[Total Units]])=0,"",MasterFees[[#This Row],[Fee as Printed]]/MasterFees[[#This Row],[Total Units]])</f>
        <v>55.203703703703702</v>
      </c>
      <c r="P696" s="43"/>
      <c r="Q696" s="46" t="s">
        <v>1013</v>
      </c>
      <c r="R696" s="46" t="s">
        <v>1804</v>
      </c>
      <c r="S696" s="37"/>
    </row>
    <row r="697" spans="1:19" x14ac:dyDescent="0.2">
      <c r="A697" s="36"/>
      <c r="B697" s="38" t="str">
        <f>IF(MasterFees[[#This Row],[RVG Code]]="","",_xlfn.XLOOKUP(MasterFees[[#This Row],[RVG Code]],RVGCodes[Code],RVGCodes[Base Units],"Code not found"))</f>
        <v/>
      </c>
      <c r="C697" s="37" t="s">
        <v>695</v>
      </c>
      <c r="D697" s="44" t="s">
        <v>1108</v>
      </c>
      <c r="E697" s="44"/>
      <c r="F697" s="44" t="s">
        <v>1109</v>
      </c>
      <c r="G697" s="39">
        <v>5</v>
      </c>
      <c r="H697" s="39">
        <v>16.7</v>
      </c>
      <c r="I697" s="39">
        <v>1</v>
      </c>
      <c r="J697" s="39">
        <v>22.7</v>
      </c>
      <c r="K697" s="40">
        <v>1246.3</v>
      </c>
      <c r="L697" s="45" t="s">
        <v>1015</v>
      </c>
      <c r="M697" s="41" t="str">
        <f>IF(MasterFees[[#This Row],[GST Basis]]="Excl",MasterFees[[#This Row],[Fee as Printed]],IF(MasterFees[[#This Row],[GST Basis]]="Incl",MasterFees[[#This Row],[Fee as Printed]]/(1+GST_Rate),""))</f>
        <v/>
      </c>
      <c r="N697" s="41" t="str">
        <f>IF(MasterFees[[#This Row],[GST Basis]]="Incl",MasterFees[[#This Row],[Fee as Printed]],IF(MasterFees[[#This Row],[GST Basis]]="Excl",MasterFees[[#This Row],[Fee as Printed]]*(1+GST_Rate),""))</f>
        <v/>
      </c>
      <c r="O697" s="42">
        <f>IF(N(MasterFees[[#This Row],[Total Units]])=0,"",MasterFees[[#This Row],[Fee as Printed]]/MasterFees[[#This Row],[Total Units]])</f>
        <v>54.903083700440526</v>
      </c>
      <c r="P697" s="43"/>
      <c r="Q697" s="46" t="s">
        <v>1013</v>
      </c>
      <c r="R697" s="46" t="s">
        <v>1805</v>
      </c>
      <c r="S697" s="37"/>
    </row>
    <row r="698" spans="1:19" x14ac:dyDescent="0.2">
      <c r="A698" s="36"/>
      <c r="B698" s="38" t="str">
        <f>IF(MasterFees[[#This Row],[RVG Code]]="","",_xlfn.XLOOKUP(MasterFees[[#This Row],[RVG Code]],RVGCodes[Code],RVGCodes[Base Units],"Code not found"))</f>
        <v/>
      </c>
      <c r="C698" s="37" t="s">
        <v>696</v>
      </c>
      <c r="D698" s="44" t="s">
        <v>1108</v>
      </c>
      <c r="E698" s="44"/>
      <c r="F698" s="44" t="s">
        <v>1109</v>
      </c>
      <c r="G698" s="39">
        <v>8</v>
      </c>
      <c r="H698" s="39">
        <v>8</v>
      </c>
      <c r="I698" s="39">
        <v>1</v>
      </c>
      <c r="J698" s="39">
        <v>17</v>
      </c>
      <c r="K698" s="40">
        <v>935</v>
      </c>
      <c r="L698" s="45" t="s">
        <v>1015</v>
      </c>
      <c r="M698" s="41" t="str">
        <f>IF(MasterFees[[#This Row],[GST Basis]]="Excl",MasterFees[[#This Row],[Fee as Printed]],IF(MasterFees[[#This Row],[GST Basis]]="Incl",MasterFees[[#This Row],[Fee as Printed]]/(1+GST_Rate),""))</f>
        <v/>
      </c>
      <c r="N698" s="41" t="str">
        <f>IF(MasterFees[[#This Row],[GST Basis]]="Incl",MasterFees[[#This Row],[Fee as Printed]],IF(MasterFees[[#This Row],[GST Basis]]="Excl",MasterFees[[#This Row],[Fee as Printed]]*(1+GST_Rate),""))</f>
        <v/>
      </c>
      <c r="O698" s="42">
        <f>IF(N(MasterFees[[#This Row],[Total Units]])=0,"",MasterFees[[#This Row],[Fee as Printed]]/MasterFees[[#This Row],[Total Units]])</f>
        <v>55</v>
      </c>
      <c r="P698" s="43"/>
      <c r="Q698" s="46" t="s">
        <v>1013</v>
      </c>
      <c r="R698" s="46" t="s">
        <v>1806</v>
      </c>
      <c r="S698" s="37"/>
    </row>
    <row r="699" spans="1:19" x14ac:dyDescent="0.2">
      <c r="A699" s="36"/>
      <c r="B699" s="38" t="str">
        <f>IF(MasterFees[[#This Row],[RVG Code]]="","",_xlfn.XLOOKUP(MasterFees[[#This Row],[RVG Code]],RVGCodes[Code],RVGCodes[Base Units],"Code not found"))</f>
        <v/>
      </c>
      <c r="C699" s="37" t="s">
        <v>697</v>
      </c>
      <c r="D699" s="44" t="s">
        <v>1108</v>
      </c>
      <c r="E699" s="44"/>
      <c r="F699" s="44" t="s">
        <v>1109</v>
      </c>
      <c r="G699" s="39">
        <v>1.3</v>
      </c>
      <c r="H699" s="39">
        <v>1.6</v>
      </c>
      <c r="I699" s="39">
        <v>0.3</v>
      </c>
      <c r="J699" s="39">
        <v>3.1</v>
      </c>
      <c r="K699" s="40">
        <v>172.15</v>
      </c>
      <c r="L699" s="45" t="s">
        <v>1015</v>
      </c>
      <c r="M699" s="41" t="str">
        <f>IF(MasterFees[[#This Row],[GST Basis]]="Excl",MasterFees[[#This Row],[Fee as Printed]],IF(MasterFees[[#This Row],[GST Basis]]="Incl",MasterFees[[#This Row],[Fee as Printed]]/(1+GST_Rate),""))</f>
        <v/>
      </c>
      <c r="N699" s="41" t="str">
        <f>IF(MasterFees[[#This Row],[GST Basis]]="Incl",MasterFees[[#This Row],[Fee as Printed]],IF(MasterFees[[#This Row],[GST Basis]]="Excl",MasterFees[[#This Row],[Fee as Printed]]*(1+GST_Rate),""))</f>
        <v/>
      </c>
      <c r="O699" s="42">
        <f>IF(N(MasterFees[[#This Row],[Total Units]])=0,"",MasterFees[[#This Row],[Fee as Printed]]/MasterFees[[#This Row],[Total Units]])</f>
        <v>55.532258064516128</v>
      </c>
      <c r="P699" s="43"/>
      <c r="Q699" s="46" t="s">
        <v>1013</v>
      </c>
      <c r="R699" s="46" t="s">
        <v>1807</v>
      </c>
      <c r="S699" s="37"/>
    </row>
    <row r="700" spans="1:19" x14ac:dyDescent="0.2">
      <c r="A700" s="36"/>
      <c r="B700" s="38" t="str">
        <f>IF(MasterFees[[#This Row],[RVG Code]]="","",_xlfn.XLOOKUP(MasterFees[[#This Row],[RVG Code]],RVGCodes[Code],RVGCodes[Base Units],"Code not found"))</f>
        <v/>
      </c>
      <c r="C700" s="37" t="s">
        <v>698</v>
      </c>
      <c r="D700" s="44" t="s">
        <v>1108</v>
      </c>
      <c r="E700" s="44"/>
      <c r="F700" s="44" t="s">
        <v>1109</v>
      </c>
      <c r="G700" s="39">
        <v>8</v>
      </c>
      <c r="H700" s="39">
        <v>20</v>
      </c>
      <c r="I700" s="39">
        <v>2</v>
      </c>
      <c r="J700" s="39">
        <v>30</v>
      </c>
      <c r="K700" s="40">
        <v>1650</v>
      </c>
      <c r="L700" s="45" t="s">
        <v>1015</v>
      </c>
      <c r="M700" s="41" t="str">
        <f>IF(MasterFees[[#This Row],[GST Basis]]="Excl",MasterFees[[#This Row],[Fee as Printed]],IF(MasterFees[[#This Row],[GST Basis]]="Incl",MasterFees[[#This Row],[Fee as Printed]]/(1+GST_Rate),""))</f>
        <v/>
      </c>
      <c r="N700" s="41" t="str">
        <f>IF(MasterFees[[#This Row],[GST Basis]]="Incl",MasterFees[[#This Row],[Fee as Printed]],IF(MasterFees[[#This Row],[GST Basis]]="Excl",MasterFees[[#This Row],[Fee as Printed]]*(1+GST_Rate),""))</f>
        <v/>
      </c>
      <c r="O700" s="42">
        <f>IF(N(MasterFees[[#This Row],[Total Units]])=0,"",MasterFees[[#This Row],[Fee as Printed]]/MasterFees[[#This Row],[Total Units]])</f>
        <v>55</v>
      </c>
      <c r="P700" s="43"/>
      <c r="Q700" s="46" t="s">
        <v>1013</v>
      </c>
      <c r="R700" s="46" t="s">
        <v>1808</v>
      </c>
      <c r="S700" s="37"/>
    </row>
    <row r="701" spans="1:19" x14ac:dyDescent="0.2">
      <c r="A701" s="36"/>
      <c r="B701" s="38" t="str">
        <f>IF(MasterFees[[#This Row],[RVG Code]]="","",_xlfn.XLOOKUP(MasterFees[[#This Row],[RVG Code]],RVGCodes[Code],RVGCodes[Base Units],"Code not found"))</f>
        <v/>
      </c>
      <c r="C701" s="37" t="s">
        <v>699</v>
      </c>
      <c r="D701" s="44" t="s">
        <v>1108</v>
      </c>
      <c r="E701" s="44"/>
      <c r="F701" s="44" t="s">
        <v>1109</v>
      </c>
      <c r="G701" s="39">
        <v>5</v>
      </c>
      <c r="H701" s="39">
        <v>4.3</v>
      </c>
      <c r="I701" s="39">
        <v>1</v>
      </c>
      <c r="J701" s="39">
        <v>10.199999999999999</v>
      </c>
      <c r="K701" s="40">
        <v>562.1</v>
      </c>
      <c r="L701" s="45" t="s">
        <v>1015</v>
      </c>
      <c r="M701" s="41" t="str">
        <f>IF(MasterFees[[#This Row],[GST Basis]]="Excl",MasterFees[[#This Row],[Fee as Printed]],IF(MasterFees[[#This Row],[GST Basis]]="Incl",MasterFees[[#This Row],[Fee as Printed]]/(1+GST_Rate),""))</f>
        <v/>
      </c>
      <c r="N701" s="41" t="str">
        <f>IF(MasterFees[[#This Row],[GST Basis]]="Incl",MasterFees[[#This Row],[Fee as Printed]],IF(MasterFees[[#This Row],[GST Basis]]="Excl",MasterFees[[#This Row],[Fee as Printed]]*(1+GST_Rate),""))</f>
        <v/>
      </c>
      <c r="O701" s="42">
        <f>IF(N(MasterFees[[#This Row],[Total Units]])=0,"",MasterFees[[#This Row],[Fee as Printed]]/MasterFees[[#This Row],[Total Units]])</f>
        <v>55.10784313725491</v>
      </c>
      <c r="P701" s="43"/>
      <c r="Q701" s="46" t="s">
        <v>1013</v>
      </c>
      <c r="R701" s="46" t="s">
        <v>1809</v>
      </c>
      <c r="S701" s="37"/>
    </row>
    <row r="702" spans="1:19" x14ac:dyDescent="0.2">
      <c r="A702" s="36"/>
      <c r="B702" s="38" t="str">
        <f>IF(MasterFees[[#This Row],[RVG Code]]="","",_xlfn.XLOOKUP(MasterFees[[#This Row],[RVG Code]],RVGCodes[Code],RVGCodes[Base Units],"Code not found"))</f>
        <v/>
      </c>
      <c r="C702" s="37" t="s">
        <v>700</v>
      </c>
      <c r="D702" s="44" t="s">
        <v>1108</v>
      </c>
      <c r="E702" s="44"/>
      <c r="F702" s="44" t="s">
        <v>1109</v>
      </c>
      <c r="G702" s="39">
        <v>0</v>
      </c>
      <c r="H702" s="39">
        <v>0</v>
      </c>
      <c r="I702" s="39">
        <v>0</v>
      </c>
      <c r="J702" s="39">
        <v>0</v>
      </c>
      <c r="K702" s="40">
        <v>0</v>
      </c>
      <c r="L702" s="45" t="s">
        <v>1015</v>
      </c>
      <c r="M702" s="41" t="str">
        <f>IF(MasterFees[[#This Row],[GST Basis]]="Excl",MasterFees[[#This Row],[Fee as Printed]],IF(MasterFees[[#This Row],[GST Basis]]="Incl",MasterFees[[#This Row],[Fee as Printed]]/(1+GST_Rate),""))</f>
        <v/>
      </c>
      <c r="N702" s="41" t="str">
        <f>IF(MasterFees[[#This Row],[GST Basis]]="Incl",MasterFees[[#This Row],[Fee as Printed]],IF(MasterFees[[#This Row],[GST Basis]]="Excl",MasterFees[[#This Row],[Fee as Printed]]*(1+GST_Rate),""))</f>
        <v/>
      </c>
      <c r="O702" s="42" t="str">
        <f>IF(N(MasterFees[[#This Row],[Total Units]])=0,"",MasterFees[[#This Row],[Fee as Printed]]/MasterFees[[#This Row],[Total Units]])</f>
        <v/>
      </c>
      <c r="P702" s="43"/>
      <c r="Q702" s="46" t="s">
        <v>1013</v>
      </c>
      <c r="R702" s="46" t="s">
        <v>1810</v>
      </c>
      <c r="S702" s="37"/>
    </row>
    <row r="703" spans="1:19" x14ac:dyDescent="0.2">
      <c r="A703" s="36"/>
      <c r="B703" s="38" t="str">
        <f>IF(MasterFees[[#This Row],[RVG Code]]="","",_xlfn.XLOOKUP(MasterFees[[#This Row],[RVG Code]],RVGCodes[Code],RVGCodes[Base Units],"Code not found"))</f>
        <v/>
      </c>
      <c r="C703" s="37" t="s">
        <v>701</v>
      </c>
      <c r="D703" s="44" t="s">
        <v>1108</v>
      </c>
      <c r="E703" s="44"/>
      <c r="F703" s="44" t="s">
        <v>1109</v>
      </c>
      <c r="G703" s="39">
        <v>0</v>
      </c>
      <c r="H703" s="39">
        <v>0</v>
      </c>
      <c r="I703" s="39">
        <v>0</v>
      </c>
      <c r="J703" s="39">
        <v>0</v>
      </c>
      <c r="K703" s="40">
        <v>0</v>
      </c>
      <c r="L703" s="45" t="s">
        <v>1015</v>
      </c>
      <c r="M703" s="41" t="str">
        <f>IF(MasterFees[[#This Row],[GST Basis]]="Excl",MasterFees[[#This Row],[Fee as Printed]],IF(MasterFees[[#This Row],[GST Basis]]="Incl",MasterFees[[#This Row],[Fee as Printed]]/(1+GST_Rate),""))</f>
        <v/>
      </c>
      <c r="N703" s="41" t="str">
        <f>IF(MasterFees[[#This Row],[GST Basis]]="Incl",MasterFees[[#This Row],[Fee as Printed]],IF(MasterFees[[#This Row],[GST Basis]]="Excl",MasterFees[[#This Row],[Fee as Printed]]*(1+GST_Rate),""))</f>
        <v/>
      </c>
      <c r="O703" s="42" t="str">
        <f>IF(N(MasterFees[[#This Row],[Total Units]])=0,"",MasterFees[[#This Row],[Fee as Printed]]/MasterFees[[#This Row],[Total Units]])</f>
        <v/>
      </c>
      <c r="P703" s="43"/>
      <c r="Q703" s="46" t="s">
        <v>1013</v>
      </c>
      <c r="R703" s="46" t="s">
        <v>1811</v>
      </c>
      <c r="S703" s="37"/>
    </row>
    <row r="704" spans="1:19" x14ac:dyDescent="0.2">
      <c r="A704" s="36"/>
      <c r="B704" s="38" t="str">
        <f>IF(MasterFees[[#This Row],[RVG Code]]="","",_xlfn.XLOOKUP(MasterFees[[#This Row],[RVG Code]],RVGCodes[Code],RVGCodes[Base Units],"Code not found"))</f>
        <v/>
      </c>
      <c r="C704" s="37" t="s">
        <v>702</v>
      </c>
      <c r="D704" s="44" t="s">
        <v>1108</v>
      </c>
      <c r="E704" s="44"/>
      <c r="F704" s="44" t="s">
        <v>1109</v>
      </c>
      <c r="G704" s="39">
        <v>12</v>
      </c>
      <c r="H704" s="39">
        <v>49</v>
      </c>
      <c r="I704" s="39">
        <v>0</v>
      </c>
      <c r="J704" s="39">
        <v>61</v>
      </c>
      <c r="K704" s="40">
        <v>3355</v>
      </c>
      <c r="L704" s="45" t="s">
        <v>1015</v>
      </c>
      <c r="M704" s="41" t="str">
        <f>IF(MasterFees[[#This Row],[GST Basis]]="Excl",MasterFees[[#This Row],[Fee as Printed]],IF(MasterFees[[#This Row],[GST Basis]]="Incl",MasterFees[[#This Row],[Fee as Printed]]/(1+GST_Rate),""))</f>
        <v/>
      </c>
      <c r="N704" s="41" t="str">
        <f>IF(MasterFees[[#This Row],[GST Basis]]="Incl",MasterFees[[#This Row],[Fee as Printed]],IF(MasterFees[[#This Row],[GST Basis]]="Excl",MasterFees[[#This Row],[Fee as Printed]]*(1+GST_Rate),""))</f>
        <v/>
      </c>
      <c r="O704" s="42">
        <f>IF(N(MasterFees[[#This Row],[Total Units]])=0,"",MasterFees[[#This Row],[Fee as Printed]]/MasterFees[[#This Row],[Total Units]])</f>
        <v>55</v>
      </c>
      <c r="P704" s="43"/>
      <c r="Q704" s="46" t="s">
        <v>1013</v>
      </c>
      <c r="R704" s="46" t="s">
        <v>1812</v>
      </c>
      <c r="S704" s="37"/>
    </row>
    <row r="705" spans="1:19" x14ac:dyDescent="0.2">
      <c r="A705" s="36"/>
      <c r="B705" s="38" t="str">
        <f>IF(MasterFees[[#This Row],[RVG Code]]="","",_xlfn.XLOOKUP(MasterFees[[#This Row],[RVG Code]],RVGCodes[Code],RVGCodes[Base Units],"Code not found"))</f>
        <v/>
      </c>
      <c r="C705" s="37" t="s">
        <v>703</v>
      </c>
      <c r="D705" s="44" t="s">
        <v>1108</v>
      </c>
      <c r="E705" s="44"/>
      <c r="F705" s="44" t="s">
        <v>1109</v>
      </c>
      <c r="G705" s="39">
        <v>0</v>
      </c>
      <c r="H705" s="39">
        <v>1</v>
      </c>
      <c r="I705" s="39">
        <v>0</v>
      </c>
      <c r="J705" s="39">
        <v>1</v>
      </c>
      <c r="K705" s="40">
        <v>55</v>
      </c>
      <c r="L705" s="45" t="s">
        <v>1015</v>
      </c>
      <c r="M705" s="41" t="str">
        <f>IF(MasterFees[[#This Row],[GST Basis]]="Excl",MasterFees[[#This Row],[Fee as Printed]],IF(MasterFees[[#This Row],[GST Basis]]="Incl",MasterFees[[#This Row],[Fee as Printed]]/(1+GST_Rate),""))</f>
        <v/>
      </c>
      <c r="N705" s="41" t="str">
        <f>IF(MasterFees[[#This Row],[GST Basis]]="Incl",MasterFees[[#This Row],[Fee as Printed]],IF(MasterFees[[#This Row],[GST Basis]]="Excl",MasterFees[[#This Row],[Fee as Printed]]*(1+GST_Rate),""))</f>
        <v/>
      </c>
      <c r="O705" s="42">
        <f>IF(N(MasterFees[[#This Row],[Total Units]])=0,"",MasterFees[[#This Row],[Fee as Printed]]/MasterFees[[#This Row],[Total Units]])</f>
        <v>55</v>
      </c>
      <c r="P705" s="43"/>
      <c r="Q705" s="46" t="s">
        <v>1013</v>
      </c>
      <c r="R705" s="46" t="s">
        <v>1813</v>
      </c>
      <c r="S705" s="37"/>
    </row>
    <row r="706" spans="1:19" x14ac:dyDescent="0.2">
      <c r="A706" s="36"/>
      <c r="B706" s="38" t="str">
        <f>IF(MasterFees[[#This Row],[RVG Code]]="","",_xlfn.XLOOKUP(MasterFees[[#This Row],[RVG Code]],RVGCodes[Code],RVGCodes[Base Units],"Code not found"))</f>
        <v/>
      </c>
      <c r="C706" s="37" t="s">
        <v>704</v>
      </c>
      <c r="D706" s="44" t="s">
        <v>1108</v>
      </c>
      <c r="E706" s="44"/>
      <c r="F706" s="44" t="s">
        <v>1109</v>
      </c>
      <c r="G706" s="39">
        <v>0</v>
      </c>
      <c r="H706" s="39">
        <v>0</v>
      </c>
      <c r="I706" s="39">
        <v>0</v>
      </c>
      <c r="J706" s="39">
        <v>0</v>
      </c>
      <c r="K706" s="40">
        <v>0</v>
      </c>
      <c r="L706" s="45" t="s">
        <v>1015</v>
      </c>
      <c r="M706" s="41" t="str">
        <f>IF(MasterFees[[#This Row],[GST Basis]]="Excl",MasterFees[[#This Row],[Fee as Printed]],IF(MasterFees[[#This Row],[GST Basis]]="Incl",MasterFees[[#This Row],[Fee as Printed]]/(1+GST_Rate),""))</f>
        <v/>
      </c>
      <c r="N706" s="41" t="str">
        <f>IF(MasterFees[[#This Row],[GST Basis]]="Incl",MasterFees[[#This Row],[Fee as Printed]],IF(MasterFees[[#This Row],[GST Basis]]="Excl",MasterFees[[#This Row],[Fee as Printed]]*(1+GST_Rate),""))</f>
        <v/>
      </c>
      <c r="O706" s="42" t="str">
        <f>IF(N(MasterFees[[#This Row],[Total Units]])=0,"",MasterFees[[#This Row],[Fee as Printed]]/MasterFees[[#This Row],[Total Units]])</f>
        <v/>
      </c>
      <c r="P706" s="43"/>
      <c r="Q706" s="46" t="s">
        <v>1013</v>
      </c>
      <c r="R706" s="46" t="s">
        <v>1814</v>
      </c>
      <c r="S706" s="37"/>
    </row>
    <row r="707" spans="1:19" x14ac:dyDescent="0.2">
      <c r="A707" s="36"/>
      <c r="B707" s="38" t="str">
        <f>IF(MasterFees[[#This Row],[RVG Code]]="","",_xlfn.XLOOKUP(MasterFees[[#This Row],[RVG Code]],RVGCodes[Code],RVGCodes[Base Units],"Code not found"))</f>
        <v/>
      </c>
      <c r="C707" s="37" t="s">
        <v>705</v>
      </c>
      <c r="D707" s="44" t="s">
        <v>1108</v>
      </c>
      <c r="E707" s="44"/>
      <c r="F707" s="44" t="s">
        <v>1109</v>
      </c>
      <c r="G707" s="39">
        <v>4.0999999999999996</v>
      </c>
      <c r="H707" s="39">
        <v>3.4</v>
      </c>
      <c r="I707" s="39">
        <v>0.3</v>
      </c>
      <c r="J707" s="39">
        <v>7.9</v>
      </c>
      <c r="K707" s="40">
        <v>431.75</v>
      </c>
      <c r="L707" s="45" t="s">
        <v>1015</v>
      </c>
      <c r="M707" s="41" t="str">
        <f>IF(MasterFees[[#This Row],[GST Basis]]="Excl",MasterFees[[#This Row],[Fee as Printed]],IF(MasterFees[[#This Row],[GST Basis]]="Incl",MasterFees[[#This Row],[Fee as Printed]]/(1+GST_Rate),""))</f>
        <v/>
      </c>
      <c r="N707" s="41" t="str">
        <f>IF(MasterFees[[#This Row],[GST Basis]]="Incl",MasterFees[[#This Row],[Fee as Printed]],IF(MasterFees[[#This Row],[GST Basis]]="Excl",MasterFees[[#This Row],[Fee as Printed]]*(1+GST_Rate),""))</f>
        <v/>
      </c>
      <c r="O707" s="42">
        <f>IF(N(MasterFees[[#This Row],[Total Units]])=0,"",MasterFees[[#This Row],[Fee as Printed]]/MasterFees[[#This Row],[Total Units]])</f>
        <v>54.651898734177216</v>
      </c>
      <c r="P707" s="43"/>
      <c r="Q707" s="46" t="s">
        <v>1013</v>
      </c>
      <c r="R707" s="46" t="s">
        <v>1815</v>
      </c>
      <c r="S707" s="37"/>
    </row>
    <row r="708" spans="1:19" x14ac:dyDescent="0.2">
      <c r="A708" s="36"/>
      <c r="B708" s="38" t="str">
        <f>IF(MasterFees[[#This Row],[RVG Code]]="","",_xlfn.XLOOKUP(MasterFees[[#This Row],[RVG Code]],RVGCodes[Code],RVGCodes[Base Units],"Code not found"))</f>
        <v/>
      </c>
      <c r="C708" s="37" t="s">
        <v>706</v>
      </c>
      <c r="D708" s="44" t="s">
        <v>1108</v>
      </c>
      <c r="E708" s="44"/>
      <c r="F708" s="44" t="s">
        <v>1109</v>
      </c>
      <c r="G708" s="39">
        <v>5</v>
      </c>
      <c r="H708" s="39">
        <v>7</v>
      </c>
      <c r="I708" s="39">
        <v>0</v>
      </c>
      <c r="J708" s="39">
        <v>12</v>
      </c>
      <c r="K708" s="40">
        <v>660</v>
      </c>
      <c r="L708" s="45" t="s">
        <v>1015</v>
      </c>
      <c r="M708" s="41" t="str">
        <f>IF(MasterFees[[#This Row],[GST Basis]]="Excl",MasterFees[[#This Row],[Fee as Printed]],IF(MasterFees[[#This Row],[GST Basis]]="Incl",MasterFees[[#This Row],[Fee as Printed]]/(1+GST_Rate),""))</f>
        <v/>
      </c>
      <c r="N708" s="41" t="str">
        <f>IF(MasterFees[[#This Row],[GST Basis]]="Incl",MasterFees[[#This Row],[Fee as Printed]],IF(MasterFees[[#This Row],[GST Basis]]="Excl",MasterFees[[#This Row],[Fee as Printed]]*(1+GST_Rate),""))</f>
        <v/>
      </c>
      <c r="O708" s="42">
        <f>IF(N(MasterFees[[#This Row],[Total Units]])=0,"",MasterFees[[#This Row],[Fee as Printed]]/MasterFees[[#This Row],[Total Units]])</f>
        <v>55</v>
      </c>
      <c r="P708" s="43"/>
      <c r="Q708" s="46" t="s">
        <v>1013</v>
      </c>
      <c r="R708" s="46" t="s">
        <v>1816</v>
      </c>
      <c r="S708" s="37"/>
    </row>
    <row r="709" spans="1:19" x14ac:dyDescent="0.2">
      <c r="A709" s="36"/>
      <c r="B709" s="38" t="str">
        <f>IF(MasterFees[[#This Row],[RVG Code]]="","",_xlfn.XLOOKUP(MasterFees[[#This Row],[RVG Code]],RVGCodes[Code],RVGCodes[Base Units],"Code not found"))</f>
        <v/>
      </c>
      <c r="C709" s="37" t="s">
        <v>707</v>
      </c>
      <c r="D709" s="44" t="s">
        <v>1108</v>
      </c>
      <c r="E709" s="44"/>
      <c r="F709" s="44" t="s">
        <v>1109</v>
      </c>
      <c r="G709" s="39">
        <v>4</v>
      </c>
      <c r="H709" s="39">
        <v>3</v>
      </c>
      <c r="I709" s="39">
        <v>2</v>
      </c>
      <c r="J709" s="39">
        <v>9</v>
      </c>
      <c r="K709" s="40">
        <v>495</v>
      </c>
      <c r="L709" s="45" t="s">
        <v>1015</v>
      </c>
      <c r="M709" s="41" t="str">
        <f>IF(MasterFees[[#This Row],[GST Basis]]="Excl",MasterFees[[#This Row],[Fee as Printed]],IF(MasterFees[[#This Row],[GST Basis]]="Incl",MasterFees[[#This Row],[Fee as Printed]]/(1+GST_Rate),""))</f>
        <v/>
      </c>
      <c r="N709" s="41" t="str">
        <f>IF(MasterFees[[#This Row],[GST Basis]]="Incl",MasterFees[[#This Row],[Fee as Printed]],IF(MasterFees[[#This Row],[GST Basis]]="Excl",MasterFees[[#This Row],[Fee as Printed]]*(1+GST_Rate),""))</f>
        <v/>
      </c>
      <c r="O709" s="42">
        <f>IF(N(MasterFees[[#This Row],[Total Units]])=0,"",MasterFees[[#This Row],[Fee as Printed]]/MasterFees[[#This Row],[Total Units]])</f>
        <v>55</v>
      </c>
      <c r="P709" s="43"/>
      <c r="Q709" s="46" t="s">
        <v>1013</v>
      </c>
      <c r="R709" s="46" t="s">
        <v>1817</v>
      </c>
      <c r="S709" s="37"/>
    </row>
    <row r="710" spans="1:19" x14ac:dyDescent="0.2">
      <c r="A710" s="36"/>
      <c r="B710" s="38" t="str">
        <f>IF(MasterFees[[#This Row],[RVG Code]]="","",_xlfn.XLOOKUP(MasterFees[[#This Row],[RVG Code]],RVGCodes[Code],RVGCodes[Base Units],"Code not found"))</f>
        <v/>
      </c>
      <c r="C710" s="37" t="s">
        <v>708</v>
      </c>
      <c r="D710" s="44" t="s">
        <v>1108</v>
      </c>
      <c r="E710" s="44"/>
      <c r="F710" s="44" t="s">
        <v>1109</v>
      </c>
      <c r="G710" s="39">
        <v>9.1999999999999993</v>
      </c>
      <c r="H710" s="39">
        <v>9.8000000000000007</v>
      </c>
      <c r="I710" s="39">
        <v>0.8</v>
      </c>
      <c r="J710" s="39">
        <v>19.8</v>
      </c>
      <c r="K710" s="40">
        <v>1086.8</v>
      </c>
      <c r="L710" s="45" t="s">
        <v>1015</v>
      </c>
      <c r="M710" s="41" t="str">
        <f>IF(MasterFees[[#This Row],[GST Basis]]="Excl",MasterFees[[#This Row],[Fee as Printed]],IF(MasterFees[[#This Row],[GST Basis]]="Incl",MasterFees[[#This Row],[Fee as Printed]]/(1+GST_Rate),""))</f>
        <v/>
      </c>
      <c r="N710" s="41" t="str">
        <f>IF(MasterFees[[#This Row],[GST Basis]]="Incl",MasterFees[[#This Row],[Fee as Printed]],IF(MasterFees[[#This Row],[GST Basis]]="Excl",MasterFees[[#This Row],[Fee as Printed]]*(1+GST_Rate),""))</f>
        <v/>
      </c>
      <c r="O710" s="42">
        <f>IF(N(MasterFees[[#This Row],[Total Units]])=0,"",MasterFees[[#This Row],[Fee as Printed]]/MasterFees[[#This Row],[Total Units]])</f>
        <v>54.888888888888886</v>
      </c>
      <c r="P710" s="43"/>
      <c r="Q710" s="46" t="s">
        <v>1013</v>
      </c>
      <c r="R710" s="46" t="s">
        <v>1818</v>
      </c>
      <c r="S710" s="37"/>
    </row>
    <row r="711" spans="1:19" x14ac:dyDescent="0.2">
      <c r="A711" s="36"/>
      <c r="B711" s="38" t="str">
        <f>IF(MasterFees[[#This Row],[RVG Code]]="","",_xlfn.XLOOKUP(MasterFees[[#This Row],[RVG Code]],RVGCodes[Code],RVGCodes[Base Units],"Code not found"))</f>
        <v/>
      </c>
      <c r="C711" s="37" t="s">
        <v>709</v>
      </c>
      <c r="D711" s="44" t="s">
        <v>1108</v>
      </c>
      <c r="E711" s="44"/>
      <c r="F711" s="44" t="s">
        <v>1109</v>
      </c>
      <c r="G711" s="39">
        <v>4.0999999999999996</v>
      </c>
      <c r="H711" s="39">
        <v>2.2000000000000002</v>
      </c>
      <c r="I711" s="39">
        <v>0.4</v>
      </c>
      <c r="J711" s="39">
        <v>6.6</v>
      </c>
      <c r="K711" s="40">
        <v>364.65</v>
      </c>
      <c r="L711" s="45" t="s">
        <v>1015</v>
      </c>
      <c r="M711" s="41" t="str">
        <f>IF(MasterFees[[#This Row],[GST Basis]]="Excl",MasterFees[[#This Row],[Fee as Printed]],IF(MasterFees[[#This Row],[GST Basis]]="Incl",MasterFees[[#This Row],[Fee as Printed]]/(1+GST_Rate),""))</f>
        <v/>
      </c>
      <c r="N711" s="41" t="str">
        <f>IF(MasterFees[[#This Row],[GST Basis]]="Incl",MasterFees[[#This Row],[Fee as Printed]],IF(MasterFees[[#This Row],[GST Basis]]="Excl",MasterFees[[#This Row],[Fee as Printed]]*(1+GST_Rate),""))</f>
        <v/>
      </c>
      <c r="O711" s="42">
        <f>IF(N(MasterFees[[#This Row],[Total Units]])=0,"",MasterFees[[#This Row],[Fee as Printed]]/MasterFees[[#This Row],[Total Units]])</f>
        <v>55.25</v>
      </c>
      <c r="P711" s="43"/>
      <c r="Q711" s="46" t="s">
        <v>1013</v>
      </c>
      <c r="R711" s="46" t="s">
        <v>1819</v>
      </c>
      <c r="S711" s="37"/>
    </row>
    <row r="712" spans="1:19" x14ac:dyDescent="0.2">
      <c r="A712" s="36"/>
      <c r="B712" s="38" t="str">
        <f>IF(MasterFees[[#This Row],[RVG Code]]="","",_xlfn.XLOOKUP(MasterFees[[#This Row],[RVG Code]],RVGCodes[Code],RVGCodes[Base Units],"Code not found"))</f>
        <v/>
      </c>
      <c r="C712" s="37" t="s">
        <v>710</v>
      </c>
      <c r="D712" s="44" t="s">
        <v>1108</v>
      </c>
      <c r="E712" s="44"/>
      <c r="F712" s="44" t="s">
        <v>1109</v>
      </c>
      <c r="G712" s="39">
        <v>0</v>
      </c>
      <c r="H712" s="39">
        <v>0</v>
      </c>
      <c r="I712" s="39">
        <v>0</v>
      </c>
      <c r="J712" s="39">
        <v>0</v>
      </c>
      <c r="K712" s="40">
        <v>0</v>
      </c>
      <c r="L712" s="45" t="s">
        <v>1015</v>
      </c>
      <c r="M712" s="41" t="str">
        <f>IF(MasterFees[[#This Row],[GST Basis]]="Excl",MasterFees[[#This Row],[Fee as Printed]],IF(MasterFees[[#This Row],[GST Basis]]="Incl",MasterFees[[#This Row],[Fee as Printed]]/(1+GST_Rate),""))</f>
        <v/>
      </c>
      <c r="N712" s="41" t="str">
        <f>IF(MasterFees[[#This Row],[GST Basis]]="Incl",MasterFees[[#This Row],[Fee as Printed]],IF(MasterFees[[#This Row],[GST Basis]]="Excl",MasterFees[[#This Row],[Fee as Printed]]*(1+GST_Rate),""))</f>
        <v/>
      </c>
      <c r="O712" s="42" t="str">
        <f>IF(N(MasterFees[[#This Row],[Total Units]])=0,"",MasterFees[[#This Row],[Fee as Printed]]/MasterFees[[#This Row],[Total Units]])</f>
        <v/>
      </c>
      <c r="P712" s="43"/>
      <c r="Q712" s="46" t="s">
        <v>1013</v>
      </c>
      <c r="R712" s="46" t="s">
        <v>1820</v>
      </c>
      <c r="S712" s="37"/>
    </row>
    <row r="713" spans="1:19" x14ac:dyDescent="0.2">
      <c r="A713" s="36"/>
      <c r="B713" s="38" t="str">
        <f>IF(MasterFees[[#This Row],[RVG Code]]="","",_xlfn.XLOOKUP(MasterFees[[#This Row],[RVG Code]],RVGCodes[Code],RVGCodes[Base Units],"Code not found"))</f>
        <v/>
      </c>
      <c r="C713" s="37" t="s">
        <v>711</v>
      </c>
      <c r="D713" s="44" t="s">
        <v>1108</v>
      </c>
      <c r="E713" s="44"/>
      <c r="F713" s="44" t="s">
        <v>1109</v>
      </c>
      <c r="G713" s="39">
        <v>8</v>
      </c>
      <c r="H713" s="39">
        <v>8.6</v>
      </c>
      <c r="I713" s="39">
        <v>1.4</v>
      </c>
      <c r="J713" s="39">
        <v>18</v>
      </c>
      <c r="K713" s="40">
        <v>989.45</v>
      </c>
      <c r="L713" s="45" t="s">
        <v>1015</v>
      </c>
      <c r="M713" s="41" t="str">
        <f>IF(MasterFees[[#This Row],[GST Basis]]="Excl",MasterFees[[#This Row],[Fee as Printed]],IF(MasterFees[[#This Row],[GST Basis]]="Incl",MasterFees[[#This Row],[Fee as Printed]]/(1+GST_Rate),""))</f>
        <v/>
      </c>
      <c r="N713" s="41" t="str">
        <f>IF(MasterFees[[#This Row],[GST Basis]]="Incl",MasterFees[[#This Row],[Fee as Printed]],IF(MasterFees[[#This Row],[GST Basis]]="Excl",MasterFees[[#This Row],[Fee as Printed]]*(1+GST_Rate),""))</f>
        <v/>
      </c>
      <c r="O713" s="42">
        <f>IF(N(MasterFees[[#This Row],[Total Units]])=0,"",MasterFees[[#This Row],[Fee as Printed]]/MasterFees[[#This Row],[Total Units]])</f>
        <v>54.969444444444449</v>
      </c>
      <c r="P713" s="43"/>
      <c r="Q713" s="46" t="s">
        <v>1013</v>
      </c>
      <c r="R713" s="46" t="s">
        <v>1821</v>
      </c>
      <c r="S713" s="37"/>
    </row>
    <row r="714" spans="1:19" x14ac:dyDescent="0.2">
      <c r="A714" s="36"/>
      <c r="B714" s="38" t="str">
        <f>IF(MasterFees[[#This Row],[RVG Code]]="","",_xlfn.XLOOKUP(MasterFees[[#This Row],[RVG Code]],RVGCodes[Code],RVGCodes[Base Units],"Code not found"))</f>
        <v/>
      </c>
      <c r="C714" s="37" t="s">
        <v>712</v>
      </c>
      <c r="D714" s="44" t="s">
        <v>1108</v>
      </c>
      <c r="E714" s="44"/>
      <c r="F714" s="44" t="s">
        <v>1109</v>
      </c>
      <c r="G714" s="39">
        <v>4.5999999999999996</v>
      </c>
      <c r="H714" s="39">
        <v>2.2000000000000002</v>
      </c>
      <c r="I714" s="39">
        <v>0.6</v>
      </c>
      <c r="J714" s="39">
        <v>7.3</v>
      </c>
      <c r="K714" s="40">
        <v>401.5</v>
      </c>
      <c r="L714" s="45" t="s">
        <v>1015</v>
      </c>
      <c r="M714" s="41" t="str">
        <f>IF(MasterFees[[#This Row],[GST Basis]]="Excl",MasterFees[[#This Row],[Fee as Printed]],IF(MasterFees[[#This Row],[GST Basis]]="Incl",MasterFees[[#This Row],[Fee as Printed]]/(1+GST_Rate),""))</f>
        <v/>
      </c>
      <c r="N714" s="41" t="str">
        <f>IF(MasterFees[[#This Row],[GST Basis]]="Incl",MasterFees[[#This Row],[Fee as Printed]],IF(MasterFees[[#This Row],[GST Basis]]="Excl",MasterFees[[#This Row],[Fee as Printed]]*(1+GST_Rate),""))</f>
        <v/>
      </c>
      <c r="O714" s="42">
        <f>IF(N(MasterFees[[#This Row],[Total Units]])=0,"",MasterFees[[#This Row],[Fee as Printed]]/MasterFees[[#This Row],[Total Units]])</f>
        <v>55</v>
      </c>
      <c r="P714" s="43"/>
      <c r="Q714" s="46" t="s">
        <v>1013</v>
      </c>
      <c r="R714" s="46" t="s">
        <v>1822</v>
      </c>
      <c r="S714" s="37"/>
    </row>
    <row r="715" spans="1:19" x14ac:dyDescent="0.2">
      <c r="A715" s="36"/>
      <c r="B715" s="38" t="str">
        <f>IF(MasterFees[[#This Row],[RVG Code]]="","",_xlfn.XLOOKUP(MasterFees[[#This Row],[RVG Code]],RVGCodes[Code],RVGCodes[Base Units],"Code not found"))</f>
        <v/>
      </c>
      <c r="C715" s="37" t="s">
        <v>713</v>
      </c>
      <c r="D715" s="44" t="s">
        <v>1108</v>
      </c>
      <c r="E715" s="44"/>
      <c r="F715" s="44" t="s">
        <v>1109</v>
      </c>
      <c r="G715" s="39">
        <v>0</v>
      </c>
      <c r="H715" s="39">
        <v>0</v>
      </c>
      <c r="I715" s="39">
        <v>0</v>
      </c>
      <c r="J715" s="39">
        <v>0</v>
      </c>
      <c r="K715" s="40">
        <v>0</v>
      </c>
      <c r="L715" s="45" t="s">
        <v>1015</v>
      </c>
      <c r="M715" s="41" t="str">
        <f>IF(MasterFees[[#This Row],[GST Basis]]="Excl",MasterFees[[#This Row],[Fee as Printed]],IF(MasterFees[[#This Row],[GST Basis]]="Incl",MasterFees[[#This Row],[Fee as Printed]]/(1+GST_Rate),""))</f>
        <v/>
      </c>
      <c r="N715" s="41" t="str">
        <f>IF(MasterFees[[#This Row],[GST Basis]]="Incl",MasterFees[[#This Row],[Fee as Printed]],IF(MasterFees[[#This Row],[GST Basis]]="Excl",MasterFees[[#This Row],[Fee as Printed]]*(1+GST_Rate),""))</f>
        <v/>
      </c>
      <c r="O715" s="42" t="str">
        <f>IF(N(MasterFees[[#This Row],[Total Units]])=0,"",MasterFees[[#This Row],[Fee as Printed]]/MasterFees[[#This Row],[Total Units]])</f>
        <v/>
      </c>
      <c r="P715" s="43"/>
      <c r="Q715" s="46" t="s">
        <v>1013</v>
      </c>
      <c r="R715" s="46" t="s">
        <v>1823</v>
      </c>
      <c r="S715" s="37"/>
    </row>
    <row r="716" spans="1:19" x14ac:dyDescent="0.2">
      <c r="A716" s="36"/>
      <c r="B716" s="38" t="str">
        <f>IF(MasterFees[[#This Row],[RVG Code]]="","",_xlfn.XLOOKUP(MasterFees[[#This Row],[RVG Code]],RVGCodes[Code],RVGCodes[Base Units],"Code not found"))</f>
        <v/>
      </c>
      <c r="C716" s="37" t="s">
        <v>714</v>
      </c>
      <c r="D716" s="44" t="s">
        <v>1108</v>
      </c>
      <c r="E716" s="44"/>
      <c r="F716" s="44" t="s">
        <v>1109</v>
      </c>
      <c r="G716" s="39">
        <v>0</v>
      </c>
      <c r="H716" s="39">
        <v>3</v>
      </c>
      <c r="I716" s="39">
        <v>0</v>
      </c>
      <c r="J716" s="39">
        <v>3</v>
      </c>
      <c r="K716" s="40">
        <v>165</v>
      </c>
      <c r="L716" s="45" t="s">
        <v>1015</v>
      </c>
      <c r="M716" s="41" t="str">
        <f>IF(MasterFees[[#This Row],[GST Basis]]="Excl",MasterFees[[#This Row],[Fee as Printed]],IF(MasterFees[[#This Row],[GST Basis]]="Incl",MasterFees[[#This Row],[Fee as Printed]]/(1+GST_Rate),""))</f>
        <v/>
      </c>
      <c r="N716" s="41" t="str">
        <f>IF(MasterFees[[#This Row],[GST Basis]]="Incl",MasterFees[[#This Row],[Fee as Printed]],IF(MasterFees[[#This Row],[GST Basis]]="Excl",MasterFees[[#This Row],[Fee as Printed]]*(1+GST_Rate),""))</f>
        <v/>
      </c>
      <c r="O716" s="42">
        <f>IF(N(MasterFees[[#This Row],[Total Units]])=0,"",MasterFees[[#This Row],[Fee as Printed]]/MasterFees[[#This Row],[Total Units]])</f>
        <v>55</v>
      </c>
      <c r="P716" s="43"/>
      <c r="Q716" s="46" t="s">
        <v>1013</v>
      </c>
      <c r="R716" s="46" t="s">
        <v>1824</v>
      </c>
      <c r="S716" s="37"/>
    </row>
    <row r="717" spans="1:19" x14ac:dyDescent="0.2">
      <c r="A717" s="36"/>
      <c r="B717" s="38" t="str">
        <f>IF(MasterFees[[#This Row],[RVG Code]]="","",_xlfn.XLOOKUP(MasterFees[[#This Row],[RVG Code]],RVGCodes[Code],RVGCodes[Base Units],"Code not found"))</f>
        <v/>
      </c>
      <c r="C717" s="37" t="s">
        <v>715</v>
      </c>
      <c r="D717" s="44" t="s">
        <v>1108</v>
      </c>
      <c r="E717" s="44"/>
      <c r="F717" s="44" t="s">
        <v>1109</v>
      </c>
      <c r="G717" s="39">
        <v>6</v>
      </c>
      <c r="H717" s="39">
        <v>5</v>
      </c>
      <c r="I717" s="39">
        <v>0</v>
      </c>
      <c r="J717" s="39">
        <v>11</v>
      </c>
      <c r="K717" s="40">
        <v>605</v>
      </c>
      <c r="L717" s="45" t="s">
        <v>1015</v>
      </c>
      <c r="M717" s="41" t="str">
        <f>IF(MasterFees[[#This Row],[GST Basis]]="Excl",MasterFees[[#This Row],[Fee as Printed]],IF(MasterFees[[#This Row],[GST Basis]]="Incl",MasterFees[[#This Row],[Fee as Printed]]/(1+GST_Rate),""))</f>
        <v/>
      </c>
      <c r="N717" s="41" t="str">
        <f>IF(MasterFees[[#This Row],[GST Basis]]="Incl",MasterFees[[#This Row],[Fee as Printed]],IF(MasterFees[[#This Row],[GST Basis]]="Excl",MasterFees[[#This Row],[Fee as Printed]]*(1+GST_Rate),""))</f>
        <v/>
      </c>
      <c r="O717" s="42">
        <f>IF(N(MasterFees[[#This Row],[Total Units]])=0,"",MasterFees[[#This Row],[Fee as Printed]]/MasterFees[[#This Row],[Total Units]])</f>
        <v>55</v>
      </c>
      <c r="P717" s="43"/>
      <c r="Q717" s="46" t="s">
        <v>1013</v>
      </c>
      <c r="R717" s="46" t="s">
        <v>1825</v>
      </c>
      <c r="S717" s="37"/>
    </row>
    <row r="718" spans="1:19" x14ac:dyDescent="0.2">
      <c r="A718" s="36"/>
      <c r="B718" s="38" t="str">
        <f>IF(MasterFees[[#This Row],[RVG Code]]="","",_xlfn.XLOOKUP(MasterFees[[#This Row],[RVG Code]],RVGCodes[Code],RVGCodes[Base Units],"Code not found"))</f>
        <v/>
      </c>
      <c r="C718" s="37" t="s">
        <v>716</v>
      </c>
      <c r="D718" s="44" t="s">
        <v>1108</v>
      </c>
      <c r="E718" s="44"/>
      <c r="F718" s="44" t="s">
        <v>1109</v>
      </c>
      <c r="G718" s="39">
        <v>5</v>
      </c>
      <c r="H718" s="39">
        <v>4.5</v>
      </c>
      <c r="I718" s="39">
        <v>0.3</v>
      </c>
      <c r="J718" s="39">
        <v>9.8000000000000007</v>
      </c>
      <c r="K718" s="40">
        <v>538.45000000000005</v>
      </c>
      <c r="L718" s="45" t="s">
        <v>1015</v>
      </c>
      <c r="M718" s="41" t="str">
        <f>IF(MasterFees[[#This Row],[GST Basis]]="Excl",MasterFees[[#This Row],[Fee as Printed]],IF(MasterFees[[#This Row],[GST Basis]]="Incl",MasterFees[[#This Row],[Fee as Printed]]/(1+GST_Rate),""))</f>
        <v/>
      </c>
      <c r="N718" s="41" t="str">
        <f>IF(MasterFees[[#This Row],[GST Basis]]="Incl",MasterFees[[#This Row],[Fee as Printed]],IF(MasterFees[[#This Row],[GST Basis]]="Excl",MasterFees[[#This Row],[Fee as Printed]]*(1+GST_Rate),""))</f>
        <v/>
      </c>
      <c r="O718" s="42">
        <f>IF(N(MasterFees[[#This Row],[Total Units]])=0,"",MasterFees[[#This Row],[Fee as Printed]]/MasterFees[[#This Row],[Total Units]])</f>
        <v>54.943877551020407</v>
      </c>
      <c r="P718" s="43"/>
      <c r="Q718" s="46" t="s">
        <v>1013</v>
      </c>
      <c r="R718" s="46" t="s">
        <v>1826</v>
      </c>
      <c r="S718" s="37"/>
    </row>
    <row r="719" spans="1:19" x14ac:dyDescent="0.2">
      <c r="A719" s="36"/>
      <c r="B719" s="38" t="str">
        <f>IF(MasterFees[[#This Row],[RVG Code]]="","",_xlfn.XLOOKUP(MasterFees[[#This Row],[RVG Code]],RVGCodes[Code],RVGCodes[Base Units],"Code not found"))</f>
        <v/>
      </c>
      <c r="C719" s="37" t="s">
        <v>717</v>
      </c>
      <c r="D719" s="44" t="s">
        <v>1108</v>
      </c>
      <c r="E719" s="44"/>
      <c r="F719" s="44" t="s">
        <v>1109</v>
      </c>
      <c r="G719" s="39">
        <v>3.3</v>
      </c>
      <c r="H719" s="39">
        <v>4.3</v>
      </c>
      <c r="I719" s="39">
        <v>0.3</v>
      </c>
      <c r="J719" s="39">
        <v>8</v>
      </c>
      <c r="K719" s="40">
        <v>439.45</v>
      </c>
      <c r="L719" s="45" t="s">
        <v>1015</v>
      </c>
      <c r="M719" s="41" t="str">
        <f>IF(MasterFees[[#This Row],[GST Basis]]="Excl",MasterFees[[#This Row],[Fee as Printed]],IF(MasterFees[[#This Row],[GST Basis]]="Incl",MasterFees[[#This Row],[Fee as Printed]]/(1+GST_Rate),""))</f>
        <v/>
      </c>
      <c r="N719" s="41" t="str">
        <f>IF(MasterFees[[#This Row],[GST Basis]]="Incl",MasterFees[[#This Row],[Fee as Printed]],IF(MasterFees[[#This Row],[GST Basis]]="Excl",MasterFees[[#This Row],[Fee as Printed]]*(1+GST_Rate),""))</f>
        <v/>
      </c>
      <c r="O719" s="42">
        <f>IF(N(MasterFees[[#This Row],[Total Units]])=0,"",MasterFees[[#This Row],[Fee as Printed]]/MasterFees[[#This Row],[Total Units]])</f>
        <v>54.931249999999999</v>
      </c>
      <c r="P719" s="43"/>
      <c r="Q719" s="46" t="s">
        <v>1013</v>
      </c>
      <c r="R719" s="46" t="s">
        <v>1827</v>
      </c>
      <c r="S719" s="37"/>
    </row>
    <row r="720" spans="1:19" x14ac:dyDescent="0.2">
      <c r="A720" s="36"/>
      <c r="B720" s="38" t="str">
        <f>IF(MasterFees[[#This Row],[RVG Code]]="","",_xlfn.XLOOKUP(MasterFees[[#This Row],[RVG Code]],RVGCodes[Code],RVGCodes[Base Units],"Code not found"))</f>
        <v/>
      </c>
      <c r="C720" s="37" t="s">
        <v>718</v>
      </c>
      <c r="D720" s="44" t="s">
        <v>1108</v>
      </c>
      <c r="E720" s="44"/>
      <c r="F720" s="44" t="s">
        <v>1109</v>
      </c>
      <c r="G720" s="39">
        <v>5</v>
      </c>
      <c r="H720" s="39">
        <v>4.3</v>
      </c>
      <c r="I720" s="39">
        <v>0.3</v>
      </c>
      <c r="J720" s="39">
        <v>9.6</v>
      </c>
      <c r="K720" s="40">
        <v>525.25</v>
      </c>
      <c r="L720" s="45" t="s">
        <v>1015</v>
      </c>
      <c r="M720" s="41" t="str">
        <f>IF(MasterFees[[#This Row],[GST Basis]]="Excl",MasterFees[[#This Row],[Fee as Printed]],IF(MasterFees[[#This Row],[GST Basis]]="Incl",MasterFees[[#This Row],[Fee as Printed]]/(1+GST_Rate),""))</f>
        <v/>
      </c>
      <c r="N720" s="41" t="str">
        <f>IF(MasterFees[[#This Row],[GST Basis]]="Incl",MasterFees[[#This Row],[Fee as Printed]],IF(MasterFees[[#This Row],[GST Basis]]="Excl",MasterFees[[#This Row],[Fee as Printed]]*(1+GST_Rate),""))</f>
        <v/>
      </c>
      <c r="O720" s="42">
        <f>IF(N(MasterFees[[#This Row],[Total Units]])=0,"",MasterFees[[#This Row],[Fee as Printed]]/MasterFees[[#This Row],[Total Units]])</f>
        <v>54.713541666666671</v>
      </c>
      <c r="P720" s="43"/>
      <c r="Q720" s="46" t="s">
        <v>1013</v>
      </c>
      <c r="R720" s="46" t="s">
        <v>1828</v>
      </c>
      <c r="S720" s="37"/>
    </row>
    <row r="721" spans="1:19" x14ac:dyDescent="0.2">
      <c r="A721" s="36"/>
      <c r="B721" s="38" t="str">
        <f>IF(MasterFees[[#This Row],[RVG Code]]="","",_xlfn.XLOOKUP(MasterFees[[#This Row],[RVG Code]],RVGCodes[Code],RVGCodes[Base Units],"Code not found"))</f>
        <v/>
      </c>
      <c r="C721" s="37" t="s">
        <v>719</v>
      </c>
      <c r="D721" s="44" t="s">
        <v>1108</v>
      </c>
      <c r="E721" s="44"/>
      <c r="F721" s="44" t="s">
        <v>1109</v>
      </c>
      <c r="G721" s="39">
        <v>5</v>
      </c>
      <c r="H721" s="39">
        <v>3</v>
      </c>
      <c r="I721" s="39">
        <v>0</v>
      </c>
      <c r="J721" s="39">
        <v>8</v>
      </c>
      <c r="K721" s="40">
        <v>440</v>
      </c>
      <c r="L721" s="45" t="s">
        <v>1015</v>
      </c>
      <c r="M721" s="41" t="str">
        <f>IF(MasterFees[[#This Row],[GST Basis]]="Excl",MasterFees[[#This Row],[Fee as Printed]],IF(MasterFees[[#This Row],[GST Basis]]="Incl",MasterFees[[#This Row],[Fee as Printed]]/(1+GST_Rate),""))</f>
        <v/>
      </c>
      <c r="N721" s="41" t="str">
        <f>IF(MasterFees[[#This Row],[GST Basis]]="Incl",MasterFees[[#This Row],[Fee as Printed]],IF(MasterFees[[#This Row],[GST Basis]]="Excl",MasterFees[[#This Row],[Fee as Printed]]*(1+GST_Rate),""))</f>
        <v/>
      </c>
      <c r="O721" s="42">
        <f>IF(N(MasterFees[[#This Row],[Total Units]])=0,"",MasterFees[[#This Row],[Fee as Printed]]/MasterFees[[#This Row],[Total Units]])</f>
        <v>55</v>
      </c>
      <c r="P721" s="43"/>
      <c r="Q721" s="46" t="s">
        <v>1013</v>
      </c>
      <c r="R721" s="46" t="s">
        <v>1829</v>
      </c>
      <c r="S721" s="37"/>
    </row>
    <row r="722" spans="1:19" x14ac:dyDescent="0.2">
      <c r="A722" s="36"/>
      <c r="B722" s="38" t="str">
        <f>IF(MasterFees[[#This Row],[RVG Code]]="","",_xlfn.XLOOKUP(MasterFees[[#This Row],[RVG Code]],RVGCodes[Code],RVGCodes[Base Units],"Code not found"))</f>
        <v/>
      </c>
      <c r="C722" s="37" t="s">
        <v>720</v>
      </c>
      <c r="D722" s="44" t="s">
        <v>1108</v>
      </c>
      <c r="E722" s="44"/>
      <c r="F722" s="44" t="s">
        <v>1109</v>
      </c>
      <c r="G722" s="39">
        <v>5</v>
      </c>
      <c r="H722" s="39">
        <v>5</v>
      </c>
      <c r="I722" s="39">
        <v>0</v>
      </c>
      <c r="J722" s="39">
        <v>10</v>
      </c>
      <c r="K722" s="40">
        <v>550</v>
      </c>
      <c r="L722" s="45" t="s">
        <v>1015</v>
      </c>
      <c r="M722" s="41" t="str">
        <f>IF(MasterFees[[#This Row],[GST Basis]]="Excl",MasterFees[[#This Row],[Fee as Printed]],IF(MasterFees[[#This Row],[GST Basis]]="Incl",MasterFees[[#This Row],[Fee as Printed]]/(1+GST_Rate),""))</f>
        <v/>
      </c>
      <c r="N722" s="41" t="str">
        <f>IF(MasterFees[[#This Row],[GST Basis]]="Incl",MasterFees[[#This Row],[Fee as Printed]],IF(MasterFees[[#This Row],[GST Basis]]="Excl",MasterFees[[#This Row],[Fee as Printed]]*(1+GST_Rate),""))</f>
        <v/>
      </c>
      <c r="O722" s="42">
        <f>IF(N(MasterFees[[#This Row],[Total Units]])=0,"",MasterFees[[#This Row],[Fee as Printed]]/MasterFees[[#This Row],[Total Units]])</f>
        <v>55</v>
      </c>
      <c r="P722" s="43"/>
      <c r="Q722" s="46" t="s">
        <v>1013</v>
      </c>
      <c r="R722" s="46" t="s">
        <v>1830</v>
      </c>
      <c r="S722" s="37"/>
    </row>
    <row r="723" spans="1:19" x14ac:dyDescent="0.2">
      <c r="A723" s="36"/>
      <c r="B723" s="38" t="str">
        <f>IF(MasterFees[[#This Row],[RVG Code]]="","",_xlfn.XLOOKUP(MasterFees[[#This Row],[RVG Code]],RVGCodes[Code],RVGCodes[Base Units],"Code not found"))</f>
        <v/>
      </c>
      <c r="C723" s="37" t="s">
        <v>721</v>
      </c>
      <c r="D723" s="44" t="s">
        <v>1108</v>
      </c>
      <c r="E723" s="44"/>
      <c r="F723" s="44" t="s">
        <v>1109</v>
      </c>
      <c r="G723" s="39">
        <v>5.2</v>
      </c>
      <c r="H723" s="39">
        <v>6.2</v>
      </c>
      <c r="I723" s="39">
        <v>0.6</v>
      </c>
      <c r="J723" s="39">
        <v>12</v>
      </c>
      <c r="K723" s="40">
        <v>660</v>
      </c>
      <c r="L723" s="45" t="s">
        <v>1015</v>
      </c>
      <c r="M723" s="41" t="str">
        <f>IF(MasterFees[[#This Row],[GST Basis]]="Excl",MasterFees[[#This Row],[Fee as Printed]],IF(MasterFees[[#This Row],[GST Basis]]="Incl",MasterFees[[#This Row],[Fee as Printed]]/(1+GST_Rate),""))</f>
        <v/>
      </c>
      <c r="N723" s="41" t="str">
        <f>IF(MasterFees[[#This Row],[GST Basis]]="Incl",MasterFees[[#This Row],[Fee as Printed]],IF(MasterFees[[#This Row],[GST Basis]]="Excl",MasterFees[[#This Row],[Fee as Printed]]*(1+GST_Rate),""))</f>
        <v/>
      </c>
      <c r="O723" s="42">
        <f>IF(N(MasterFees[[#This Row],[Total Units]])=0,"",MasterFees[[#This Row],[Fee as Printed]]/MasterFees[[#This Row],[Total Units]])</f>
        <v>55</v>
      </c>
      <c r="P723" s="43"/>
      <c r="Q723" s="46" t="s">
        <v>1013</v>
      </c>
      <c r="R723" s="46" t="s">
        <v>1831</v>
      </c>
      <c r="S723" s="37"/>
    </row>
    <row r="724" spans="1:19" x14ac:dyDescent="0.2">
      <c r="A724" s="36"/>
      <c r="B724" s="38" t="str">
        <f>IF(MasterFees[[#This Row],[RVG Code]]="","",_xlfn.XLOOKUP(MasterFees[[#This Row],[RVG Code]],RVGCodes[Code],RVGCodes[Base Units],"Code not found"))</f>
        <v/>
      </c>
      <c r="C724" s="37" t="s">
        <v>722</v>
      </c>
      <c r="D724" s="44" t="s">
        <v>1108</v>
      </c>
      <c r="E724" s="44"/>
      <c r="F724" s="44" t="s">
        <v>1109</v>
      </c>
      <c r="G724" s="39">
        <v>0.4</v>
      </c>
      <c r="H724" s="39">
        <v>2.1</v>
      </c>
      <c r="I724" s="39">
        <v>0.3</v>
      </c>
      <c r="J724" s="39">
        <v>2.8</v>
      </c>
      <c r="K724" s="40">
        <v>156.19999999999999</v>
      </c>
      <c r="L724" s="45" t="s">
        <v>1015</v>
      </c>
      <c r="M724" s="41" t="str">
        <f>IF(MasterFees[[#This Row],[GST Basis]]="Excl",MasterFees[[#This Row],[Fee as Printed]],IF(MasterFees[[#This Row],[GST Basis]]="Incl",MasterFees[[#This Row],[Fee as Printed]]/(1+GST_Rate),""))</f>
        <v/>
      </c>
      <c r="N724" s="41" t="str">
        <f>IF(MasterFees[[#This Row],[GST Basis]]="Incl",MasterFees[[#This Row],[Fee as Printed]],IF(MasterFees[[#This Row],[GST Basis]]="Excl",MasterFees[[#This Row],[Fee as Printed]]*(1+GST_Rate),""))</f>
        <v/>
      </c>
      <c r="O724" s="42">
        <f>IF(N(MasterFees[[#This Row],[Total Units]])=0,"",MasterFees[[#This Row],[Fee as Printed]]/MasterFees[[#This Row],[Total Units]])</f>
        <v>55.785714285714285</v>
      </c>
      <c r="P724" s="43"/>
      <c r="Q724" s="46" t="s">
        <v>1013</v>
      </c>
      <c r="R724" s="46" t="s">
        <v>1832</v>
      </c>
      <c r="S724" s="37"/>
    </row>
    <row r="725" spans="1:19" x14ac:dyDescent="0.2">
      <c r="A725" s="36"/>
      <c r="B725" s="38" t="str">
        <f>IF(MasterFees[[#This Row],[RVG Code]]="","",_xlfn.XLOOKUP(MasterFees[[#This Row],[RVG Code]],RVGCodes[Code],RVGCodes[Base Units],"Code not found"))</f>
        <v/>
      </c>
      <c r="C725" s="37" t="s">
        <v>723</v>
      </c>
      <c r="D725" s="44" t="s">
        <v>1108</v>
      </c>
      <c r="E725" s="44"/>
      <c r="F725" s="44" t="s">
        <v>1109</v>
      </c>
      <c r="G725" s="39">
        <v>5</v>
      </c>
      <c r="H725" s="39">
        <v>4</v>
      </c>
      <c r="I725" s="39">
        <v>0</v>
      </c>
      <c r="J725" s="39">
        <v>9</v>
      </c>
      <c r="K725" s="40">
        <v>495</v>
      </c>
      <c r="L725" s="45" t="s">
        <v>1015</v>
      </c>
      <c r="M725" s="41" t="str">
        <f>IF(MasterFees[[#This Row],[GST Basis]]="Excl",MasterFees[[#This Row],[Fee as Printed]],IF(MasterFees[[#This Row],[GST Basis]]="Incl",MasterFees[[#This Row],[Fee as Printed]]/(1+GST_Rate),""))</f>
        <v/>
      </c>
      <c r="N725" s="41" t="str">
        <f>IF(MasterFees[[#This Row],[GST Basis]]="Incl",MasterFees[[#This Row],[Fee as Printed]],IF(MasterFees[[#This Row],[GST Basis]]="Excl",MasterFees[[#This Row],[Fee as Printed]]*(1+GST_Rate),""))</f>
        <v/>
      </c>
      <c r="O725" s="42">
        <f>IF(N(MasterFees[[#This Row],[Total Units]])=0,"",MasterFees[[#This Row],[Fee as Printed]]/MasterFees[[#This Row],[Total Units]])</f>
        <v>55</v>
      </c>
      <c r="P725" s="43"/>
      <c r="Q725" s="46" t="s">
        <v>1013</v>
      </c>
      <c r="R725" s="46" t="s">
        <v>1833</v>
      </c>
      <c r="S725" s="37"/>
    </row>
    <row r="726" spans="1:19" x14ac:dyDescent="0.2">
      <c r="A726" s="36"/>
      <c r="B726" s="38" t="str">
        <f>IF(MasterFees[[#This Row],[RVG Code]]="","",_xlfn.XLOOKUP(MasterFees[[#This Row],[RVG Code]],RVGCodes[Code],RVGCodes[Base Units],"Code not found"))</f>
        <v/>
      </c>
      <c r="C726" s="37" t="s">
        <v>724</v>
      </c>
      <c r="D726" s="44" t="s">
        <v>1108</v>
      </c>
      <c r="E726" s="44"/>
      <c r="F726" s="44" t="s">
        <v>1109</v>
      </c>
      <c r="G726" s="39">
        <v>0</v>
      </c>
      <c r="H726" s="39">
        <v>1</v>
      </c>
      <c r="I726" s="39">
        <v>0</v>
      </c>
      <c r="J726" s="39">
        <v>1</v>
      </c>
      <c r="K726" s="40">
        <v>55</v>
      </c>
      <c r="L726" s="45" t="s">
        <v>1015</v>
      </c>
      <c r="M726" s="41" t="str">
        <f>IF(MasterFees[[#This Row],[GST Basis]]="Excl",MasterFees[[#This Row],[Fee as Printed]],IF(MasterFees[[#This Row],[GST Basis]]="Incl",MasterFees[[#This Row],[Fee as Printed]]/(1+GST_Rate),""))</f>
        <v/>
      </c>
      <c r="N726" s="41" t="str">
        <f>IF(MasterFees[[#This Row],[GST Basis]]="Incl",MasterFees[[#This Row],[Fee as Printed]],IF(MasterFees[[#This Row],[GST Basis]]="Excl",MasterFees[[#This Row],[Fee as Printed]]*(1+GST_Rate),""))</f>
        <v/>
      </c>
      <c r="O726" s="42">
        <f>IF(N(MasterFees[[#This Row],[Total Units]])=0,"",MasterFees[[#This Row],[Fee as Printed]]/MasterFees[[#This Row],[Total Units]])</f>
        <v>55</v>
      </c>
      <c r="P726" s="43"/>
      <c r="Q726" s="46" t="s">
        <v>1013</v>
      </c>
      <c r="R726" s="46" t="s">
        <v>1834</v>
      </c>
      <c r="S726" s="37"/>
    </row>
    <row r="727" spans="1:19" x14ac:dyDescent="0.2">
      <c r="A727" s="36"/>
      <c r="B727" s="38" t="str">
        <f>IF(MasterFees[[#This Row],[RVG Code]]="","",_xlfn.XLOOKUP(MasterFees[[#This Row],[RVG Code]],RVGCodes[Code],RVGCodes[Base Units],"Code not found"))</f>
        <v/>
      </c>
      <c r="C727" s="37" t="s">
        <v>725</v>
      </c>
      <c r="D727" s="44" t="s">
        <v>1108</v>
      </c>
      <c r="E727" s="44"/>
      <c r="F727" s="44" t="s">
        <v>1109</v>
      </c>
      <c r="G727" s="39">
        <v>5</v>
      </c>
      <c r="H727" s="39">
        <v>4.5</v>
      </c>
      <c r="I727" s="39">
        <v>0.3</v>
      </c>
      <c r="J727" s="39">
        <v>9.8000000000000007</v>
      </c>
      <c r="K727" s="40">
        <v>540.65</v>
      </c>
      <c r="L727" s="45" t="s">
        <v>1015</v>
      </c>
      <c r="M727" s="41" t="str">
        <f>IF(MasterFees[[#This Row],[GST Basis]]="Excl",MasterFees[[#This Row],[Fee as Printed]],IF(MasterFees[[#This Row],[GST Basis]]="Incl",MasterFees[[#This Row],[Fee as Printed]]/(1+GST_Rate),""))</f>
        <v/>
      </c>
      <c r="N727" s="41" t="str">
        <f>IF(MasterFees[[#This Row],[GST Basis]]="Incl",MasterFees[[#This Row],[Fee as Printed]],IF(MasterFees[[#This Row],[GST Basis]]="Excl",MasterFees[[#This Row],[Fee as Printed]]*(1+GST_Rate),""))</f>
        <v/>
      </c>
      <c r="O727" s="42">
        <f>IF(N(MasterFees[[#This Row],[Total Units]])=0,"",MasterFees[[#This Row],[Fee as Printed]]/MasterFees[[#This Row],[Total Units]])</f>
        <v>55.168367346938766</v>
      </c>
      <c r="P727" s="43"/>
      <c r="Q727" s="46" t="s">
        <v>1013</v>
      </c>
      <c r="R727" s="46" t="s">
        <v>1835</v>
      </c>
      <c r="S727" s="37"/>
    </row>
    <row r="728" spans="1:19" x14ac:dyDescent="0.2">
      <c r="A728" s="36"/>
      <c r="B728" s="38" t="str">
        <f>IF(MasterFees[[#This Row],[RVG Code]]="","",_xlfn.XLOOKUP(MasterFees[[#This Row],[RVG Code]],RVGCodes[Code],RVGCodes[Base Units],"Code not found"))</f>
        <v/>
      </c>
      <c r="C728" s="37" t="s">
        <v>726</v>
      </c>
      <c r="D728" s="44" t="s">
        <v>1108</v>
      </c>
      <c r="E728" s="44"/>
      <c r="F728" s="44" t="s">
        <v>1109</v>
      </c>
      <c r="G728" s="39">
        <v>4</v>
      </c>
      <c r="H728" s="39">
        <v>4.7</v>
      </c>
      <c r="I728" s="39">
        <v>1</v>
      </c>
      <c r="J728" s="39">
        <v>9.6999999999999993</v>
      </c>
      <c r="K728" s="40">
        <v>531.29999999999995</v>
      </c>
      <c r="L728" s="45" t="s">
        <v>1015</v>
      </c>
      <c r="M728" s="41" t="str">
        <f>IF(MasterFees[[#This Row],[GST Basis]]="Excl",MasterFees[[#This Row],[Fee as Printed]],IF(MasterFees[[#This Row],[GST Basis]]="Incl",MasterFees[[#This Row],[Fee as Printed]]/(1+GST_Rate),""))</f>
        <v/>
      </c>
      <c r="N728" s="41" t="str">
        <f>IF(MasterFees[[#This Row],[GST Basis]]="Incl",MasterFees[[#This Row],[Fee as Printed]],IF(MasterFees[[#This Row],[GST Basis]]="Excl",MasterFees[[#This Row],[Fee as Printed]]*(1+GST_Rate),""))</f>
        <v/>
      </c>
      <c r="O728" s="42">
        <f>IF(N(MasterFees[[#This Row],[Total Units]])=0,"",MasterFees[[#This Row],[Fee as Printed]]/MasterFees[[#This Row],[Total Units]])</f>
        <v>54.773195876288661</v>
      </c>
      <c r="P728" s="43"/>
      <c r="Q728" s="46" t="s">
        <v>1013</v>
      </c>
      <c r="R728" s="46" t="s">
        <v>1836</v>
      </c>
      <c r="S728" s="37"/>
    </row>
    <row r="729" spans="1:19" x14ac:dyDescent="0.2">
      <c r="A729" s="36"/>
      <c r="B729" s="38" t="str">
        <f>IF(MasterFees[[#This Row],[RVG Code]]="","",_xlfn.XLOOKUP(MasterFees[[#This Row],[RVG Code]],RVGCodes[Code],RVGCodes[Base Units],"Code not found"))</f>
        <v/>
      </c>
      <c r="C729" s="37" t="s">
        <v>727</v>
      </c>
      <c r="D729" s="44" t="s">
        <v>1108</v>
      </c>
      <c r="E729" s="44"/>
      <c r="F729" s="44" t="s">
        <v>1109</v>
      </c>
      <c r="G729" s="39">
        <v>5</v>
      </c>
      <c r="H729" s="39">
        <v>4.3</v>
      </c>
      <c r="I729" s="39">
        <v>0</v>
      </c>
      <c r="J729" s="39">
        <v>9.3000000000000007</v>
      </c>
      <c r="K729" s="40">
        <v>513.15</v>
      </c>
      <c r="L729" s="45" t="s">
        <v>1015</v>
      </c>
      <c r="M729" s="41" t="str">
        <f>IF(MasterFees[[#This Row],[GST Basis]]="Excl",MasterFees[[#This Row],[Fee as Printed]],IF(MasterFees[[#This Row],[GST Basis]]="Incl",MasterFees[[#This Row],[Fee as Printed]]/(1+GST_Rate),""))</f>
        <v/>
      </c>
      <c r="N729" s="41" t="str">
        <f>IF(MasterFees[[#This Row],[GST Basis]]="Incl",MasterFees[[#This Row],[Fee as Printed]],IF(MasterFees[[#This Row],[GST Basis]]="Excl",MasterFees[[#This Row],[Fee as Printed]]*(1+GST_Rate),""))</f>
        <v/>
      </c>
      <c r="O729" s="42">
        <f>IF(N(MasterFees[[#This Row],[Total Units]])=0,"",MasterFees[[#This Row],[Fee as Printed]]/MasterFees[[#This Row],[Total Units]])</f>
        <v>55.177419354838705</v>
      </c>
      <c r="P729" s="43"/>
      <c r="Q729" s="46" t="s">
        <v>1013</v>
      </c>
      <c r="R729" s="46" t="s">
        <v>1837</v>
      </c>
      <c r="S729" s="37"/>
    </row>
    <row r="730" spans="1:19" x14ac:dyDescent="0.2">
      <c r="A730" s="36"/>
      <c r="B730" s="38" t="str">
        <f>IF(MasterFees[[#This Row],[RVG Code]]="","",_xlfn.XLOOKUP(MasterFees[[#This Row],[RVG Code]],RVGCodes[Code],RVGCodes[Base Units],"Code not found"))</f>
        <v/>
      </c>
      <c r="C730" s="37" t="s">
        <v>728</v>
      </c>
      <c r="D730" s="44" t="s">
        <v>1108</v>
      </c>
      <c r="E730" s="44"/>
      <c r="F730" s="44" t="s">
        <v>1109</v>
      </c>
      <c r="G730" s="39">
        <v>0</v>
      </c>
      <c r="H730" s="39">
        <v>0</v>
      </c>
      <c r="I730" s="39">
        <v>0</v>
      </c>
      <c r="J730" s="39">
        <v>0</v>
      </c>
      <c r="K730" s="40">
        <v>0</v>
      </c>
      <c r="L730" s="45" t="s">
        <v>1015</v>
      </c>
      <c r="M730" s="41" t="str">
        <f>IF(MasterFees[[#This Row],[GST Basis]]="Excl",MasterFees[[#This Row],[Fee as Printed]],IF(MasterFees[[#This Row],[GST Basis]]="Incl",MasterFees[[#This Row],[Fee as Printed]]/(1+GST_Rate),""))</f>
        <v/>
      </c>
      <c r="N730" s="41" t="str">
        <f>IF(MasterFees[[#This Row],[GST Basis]]="Incl",MasterFees[[#This Row],[Fee as Printed]],IF(MasterFees[[#This Row],[GST Basis]]="Excl",MasterFees[[#This Row],[Fee as Printed]]*(1+GST_Rate),""))</f>
        <v/>
      </c>
      <c r="O730" s="42" t="str">
        <f>IF(N(MasterFees[[#This Row],[Total Units]])=0,"",MasterFees[[#This Row],[Fee as Printed]]/MasterFees[[#This Row],[Total Units]])</f>
        <v/>
      </c>
      <c r="P730" s="43"/>
      <c r="Q730" s="46" t="s">
        <v>1013</v>
      </c>
      <c r="R730" s="46" t="s">
        <v>1838</v>
      </c>
      <c r="S730" s="37"/>
    </row>
    <row r="731" spans="1:19" x14ac:dyDescent="0.2">
      <c r="A731" s="36"/>
      <c r="B731" s="38" t="str">
        <f>IF(MasterFees[[#This Row],[RVG Code]]="","",_xlfn.XLOOKUP(MasterFees[[#This Row],[RVG Code]],RVGCodes[Code],RVGCodes[Base Units],"Code not found"))</f>
        <v/>
      </c>
      <c r="C731" s="37" t="s">
        <v>729</v>
      </c>
      <c r="D731" s="44" t="s">
        <v>1108</v>
      </c>
      <c r="E731" s="44"/>
      <c r="F731" s="44" t="s">
        <v>1109</v>
      </c>
      <c r="G731" s="39">
        <v>5</v>
      </c>
      <c r="H731" s="39">
        <v>4</v>
      </c>
      <c r="I731" s="39">
        <v>0</v>
      </c>
      <c r="J731" s="39">
        <v>9</v>
      </c>
      <c r="K731" s="40">
        <v>495</v>
      </c>
      <c r="L731" s="45" t="s">
        <v>1015</v>
      </c>
      <c r="M731" s="41" t="str">
        <f>IF(MasterFees[[#This Row],[GST Basis]]="Excl",MasterFees[[#This Row],[Fee as Printed]],IF(MasterFees[[#This Row],[GST Basis]]="Incl",MasterFees[[#This Row],[Fee as Printed]]/(1+GST_Rate),""))</f>
        <v/>
      </c>
      <c r="N731" s="41" t="str">
        <f>IF(MasterFees[[#This Row],[GST Basis]]="Incl",MasterFees[[#This Row],[Fee as Printed]],IF(MasterFees[[#This Row],[GST Basis]]="Excl",MasterFees[[#This Row],[Fee as Printed]]*(1+GST_Rate),""))</f>
        <v/>
      </c>
      <c r="O731" s="42">
        <f>IF(N(MasterFees[[#This Row],[Total Units]])=0,"",MasterFees[[#This Row],[Fee as Printed]]/MasterFees[[#This Row],[Total Units]])</f>
        <v>55</v>
      </c>
      <c r="P731" s="43"/>
      <c r="Q731" s="46" t="s">
        <v>1013</v>
      </c>
      <c r="R731" s="46" t="s">
        <v>1839</v>
      </c>
      <c r="S731" s="37"/>
    </row>
    <row r="732" spans="1:19" x14ac:dyDescent="0.2">
      <c r="A732" s="36"/>
      <c r="B732" s="38" t="str">
        <f>IF(MasterFees[[#This Row],[RVG Code]]="","",_xlfn.XLOOKUP(MasterFees[[#This Row],[RVG Code]],RVGCodes[Code],RVGCodes[Base Units],"Code not found"))</f>
        <v/>
      </c>
      <c r="C732" s="37" t="s">
        <v>730</v>
      </c>
      <c r="D732" s="44" t="s">
        <v>1108</v>
      </c>
      <c r="E732" s="44"/>
      <c r="F732" s="44" t="s">
        <v>1109</v>
      </c>
      <c r="G732" s="39">
        <v>4</v>
      </c>
      <c r="H732" s="39">
        <v>5.5</v>
      </c>
      <c r="I732" s="39">
        <v>0</v>
      </c>
      <c r="J732" s="39">
        <v>9.5</v>
      </c>
      <c r="K732" s="40">
        <v>522.5</v>
      </c>
      <c r="L732" s="45" t="s">
        <v>1015</v>
      </c>
      <c r="M732" s="41" t="str">
        <f>IF(MasterFees[[#This Row],[GST Basis]]="Excl",MasterFees[[#This Row],[Fee as Printed]],IF(MasterFees[[#This Row],[GST Basis]]="Incl",MasterFees[[#This Row],[Fee as Printed]]/(1+GST_Rate),""))</f>
        <v/>
      </c>
      <c r="N732" s="41" t="str">
        <f>IF(MasterFees[[#This Row],[GST Basis]]="Incl",MasterFees[[#This Row],[Fee as Printed]],IF(MasterFees[[#This Row],[GST Basis]]="Excl",MasterFees[[#This Row],[Fee as Printed]]*(1+GST_Rate),""))</f>
        <v/>
      </c>
      <c r="O732" s="42">
        <f>IF(N(MasterFees[[#This Row],[Total Units]])=0,"",MasterFees[[#This Row],[Fee as Printed]]/MasterFees[[#This Row],[Total Units]])</f>
        <v>55</v>
      </c>
      <c r="P732" s="43"/>
      <c r="Q732" s="46" t="s">
        <v>1013</v>
      </c>
      <c r="R732" s="46" t="s">
        <v>1840</v>
      </c>
      <c r="S732" s="37"/>
    </row>
    <row r="733" spans="1:19" x14ac:dyDescent="0.2">
      <c r="A733" s="36"/>
      <c r="B733" s="38" t="str">
        <f>IF(MasterFees[[#This Row],[RVG Code]]="","",_xlfn.XLOOKUP(MasterFees[[#This Row],[RVG Code]],RVGCodes[Code],RVGCodes[Base Units],"Code not found"))</f>
        <v/>
      </c>
      <c r="C733" s="37" t="s">
        <v>731</v>
      </c>
      <c r="D733" s="44" t="s">
        <v>1108</v>
      </c>
      <c r="E733" s="44"/>
      <c r="F733" s="44" t="s">
        <v>1109</v>
      </c>
      <c r="G733" s="39">
        <v>4</v>
      </c>
      <c r="H733" s="39">
        <v>3.6</v>
      </c>
      <c r="I733" s="39">
        <v>0</v>
      </c>
      <c r="J733" s="39">
        <v>7.6</v>
      </c>
      <c r="K733" s="40">
        <v>418.55</v>
      </c>
      <c r="L733" s="45" t="s">
        <v>1015</v>
      </c>
      <c r="M733" s="41" t="str">
        <f>IF(MasterFees[[#This Row],[GST Basis]]="Excl",MasterFees[[#This Row],[Fee as Printed]],IF(MasterFees[[#This Row],[GST Basis]]="Incl",MasterFees[[#This Row],[Fee as Printed]]/(1+GST_Rate),""))</f>
        <v/>
      </c>
      <c r="N733" s="41" t="str">
        <f>IF(MasterFees[[#This Row],[GST Basis]]="Incl",MasterFees[[#This Row],[Fee as Printed]],IF(MasterFees[[#This Row],[GST Basis]]="Excl",MasterFees[[#This Row],[Fee as Printed]]*(1+GST_Rate),""))</f>
        <v/>
      </c>
      <c r="O733" s="42">
        <f>IF(N(MasterFees[[#This Row],[Total Units]])=0,"",MasterFees[[#This Row],[Fee as Printed]]/MasterFees[[#This Row],[Total Units]])</f>
        <v>55.072368421052637</v>
      </c>
      <c r="P733" s="43"/>
      <c r="Q733" s="46" t="s">
        <v>1013</v>
      </c>
      <c r="R733" s="46" t="s">
        <v>1841</v>
      </c>
      <c r="S733" s="37"/>
    </row>
    <row r="734" spans="1:19" x14ac:dyDescent="0.2">
      <c r="A734" s="36"/>
      <c r="B734" s="38" t="str">
        <f>IF(MasterFees[[#This Row],[RVG Code]]="","",_xlfn.XLOOKUP(MasterFees[[#This Row],[RVG Code]],RVGCodes[Code],RVGCodes[Base Units],"Code not found"))</f>
        <v/>
      </c>
      <c r="C734" s="37" t="s">
        <v>732</v>
      </c>
      <c r="D734" s="44" t="s">
        <v>1108</v>
      </c>
      <c r="E734" s="44"/>
      <c r="F734" s="44" t="s">
        <v>1109</v>
      </c>
      <c r="G734" s="39">
        <v>5</v>
      </c>
      <c r="H734" s="39">
        <v>3.5</v>
      </c>
      <c r="I734" s="39">
        <v>0</v>
      </c>
      <c r="J734" s="39">
        <v>8.5</v>
      </c>
      <c r="K734" s="40">
        <v>467.5</v>
      </c>
      <c r="L734" s="45" t="s">
        <v>1015</v>
      </c>
      <c r="M734" s="41" t="str">
        <f>IF(MasterFees[[#This Row],[GST Basis]]="Excl",MasterFees[[#This Row],[Fee as Printed]],IF(MasterFees[[#This Row],[GST Basis]]="Incl",MasterFees[[#This Row],[Fee as Printed]]/(1+GST_Rate),""))</f>
        <v/>
      </c>
      <c r="N734" s="41" t="str">
        <f>IF(MasterFees[[#This Row],[GST Basis]]="Incl",MasterFees[[#This Row],[Fee as Printed]],IF(MasterFees[[#This Row],[GST Basis]]="Excl",MasterFees[[#This Row],[Fee as Printed]]*(1+GST_Rate),""))</f>
        <v/>
      </c>
      <c r="O734" s="42">
        <f>IF(N(MasterFees[[#This Row],[Total Units]])=0,"",MasterFees[[#This Row],[Fee as Printed]]/MasterFees[[#This Row],[Total Units]])</f>
        <v>55</v>
      </c>
      <c r="P734" s="43"/>
      <c r="Q734" s="46" t="s">
        <v>1013</v>
      </c>
      <c r="R734" s="46" t="s">
        <v>1842</v>
      </c>
      <c r="S734" s="37"/>
    </row>
    <row r="735" spans="1:19" x14ac:dyDescent="0.2">
      <c r="A735" s="36"/>
      <c r="B735" s="38" t="str">
        <f>IF(MasterFees[[#This Row],[RVG Code]]="","",_xlfn.XLOOKUP(MasterFees[[#This Row],[RVG Code]],RVGCodes[Code],RVGCodes[Base Units],"Code not found"))</f>
        <v/>
      </c>
      <c r="C735" s="37" t="s">
        <v>733</v>
      </c>
      <c r="D735" s="44" t="s">
        <v>1108</v>
      </c>
      <c r="E735" s="44"/>
      <c r="F735" s="44" t="s">
        <v>1109</v>
      </c>
      <c r="G735" s="39">
        <v>5</v>
      </c>
      <c r="H735" s="39">
        <v>3.8</v>
      </c>
      <c r="I735" s="39">
        <v>0.2</v>
      </c>
      <c r="J735" s="39">
        <v>9</v>
      </c>
      <c r="K735" s="40">
        <v>495</v>
      </c>
      <c r="L735" s="45" t="s">
        <v>1015</v>
      </c>
      <c r="M735" s="41" t="str">
        <f>IF(MasterFees[[#This Row],[GST Basis]]="Excl",MasterFees[[#This Row],[Fee as Printed]],IF(MasterFees[[#This Row],[GST Basis]]="Incl",MasterFees[[#This Row],[Fee as Printed]]/(1+GST_Rate),""))</f>
        <v/>
      </c>
      <c r="N735" s="41" t="str">
        <f>IF(MasterFees[[#This Row],[GST Basis]]="Incl",MasterFees[[#This Row],[Fee as Printed]],IF(MasterFees[[#This Row],[GST Basis]]="Excl",MasterFees[[#This Row],[Fee as Printed]]*(1+GST_Rate),""))</f>
        <v/>
      </c>
      <c r="O735" s="42">
        <f>IF(N(MasterFees[[#This Row],[Total Units]])=0,"",MasterFees[[#This Row],[Fee as Printed]]/MasterFees[[#This Row],[Total Units]])</f>
        <v>55</v>
      </c>
      <c r="P735" s="43"/>
      <c r="Q735" s="46" t="s">
        <v>1013</v>
      </c>
      <c r="R735" s="46" t="s">
        <v>1843</v>
      </c>
      <c r="S735" s="37"/>
    </row>
    <row r="736" spans="1:19" x14ac:dyDescent="0.2">
      <c r="A736" s="36"/>
      <c r="B736" s="38" t="str">
        <f>IF(MasterFees[[#This Row],[RVG Code]]="","",_xlfn.XLOOKUP(MasterFees[[#This Row],[RVG Code]],RVGCodes[Code],RVGCodes[Base Units],"Code not found"))</f>
        <v/>
      </c>
      <c r="C736" s="37" t="s">
        <v>734</v>
      </c>
      <c r="D736" s="44" t="s">
        <v>1108</v>
      </c>
      <c r="E736" s="44"/>
      <c r="F736" s="44" t="s">
        <v>1109</v>
      </c>
      <c r="G736" s="39">
        <v>7</v>
      </c>
      <c r="H736" s="39">
        <v>4</v>
      </c>
      <c r="I736" s="39">
        <v>0</v>
      </c>
      <c r="J736" s="39">
        <v>11</v>
      </c>
      <c r="K736" s="40">
        <v>605</v>
      </c>
      <c r="L736" s="45" t="s">
        <v>1015</v>
      </c>
      <c r="M736" s="41" t="str">
        <f>IF(MasterFees[[#This Row],[GST Basis]]="Excl",MasterFees[[#This Row],[Fee as Printed]],IF(MasterFees[[#This Row],[GST Basis]]="Incl",MasterFees[[#This Row],[Fee as Printed]]/(1+GST_Rate),""))</f>
        <v/>
      </c>
      <c r="N736" s="41" t="str">
        <f>IF(MasterFees[[#This Row],[GST Basis]]="Incl",MasterFees[[#This Row],[Fee as Printed]],IF(MasterFees[[#This Row],[GST Basis]]="Excl",MasterFees[[#This Row],[Fee as Printed]]*(1+GST_Rate),""))</f>
        <v/>
      </c>
      <c r="O736" s="42">
        <f>IF(N(MasterFees[[#This Row],[Total Units]])=0,"",MasterFees[[#This Row],[Fee as Printed]]/MasterFees[[#This Row],[Total Units]])</f>
        <v>55</v>
      </c>
      <c r="P736" s="43"/>
      <c r="Q736" s="46" t="s">
        <v>1013</v>
      </c>
      <c r="R736" s="46" t="s">
        <v>1844</v>
      </c>
      <c r="S736" s="37"/>
    </row>
    <row r="737" spans="1:19" x14ac:dyDescent="0.2">
      <c r="A737" s="36"/>
      <c r="B737" s="38" t="str">
        <f>IF(MasterFees[[#This Row],[RVG Code]]="","",_xlfn.XLOOKUP(MasterFees[[#This Row],[RVG Code]],RVGCodes[Code],RVGCodes[Base Units],"Code not found"))</f>
        <v/>
      </c>
      <c r="C737" s="37" t="s">
        <v>735</v>
      </c>
      <c r="D737" s="44" t="s">
        <v>1108</v>
      </c>
      <c r="E737" s="44"/>
      <c r="F737" s="44" t="s">
        <v>1109</v>
      </c>
      <c r="G737" s="39">
        <v>0</v>
      </c>
      <c r="H737" s="39">
        <v>4</v>
      </c>
      <c r="I737" s="39">
        <v>0</v>
      </c>
      <c r="J737" s="39">
        <v>4</v>
      </c>
      <c r="K737" s="40">
        <v>220</v>
      </c>
      <c r="L737" s="45" t="s">
        <v>1015</v>
      </c>
      <c r="M737" s="41" t="str">
        <f>IF(MasterFees[[#This Row],[GST Basis]]="Excl",MasterFees[[#This Row],[Fee as Printed]],IF(MasterFees[[#This Row],[GST Basis]]="Incl",MasterFees[[#This Row],[Fee as Printed]]/(1+GST_Rate),""))</f>
        <v/>
      </c>
      <c r="N737" s="41" t="str">
        <f>IF(MasterFees[[#This Row],[GST Basis]]="Incl",MasterFees[[#This Row],[Fee as Printed]],IF(MasterFees[[#This Row],[GST Basis]]="Excl",MasterFees[[#This Row],[Fee as Printed]]*(1+GST_Rate),""))</f>
        <v/>
      </c>
      <c r="O737" s="42">
        <f>IF(N(MasterFees[[#This Row],[Total Units]])=0,"",MasterFees[[#This Row],[Fee as Printed]]/MasterFees[[#This Row],[Total Units]])</f>
        <v>55</v>
      </c>
      <c r="P737" s="43"/>
      <c r="Q737" s="46" t="s">
        <v>1013</v>
      </c>
      <c r="R737" s="46" t="s">
        <v>1845</v>
      </c>
      <c r="S737" s="37"/>
    </row>
    <row r="738" spans="1:19" x14ac:dyDescent="0.2">
      <c r="A738" s="36"/>
      <c r="B738" s="38" t="str">
        <f>IF(MasterFees[[#This Row],[RVG Code]]="","",_xlfn.XLOOKUP(MasterFees[[#This Row],[RVG Code]],RVGCodes[Code],RVGCodes[Base Units],"Code not found"))</f>
        <v/>
      </c>
      <c r="C738" s="37" t="s">
        <v>736</v>
      </c>
      <c r="D738" s="44" t="s">
        <v>1108</v>
      </c>
      <c r="E738" s="44"/>
      <c r="F738" s="44" t="s">
        <v>1109</v>
      </c>
      <c r="G738" s="39">
        <v>0</v>
      </c>
      <c r="H738" s="39">
        <v>1</v>
      </c>
      <c r="I738" s="39">
        <v>0</v>
      </c>
      <c r="J738" s="39">
        <v>1</v>
      </c>
      <c r="K738" s="40">
        <v>55</v>
      </c>
      <c r="L738" s="45" t="s">
        <v>1015</v>
      </c>
      <c r="M738" s="41" t="str">
        <f>IF(MasterFees[[#This Row],[GST Basis]]="Excl",MasterFees[[#This Row],[Fee as Printed]],IF(MasterFees[[#This Row],[GST Basis]]="Incl",MasterFees[[#This Row],[Fee as Printed]]/(1+GST_Rate),""))</f>
        <v/>
      </c>
      <c r="N738" s="41" t="str">
        <f>IF(MasterFees[[#This Row],[GST Basis]]="Incl",MasterFees[[#This Row],[Fee as Printed]],IF(MasterFees[[#This Row],[GST Basis]]="Excl",MasterFees[[#This Row],[Fee as Printed]]*(1+GST_Rate),""))</f>
        <v/>
      </c>
      <c r="O738" s="42">
        <f>IF(N(MasterFees[[#This Row],[Total Units]])=0,"",MasterFees[[#This Row],[Fee as Printed]]/MasterFees[[#This Row],[Total Units]])</f>
        <v>55</v>
      </c>
      <c r="P738" s="43"/>
      <c r="Q738" s="46" t="s">
        <v>1013</v>
      </c>
      <c r="R738" s="46" t="s">
        <v>1846</v>
      </c>
      <c r="S738" s="37"/>
    </row>
    <row r="739" spans="1:19" x14ac:dyDescent="0.2">
      <c r="A739" s="36"/>
      <c r="B739" s="38" t="str">
        <f>IF(MasterFees[[#This Row],[RVG Code]]="","",_xlfn.XLOOKUP(MasterFees[[#This Row],[RVG Code]],RVGCodes[Code],RVGCodes[Base Units],"Code not found"))</f>
        <v/>
      </c>
      <c r="C739" s="37" t="s">
        <v>737</v>
      </c>
      <c r="D739" s="44" t="s">
        <v>1108</v>
      </c>
      <c r="E739" s="44"/>
      <c r="F739" s="44" t="s">
        <v>1109</v>
      </c>
      <c r="G739" s="39">
        <v>6</v>
      </c>
      <c r="H739" s="39">
        <v>7</v>
      </c>
      <c r="I739" s="39">
        <v>0</v>
      </c>
      <c r="J739" s="39">
        <v>13</v>
      </c>
      <c r="K739" s="40">
        <v>715</v>
      </c>
      <c r="L739" s="45" t="s">
        <v>1015</v>
      </c>
      <c r="M739" s="41" t="str">
        <f>IF(MasterFees[[#This Row],[GST Basis]]="Excl",MasterFees[[#This Row],[Fee as Printed]],IF(MasterFees[[#This Row],[GST Basis]]="Incl",MasterFees[[#This Row],[Fee as Printed]]/(1+GST_Rate),""))</f>
        <v/>
      </c>
      <c r="N739" s="41" t="str">
        <f>IF(MasterFees[[#This Row],[GST Basis]]="Incl",MasterFees[[#This Row],[Fee as Printed]],IF(MasterFees[[#This Row],[GST Basis]]="Excl",MasterFees[[#This Row],[Fee as Printed]]*(1+GST_Rate),""))</f>
        <v/>
      </c>
      <c r="O739" s="42">
        <f>IF(N(MasterFees[[#This Row],[Total Units]])=0,"",MasterFees[[#This Row],[Fee as Printed]]/MasterFees[[#This Row],[Total Units]])</f>
        <v>55</v>
      </c>
      <c r="P739" s="43"/>
      <c r="Q739" s="46" t="s">
        <v>1013</v>
      </c>
      <c r="R739" s="46" t="s">
        <v>1847</v>
      </c>
      <c r="S739" s="37"/>
    </row>
    <row r="740" spans="1:19" x14ac:dyDescent="0.2">
      <c r="A740" s="36"/>
      <c r="B740" s="38" t="str">
        <f>IF(MasterFees[[#This Row],[RVG Code]]="","",_xlfn.XLOOKUP(MasterFees[[#This Row],[RVG Code]],RVGCodes[Code],RVGCodes[Base Units],"Code not found"))</f>
        <v/>
      </c>
      <c r="C740" s="37" t="s">
        <v>738</v>
      </c>
      <c r="D740" s="44" t="s">
        <v>1108</v>
      </c>
      <c r="E740" s="44"/>
      <c r="F740" s="44" t="s">
        <v>1109</v>
      </c>
      <c r="G740" s="39">
        <v>5</v>
      </c>
      <c r="H740" s="39">
        <v>6</v>
      </c>
      <c r="I740" s="39">
        <v>0</v>
      </c>
      <c r="J740" s="39">
        <v>11</v>
      </c>
      <c r="K740" s="40">
        <v>605</v>
      </c>
      <c r="L740" s="45" t="s">
        <v>1015</v>
      </c>
      <c r="M740" s="41" t="str">
        <f>IF(MasterFees[[#This Row],[GST Basis]]="Excl",MasterFees[[#This Row],[Fee as Printed]],IF(MasterFees[[#This Row],[GST Basis]]="Incl",MasterFees[[#This Row],[Fee as Printed]]/(1+GST_Rate),""))</f>
        <v/>
      </c>
      <c r="N740" s="41" t="str">
        <f>IF(MasterFees[[#This Row],[GST Basis]]="Incl",MasterFees[[#This Row],[Fee as Printed]],IF(MasterFees[[#This Row],[GST Basis]]="Excl",MasterFees[[#This Row],[Fee as Printed]]*(1+GST_Rate),""))</f>
        <v/>
      </c>
      <c r="O740" s="42">
        <f>IF(N(MasterFees[[#This Row],[Total Units]])=0,"",MasterFees[[#This Row],[Fee as Printed]]/MasterFees[[#This Row],[Total Units]])</f>
        <v>55</v>
      </c>
      <c r="P740" s="43"/>
      <c r="Q740" s="46" t="s">
        <v>1013</v>
      </c>
      <c r="R740" s="46" t="s">
        <v>1848</v>
      </c>
      <c r="S740" s="37"/>
    </row>
    <row r="741" spans="1:19" x14ac:dyDescent="0.2">
      <c r="A741" s="36"/>
      <c r="B741" s="38" t="str">
        <f>IF(MasterFees[[#This Row],[RVG Code]]="","",_xlfn.XLOOKUP(MasterFees[[#This Row],[RVG Code]],RVGCodes[Code],RVGCodes[Base Units],"Code not found"))</f>
        <v/>
      </c>
      <c r="C741" s="37" t="s">
        <v>739</v>
      </c>
      <c r="D741" s="44" t="s">
        <v>1108</v>
      </c>
      <c r="E741" s="44"/>
      <c r="F741" s="44" t="s">
        <v>1109</v>
      </c>
      <c r="G741" s="39">
        <v>0</v>
      </c>
      <c r="H741" s="39">
        <v>0</v>
      </c>
      <c r="I741" s="39">
        <v>0</v>
      </c>
      <c r="J741" s="39">
        <v>0</v>
      </c>
      <c r="K741" s="40">
        <v>0</v>
      </c>
      <c r="L741" s="45" t="s">
        <v>1015</v>
      </c>
      <c r="M741" s="41" t="str">
        <f>IF(MasterFees[[#This Row],[GST Basis]]="Excl",MasterFees[[#This Row],[Fee as Printed]],IF(MasterFees[[#This Row],[GST Basis]]="Incl",MasterFees[[#This Row],[Fee as Printed]]/(1+GST_Rate),""))</f>
        <v/>
      </c>
      <c r="N741" s="41" t="str">
        <f>IF(MasterFees[[#This Row],[GST Basis]]="Incl",MasterFees[[#This Row],[Fee as Printed]],IF(MasterFees[[#This Row],[GST Basis]]="Excl",MasterFees[[#This Row],[Fee as Printed]]*(1+GST_Rate),""))</f>
        <v/>
      </c>
      <c r="O741" s="42" t="str">
        <f>IF(N(MasterFees[[#This Row],[Total Units]])=0,"",MasterFees[[#This Row],[Fee as Printed]]/MasterFees[[#This Row],[Total Units]])</f>
        <v/>
      </c>
      <c r="P741" s="43"/>
      <c r="Q741" s="46" t="s">
        <v>1013</v>
      </c>
      <c r="R741" s="46" t="s">
        <v>1849</v>
      </c>
      <c r="S741" s="37"/>
    </row>
    <row r="742" spans="1:19" x14ac:dyDescent="0.2">
      <c r="A742" s="36"/>
      <c r="B742" s="38" t="str">
        <f>IF(MasterFees[[#This Row],[RVG Code]]="","",_xlfn.XLOOKUP(MasterFees[[#This Row],[RVG Code]],RVGCodes[Code],RVGCodes[Base Units],"Code not found"))</f>
        <v/>
      </c>
      <c r="C742" s="37" t="s">
        <v>740</v>
      </c>
      <c r="D742" s="44" t="s">
        <v>1108</v>
      </c>
      <c r="E742" s="44"/>
      <c r="F742" s="44" t="s">
        <v>1109</v>
      </c>
      <c r="G742" s="39">
        <v>0</v>
      </c>
      <c r="H742" s="39">
        <v>0</v>
      </c>
      <c r="I742" s="39">
        <v>0</v>
      </c>
      <c r="J742" s="39">
        <v>0</v>
      </c>
      <c r="K742" s="40">
        <v>0</v>
      </c>
      <c r="L742" s="45" t="s">
        <v>1015</v>
      </c>
      <c r="M742" s="41" t="str">
        <f>IF(MasterFees[[#This Row],[GST Basis]]="Excl",MasterFees[[#This Row],[Fee as Printed]],IF(MasterFees[[#This Row],[GST Basis]]="Incl",MasterFees[[#This Row],[Fee as Printed]]/(1+GST_Rate),""))</f>
        <v/>
      </c>
      <c r="N742" s="41" t="str">
        <f>IF(MasterFees[[#This Row],[GST Basis]]="Incl",MasterFees[[#This Row],[Fee as Printed]],IF(MasterFees[[#This Row],[GST Basis]]="Excl",MasterFees[[#This Row],[Fee as Printed]]*(1+GST_Rate),""))</f>
        <v/>
      </c>
      <c r="O742" s="42" t="str">
        <f>IF(N(MasterFees[[#This Row],[Total Units]])=0,"",MasterFees[[#This Row],[Fee as Printed]]/MasterFees[[#This Row],[Total Units]])</f>
        <v/>
      </c>
      <c r="P742" s="43"/>
      <c r="Q742" s="46" t="s">
        <v>1013</v>
      </c>
      <c r="R742" s="46" t="s">
        <v>1850</v>
      </c>
      <c r="S742" s="37"/>
    </row>
    <row r="743" spans="1:19" x14ac:dyDescent="0.2">
      <c r="A743" s="36"/>
      <c r="B743" s="38" t="str">
        <f>IF(MasterFees[[#This Row],[RVG Code]]="","",_xlfn.XLOOKUP(MasterFees[[#This Row],[RVG Code]],RVGCodes[Code],RVGCodes[Base Units],"Code not found"))</f>
        <v/>
      </c>
      <c r="C743" s="37" t="s">
        <v>741</v>
      </c>
      <c r="D743" s="44" t="s">
        <v>1108</v>
      </c>
      <c r="E743" s="44"/>
      <c r="F743" s="44" t="s">
        <v>1109</v>
      </c>
      <c r="G743" s="39">
        <v>0</v>
      </c>
      <c r="H743" s="39">
        <v>6</v>
      </c>
      <c r="I743" s="39">
        <v>0</v>
      </c>
      <c r="J743" s="39">
        <v>6</v>
      </c>
      <c r="K743" s="40">
        <v>330</v>
      </c>
      <c r="L743" s="45" t="s">
        <v>1015</v>
      </c>
      <c r="M743" s="41" t="str">
        <f>IF(MasterFees[[#This Row],[GST Basis]]="Excl",MasterFees[[#This Row],[Fee as Printed]],IF(MasterFees[[#This Row],[GST Basis]]="Incl",MasterFees[[#This Row],[Fee as Printed]]/(1+GST_Rate),""))</f>
        <v/>
      </c>
      <c r="N743" s="41" t="str">
        <f>IF(MasterFees[[#This Row],[GST Basis]]="Incl",MasterFees[[#This Row],[Fee as Printed]],IF(MasterFees[[#This Row],[GST Basis]]="Excl",MasterFees[[#This Row],[Fee as Printed]]*(1+GST_Rate),""))</f>
        <v/>
      </c>
      <c r="O743" s="42">
        <f>IF(N(MasterFees[[#This Row],[Total Units]])=0,"",MasterFees[[#This Row],[Fee as Printed]]/MasterFees[[#This Row],[Total Units]])</f>
        <v>55</v>
      </c>
      <c r="P743" s="43"/>
      <c r="Q743" s="46" t="s">
        <v>1013</v>
      </c>
      <c r="R743" s="46" t="s">
        <v>1851</v>
      </c>
      <c r="S743" s="37"/>
    </row>
    <row r="744" spans="1:19" x14ac:dyDescent="0.2">
      <c r="A744" s="36"/>
      <c r="B744" s="38" t="str">
        <f>IF(MasterFees[[#This Row],[RVG Code]]="","",_xlfn.XLOOKUP(MasterFees[[#This Row],[RVG Code]],RVGCodes[Code],RVGCodes[Base Units],"Code not found"))</f>
        <v/>
      </c>
      <c r="C744" s="37" t="s">
        <v>742</v>
      </c>
      <c r="D744" s="44" t="s">
        <v>1108</v>
      </c>
      <c r="E744" s="44"/>
      <c r="F744" s="44" t="s">
        <v>1109</v>
      </c>
      <c r="G744" s="39">
        <v>5</v>
      </c>
      <c r="H744" s="39">
        <v>6</v>
      </c>
      <c r="I744" s="39">
        <v>0</v>
      </c>
      <c r="J744" s="39">
        <v>11</v>
      </c>
      <c r="K744" s="40">
        <v>605</v>
      </c>
      <c r="L744" s="45" t="s">
        <v>1015</v>
      </c>
      <c r="M744" s="41" t="str">
        <f>IF(MasterFees[[#This Row],[GST Basis]]="Excl",MasterFees[[#This Row],[Fee as Printed]],IF(MasterFees[[#This Row],[GST Basis]]="Incl",MasterFees[[#This Row],[Fee as Printed]]/(1+GST_Rate),""))</f>
        <v/>
      </c>
      <c r="N744" s="41" t="str">
        <f>IF(MasterFees[[#This Row],[GST Basis]]="Incl",MasterFees[[#This Row],[Fee as Printed]],IF(MasterFees[[#This Row],[GST Basis]]="Excl",MasterFees[[#This Row],[Fee as Printed]]*(1+GST_Rate),""))</f>
        <v/>
      </c>
      <c r="O744" s="42">
        <f>IF(N(MasterFees[[#This Row],[Total Units]])=0,"",MasterFees[[#This Row],[Fee as Printed]]/MasterFees[[#This Row],[Total Units]])</f>
        <v>55</v>
      </c>
      <c r="P744" s="43"/>
      <c r="Q744" s="46" t="s">
        <v>1013</v>
      </c>
      <c r="R744" s="46" t="s">
        <v>1852</v>
      </c>
      <c r="S744" s="37"/>
    </row>
    <row r="745" spans="1:19" x14ac:dyDescent="0.2">
      <c r="A745" s="36"/>
      <c r="B745" s="38" t="str">
        <f>IF(MasterFees[[#This Row],[RVG Code]]="","",_xlfn.XLOOKUP(MasterFees[[#This Row],[RVG Code]],RVGCodes[Code],RVGCodes[Base Units],"Code not found"))</f>
        <v/>
      </c>
      <c r="C745" s="37" t="s">
        <v>743</v>
      </c>
      <c r="D745" s="44" t="s">
        <v>1108</v>
      </c>
      <c r="E745" s="44"/>
      <c r="F745" s="44" t="s">
        <v>1109</v>
      </c>
      <c r="G745" s="39">
        <v>5</v>
      </c>
      <c r="H745" s="39">
        <v>8</v>
      </c>
      <c r="I745" s="39">
        <v>1.8</v>
      </c>
      <c r="J745" s="39">
        <v>14.8</v>
      </c>
      <c r="K745" s="40">
        <v>811.25</v>
      </c>
      <c r="L745" s="45" t="s">
        <v>1015</v>
      </c>
      <c r="M745" s="41" t="str">
        <f>IF(MasterFees[[#This Row],[GST Basis]]="Excl",MasterFees[[#This Row],[Fee as Printed]],IF(MasterFees[[#This Row],[GST Basis]]="Incl",MasterFees[[#This Row],[Fee as Printed]]/(1+GST_Rate),""))</f>
        <v/>
      </c>
      <c r="N745" s="41" t="str">
        <f>IF(MasterFees[[#This Row],[GST Basis]]="Incl",MasterFees[[#This Row],[Fee as Printed]],IF(MasterFees[[#This Row],[GST Basis]]="Excl",MasterFees[[#This Row],[Fee as Printed]]*(1+GST_Rate),""))</f>
        <v/>
      </c>
      <c r="O745" s="42">
        <f>IF(N(MasterFees[[#This Row],[Total Units]])=0,"",MasterFees[[#This Row],[Fee as Printed]]/MasterFees[[#This Row],[Total Units]])</f>
        <v>54.814189189189186</v>
      </c>
      <c r="P745" s="43"/>
      <c r="Q745" s="46" t="s">
        <v>1013</v>
      </c>
      <c r="R745" s="46" t="s">
        <v>1853</v>
      </c>
      <c r="S745" s="37"/>
    </row>
    <row r="746" spans="1:19" x14ac:dyDescent="0.2">
      <c r="A746" s="36"/>
      <c r="B746" s="38" t="str">
        <f>IF(MasterFees[[#This Row],[RVG Code]]="","",_xlfn.XLOOKUP(MasterFees[[#This Row],[RVG Code]],RVGCodes[Code],RVGCodes[Base Units],"Code not found"))</f>
        <v/>
      </c>
      <c r="C746" s="37" t="s">
        <v>744</v>
      </c>
      <c r="D746" s="44" t="s">
        <v>1108</v>
      </c>
      <c r="E746" s="44"/>
      <c r="F746" s="44" t="s">
        <v>1109</v>
      </c>
      <c r="G746" s="39">
        <v>5</v>
      </c>
      <c r="H746" s="39">
        <v>4</v>
      </c>
      <c r="I746" s="39">
        <v>0</v>
      </c>
      <c r="J746" s="39">
        <v>9</v>
      </c>
      <c r="K746" s="40">
        <v>495</v>
      </c>
      <c r="L746" s="45" t="s">
        <v>1015</v>
      </c>
      <c r="M746" s="41" t="str">
        <f>IF(MasterFees[[#This Row],[GST Basis]]="Excl",MasterFees[[#This Row],[Fee as Printed]],IF(MasterFees[[#This Row],[GST Basis]]="Incl",MasterFees[[#This Row],[Fee as Printed]]/(1+GST_Rate),""))</f>
        <v/>
      </c>
      <c r="N746" s="41" t="str">
        <f>IF(MasterFees[[#This Row],[GST Basis]]="Incl",MasterFees[[#This Row],[Fee as Printed]],IF(MasterFees[[#This Row],[GST Basis]]="Excl",MasterFees[[#This Row],[Fee as Printed]]*(1+GST_Rate),""))</f>
        <v/>
      </c>
      <c r="O746" s="42">
        <f>IF(N(MasterFees[[#This Row],[Total Units]])=0,"",MasterFees[[#This Row],[Fee as Printed]]/MasterFees[[#This Row],[Total Units]])</f>
        <v>55</v>
      </c>
      <c r="P746" s="43"/>
      <c r="Q746" s="46" t="s">
        <v>1013</v>
      </c>
      <c r="R746" s="46" t="s">
        <v>1854</v>
      </c>
      <c r="S746" s="37"/>
    </row>
    <row r="747" spans="1:19" x14ac:dyDescent="0.2">
      <c r="A747" s="36"/>
      <c r="B747" s="38" t="str">
        <f>IF(MasterFees[[#This Row],[RVG Code]]="","",_xlfn.XLOOKUP(MasterFees[[#This Row],[RVG Code]],RVGCodes[Code],RVGCodes[Base Units],"Code not found"))</f>
        <v/>
      </c>
      <c r="C747" s="37" t="s">
        <v>745</v>
      </c>
      <c r="D747" s="44" t="s">
        <v>1108</v>
      </c>
      <c r="E747" s="44"/>
      <c r="F747" s="44" t="s">
        <v>1109</v>
      </c>
      <c r="G747" s="39">
        <v>6</v>
      </c>
      <c r="H747" s="39">
        <v>9</v>
      </c>
      <c r="I747" s="39">
        <v>6</v>
      </c>
      <c r="J747" s="39">
        <v>21</v>
      </c>
      <c r="K747" s="40">
        <v>1155</v>
      </c>
      <c r="L747" s="45" t="s">
        <v>1015</v>
      </c>
      <c r="M747" s="41" t="str">
        <f>IF(MasterFees[[#This Row],[GST Basis]]="Excl",MasterFees[[#This Row],[Fee as Printed]],IF(MasterFees[[#This Row],[GST Basis]]="Incl",MasterFees[[#This Row],[Fee as Printed]]/(1+GST_Rate),""))</f>
        <v/>
      </c>
      <c r="N747" s="41" t="str">
        <f>IF(MasterFees[[#This Row],[GST Basis]]="Incl",MasterFees[[#This Row],[Fee as Printed]],IF(MasterFees[[#This Row],[GST Basis]]="Excl",MasterFees[[#This Row],[Fee as Printed]]*(1+GST_Rate),""))</f>
        <v/>
      </c>
      <c r="O747" s="42">
        <f>IF(N(MasterFees[[#This Row],[Total Units]])=0,"",MasterFees[[#This Row],[Fee as Printed]]/MasterFees[[#This Row],[Total Units]])</f>
        <v>55</v>
      </c>
      <c r="P747" s="43"/>
      <c r="Q747" s="46" t="s">
        <v>1013</v>
      </c>
      <c r="R747" s="46" t="s">
        <v>1855</v>
      </c>
      <c r="S747" s="37"/>
    </row>
    <row r="748" spans="1:19" x14ac:dyDescent="0.2">
      <c r="A748" s="36"/>
      <c r="B748" s="38" t="str">
        <f>IF(MasterFees[[#This Row],[RVG Code]]="","",_xlfn.XLOOKUP(MasterFees[[#This Row],[RVG Code]],RVGCodes[Code],RVGCodes[Base Units],"Code not found"))</f>
        <v/>
      </c>
      <c r="C748" s="37" t="s">
        <v>746</v>
      </c>
      <c r="D748" s="44" t="s">
        <v>1108</v>
      </c>
      <c r="E748" s="44"/>
      <c r="F748" s="44" t="s">
        <v>1109</v>
      </c>
      <c r="G748" s="39">
        <v>14</v>
      </c>
      <c r="H748" s="39">
        <v>14</v>
      </c>
      <c r="I748" s="39">
        <v>10</v>
      </c>
      <c r="J748" s="39">
        <v>38</v>
      </c>
      <c r="K748" s="40">
        <v>2090</v>
      </c>
      <c r="L748" s="45" t="s">
        <v>1015</v>
      </c>
      <c r="M748" s="41" t="str">
        <f>IF(MasterFees[[#This Row],[GST Basis]]="Excl",MasterFees[[#This Row],[Fee as Printed]],IF(MasterFees[[#This Row],[GST Basis]]="Incl",MasterFees[[#This Row],[Fee as Printed]]/(1+GST_Rate),""))</f>
        <v/>
      </c>
      <c r="N748" s="41" t="str">
        <f>IF(MasterFees[[#This Row],[GST Basis]]="Incl",MasterFees[[#This Row],[Fee as Printed]],IF(MasterFees[[#This Row],[GST Basis]]="Excl",MasterFees[[#This Row],[Fee as Printed]]*(1+GST_Rate),""))</f>
        <v/>
      </c>
      <c r="O748" s="42">
        <f>IF(N(MasterFees[[#This Row],[Total Units]])=0,"",MasterFees[[#This Row],[Fee as Printed]]/MasterFees[[#This Row],[Total Units]])</f>
        <v>55</v>
      </c>
      <c r="P748" s="43"/>
      <c r="Q748" s="46" t="s">
        <v>1013</v>
      </c>
      <c r="R748" s="46" t="s">
        <v>1856</v>
      </c>
      <c r="S748" s="37"/>
    </row>
    <row r="749" spans="1:19" x14ac:dyDescent="0.2">
      <c r="A749" s="36"/>
      <c r="B749" s="38" t="str">
        <f>IF(MasterFees[[#This Row],[RVG Code]]="","",_xlfn.XLOOKUP(MasterFees[[#This Row],[RVG Code]],RVGCodes[Code],RVGCodes[Base Units],"Code not found"))</f>
        <v/>
      </c>
      <c r="C749" s="37" t="s">
        <v>747</v>
      </c>
      <c r="D749" s="44" t="s">
        <v>1108</v>
      </c>
      <c r="E749" s="44"/>
      <c r="F749" s="44" t="s">
        <v>1109</v>
      </c>
      <c r="G749" s="39">
        <v>9.4</v>
      </c>
      <c r="H749" s="39">
        <v>16.8</v>
      </c>
      <c r="I749" s="39">
        <v>0.8</v>
      </c>
      <c r="J749" s="39">
        <v>27</v>
      </c>
      <c r="K749" s="40">
        <v>1483.9</v>
      </c>
      <c r="L749" s="45" t="s">
        <v>1015</v>
      </c>
      <c r="M749" s="41" t="str">
        <f>IF(MasterFees[[#This Row],[GST Basis]]="Excl",MasterFees[[#This Row],[Fee as Printed]],IF(MasterFees[[#This Row],[GST Basis]]="Incl",MasterFees[[#This Row],[Fee as Printed]]/(1+GST_Rate),""))</f>
        <v/>
      </c>
      <c r="N749" s="41" t="str">
        <f>IF(MasterFees[[#This Row],[GST Basis]]="Incl",MasterFees[[#This Row],[Fee as Printed]],IF(MasterFees[[#This Row],[GST Basis]]="Excl",MasterFees[[#This Row],[Fee as Printed]]*(1+GST_Rate),""))</f>
        <v/>
      </c>
      <c r="O749" s="42">
        <f>IF(N(MasterFees[[#This Row],[Total Units]])=0,"",MasterFees[[#This Row],[Fee as Printed]]/MasterFees[[#This Row],[Total Units]])</f>
        <v>54.959259259259262</v>
      </c>
      <c r="P749" s="43"/>
      <c r="Q749" s="46" t="s">
        <v>1013</v>
      </c>
      <c r="R749" s="46" t="s">
        <v>1857</v>
      </c>
      <c r="S749" s="37"/>
    </row>
    <row r="750" spans="1:19" x14ac:dyDescent="0.2">
      <c r="A750" s="36"/>
      <c r="B750" s="38" t="str">
        <f>IF(MasterFees[[#This Row],[RVG Code]]="","",_xlfn.XLOOKUP(MasterFees[[#This Row],[RVG Code]],RVGCodes[Code],RVGCodes[Base Units],"Code not found"))</f>
        <v/>
      </c>
      <c r="C750" s="37" t="s">
        <v>748</v>
      </c>
      <c r="D750" s="44" t="s">
        <v>1108</v>
      </c>
      <c r="E750" s="44"/>
      <c r="F750" s="44" t="s">
        <v>1109</v>
      </c>
      <c r="G750" s="39">
        <v>6.6</v>
      </c>
      <c r="H750" s="39">
        <v>6.8</v>
      </c>
      <c r="I750" s="39">
        <v>0.8</v>
      </c>
      <c r="J750" s="39">
        <v>14.1</v>
      </c>
      <c r="K750" s="40">
        <v>776.6</v>
      </c>
      <c r="L750" s="45" t="s">
        <v>1015</v>
      </c>
      <c r="M750" s="41" t="str">
        <f>IF(MasterFees[[#This Row],[GST Basis]]="Excl",MasterFees[[#This Row],[Fee as Printed]],IF(MasterFees[[#This Row],[GST Basis]]="Incl",MasterFees[[#This Row],[Fee as Printed]]/(1+GST_Rate),""))</f>
        <v/>
      </c>
      <c r="N750" s="41" t="str">
        <f>IF(MasterFees[[#This Row],[GST Basis]]="Incl",MasterFees[[#This Row],[Fee as Printed]],IF(MasterFees[[#This Row],[GST Basis]]="Excl",MasterFees[[#This Row],[Fee as Printed]]*(1+GST_Rate),""))</f>
        <v/>
      </c>
      <c r="O750" s="42">
        <f>IF(N(MasterFees[[#This Row],[Total Units]])=0,"",MasterFees[[#This Row],[Fee as Printed]]/MasterFees[[#This Row],[Total Units]])</f>
        <v>55.078014184397169</v>
      </c>
      <c r="P750" s="43"/>
      <c r="Q750" s="46" t="s">
        <v>1013</v>
      </c>
      <c r="R750" s="46" t="s">
        <v>1858</v>
      </c>
      <c r="S750" s="37"/>
    </row>
    <row r="751" spans="1:19" x14ac:dyDescent="0.2">
      <c r="A751" s="36"/>
      <c r="B751" s="38" t="str">
        <f>IF(MasterFees[[#This Row],[RVG Code]]="","",_xlfn.XLOOKUP(MasterFees[[#This Row],[RVG Code]],RVGCodes[Code],RVGCodes[Base Units],"Code not found"))</f>
        <v/>
      </c>
      <c r="C751" s="37" t="s">
        <v>749</v>
      </c>
      <c r="D751" s="44" t="s">
        <v>1108</v>
      </c>
      <c r="E751" s="44"/>
      <c r="F751" s="44" t="s">
        <v>1109</v>
      </c>
      <c r="G751" s="39">
        <v>5.5</v>
      </c>
      <c r="H751" s="39">
        <v>8.5</v>
      </c>
      <c r="I751" s="39">
        <v>0</v>
      </c>
      <c r="J751" s="39">
        <v>14</v>
      </c>
      <c r="K751" s="40">
        <v>770</v>
      </c>
      <c r="L751" s="45" t="s">
        <v>1015</v>
      </c>
      <c r="M751" s="41" t="str">
        <f>IF(MasterFees[[#This Row],[GST Basis]]="Excl",MasterFees[[#This Row],[Fee as Printed]],IF(MasterFees[[#This Row],[GST Basis]]="Incl",MasterFees[[#This Row],[Fee as Printed]]/(1+GST_Rate),""))</f>
        <v/>
      </c>
      <c r="N751" s="41" t="str">
        <f>IF(MasterFees[[#This Row],[GST Basis]]="Incl",MasterFees[[#This Row],[Fee as Printed]],IF(MasterFees[[#This Row],[GST Basis]]="Excl",MasterFees[[#This Row],[Fee as Printed]]*(1+GST_Rate),""))</f>
        <v/>
      </c>
      <c r="O751" s="42">
        <f>IF(N(MasterFees[[#This Row],[Total Units]])=0,"",MasterFees[[#This Row],[Fee as Printed]]/MasterFees[[#This Row],[Total Units]])</f>
        <v>55</v>
      </c>
      <c r="P751" s="43"/>
      <c r="Q751" s="46" t="s">
        <v>1013</v>
      </c>
      <c r="R751" s="46" t="s">
        <v>1859</v>
      </c>
      <c r="S751" s="37"/>
    </row>
    <row r="752" spans="1:19" x14ac:dyDescent="0.2">
      <c r="A752" s="36"/>
      <c r="B752" s="38" t="str">
        <f>IF(MasterFees[[#This Row],[RVG Code]]="","",_xlfn.XLOOKUP(MasterFees[[#This Row],[RVG Code]],RVGCodes[Code],RVGCodes[Base Units],"Code not found"))</f>
        <v/>
      </c>
      <c r="C752" s="37" t="s">
        <v>750</v>
      </c>
      <c r="D752" s="44" t="s">
        <v>1108</v>
      </c>
      <c r="E752" s="44"/>
      <c r="F752" s="44" t="s">
        <v>1109</v>
      </c>
      <c r="G752" s="39">
        <v>6</v>
      </c>
      <c r="H752" s="39">
        <v>8.3000000000000007</v>
      </c>
      <c r="I752" s="39">
        <v>0.4</v>
      </c>
      <c r="J752" s="39">
        <v>14.8</v>
      </c>
      <c r="K752" s="40">
        <v>812.35</v>
      </c>
      <c r="L752" s="45" t="s">
        <v>1015</v>
      </c>
      <c r="M752" s="41" t="str">
        <f>IF(MasterFees[[#This Row],[GST Basis]]="Excl",MasterFees[[#This Row],[Fee as Printed]],IF(MasterFees[[#This Row],[GST Basis]]="Incl",MasterFees[[#This Row],[Fee as Printed]]/(1+GST_Rate),""))</f>
        <v/>
      </c>
      <c r="N752" s="41" t="str">
        <f>IF(MasterFees[[#This Row],[GST Basis]]="Incl",MasterFees[[#This Row],[Fee as Printed]],IF(MasterFees[[#This Row],[GST Basis]]="Excl",MasterFees[[#This Row],[Fee as Printed]]*(1+GST_Rate),""))</f>
        <v/>
      </c>
      <c r="O752" s="42">
        <f>IF(N(MasterFees[[#This Row],[Total Units]])=0,"",MasterFees[[#This Row],[Fee as Printed]]/MasterFees[[#This Row],[Total Units]])</f>
        <v>54.888513513513516</v>
      </c>
      <c r="P752" s="43"/>
      <c r="Q752" s="46" t="s">
        <v>1013</v>
      </c>
      <c r="R752" s="46" t="s">
        <v>1860</v>
      </c>
      <c r="S752" s="37"/>
    </row>
    <row r="753" spans="1:19" x14ac:dyDescent="0.2">
      <c r="A753" s="36"/>
      <c r="B753" s="38" t="str">
        <f>IF(MasterFees[[#This Row],[RVG Code]]="","",_xlfn.XLOOKUP(MasterFees[[#This Row],[RVG Code]],RVGCodes[Code],RVGCodes[Base Units],"Code not found"))</f>
        <v/>
      </c>
      <c r="C753" s="37" t="s">
        <v>751</v>
      </c>
      <c r="D753" s="44" t="s">
        <v>1108</v>
      </c>
      <c r="E753" s="44"/>
      <c r="F753" s="44" t="s">
        <v>1109</v>
      </c>
      <c r="G753" s="39">
        <v>6.4</v>
      </c>
      <c r="H753" s="39">
        <v>16.399999999999999</v>
      </c>
      <c r="I753" s="39">
        <v>2</v>
      </c>
      <c r="J753" s="39">
        <v>24.8</v>
      </c>
      <c r="K753" s="40">
        <v>1364</v>
      </c>
      <c r="L753" s="45" t="s">
        <v>1015</v>
      </c>
      <c r="M753" s="41" t="str">
        <f>IF(MasterFees[[#This Row],[GST Basis]]="Excl",MasterFees[[#This Row],[Fee as Printed]],IF(MasterFees[[#This Row],[GST Basis]]="Incl",MasterFees[[#This Row],[Fee as Printed]]/(1+GST_Rate),""))</f>
        <v/>
      </c>
      <c r="N753" s="41" t="str">
        <f>IF(MasterFees[[#This Row],[GST Basis]]="Incl",MasterFees[[#This Row],[Fee as Printed]],IF(MasterFees[[#This Row],[GST Basis]]="Excl",MasterFees[[#This Row],[Fee as Printed]]*(1+GST_Rate),""))</f>
        <v/>
      </c>
      <c r="O753" s="42">
        <f>IF(N(MasterFees[[#This Row],[Total Units]])=0,"",MasterFees[[#This Row],[Fee as Printed]]/MasterFees[[#This Row],[Total Units]])</f>
        <v>55</v>
      </c>
      <c r="P753" s="43"/>
      <c r="Q753" s="46" t="s">
        <v>1013</v>
      </c>
      <c r="R753" s="46" t="s">
        <v>1861</v>
      </c>
      <c r="S753" s="37"/>
    </row>
    <row r="754" spans="1:19" x14ac:dyDescent="0.2">
      <c r="A754" s="36"/>
      <c r="B754" s="38" t="str">
        <f>IF(MasterFees[[#This Row],[RVG Code]]="","",_xlfn.XLOOKUP(MasterFees[[#This Row],[RVG Code]],RVGCodes[Code],RVGCodes[Base Units],"Code not found"))</f>
        <v/>
      </c>
      <c r="C754" s="37" t="s">
        <v>752</v>
      </c>
      <c r="D754" s="44" t="s">
        <v>1108</v>
      </c>
      <c r="E754" s="44"/>
      <c r="F754" s="44" t="s">
        <v>1109</v>
      </c>
      <c r="G754" s="39">
        <v>7.2</v>
      </c>
      <c r="H754" s="39">
        <v>7.2</v>
      </c>
      <c r="I754" s="39">
        <v>0.7</v>
      </c>
      <c r="J754" s="39">
        <v>15</v>
      </c>
      <c r="K754" s="40">
        <v>823.9</v>
      </c>
      <c r="L754" s="45" t="s">
        <v>1015</v>
      </c>
      <c r="M754" s="41" t="str">
        <f>IF(MasterFees[[#This Row],[GST Basis]]="Excl",MasterFees[[#This Row],[Fee as Printed]],IF(MasterFees[[#This Row],[GST Basis]]="Incl",MasterFees[[#This Row],[Fee as Printed]]/(1+GST_Rate),""))</f>
        <v/>
      </c>
      <c r="N754" s="41" t="str">
        <f>IF(MasterFees[[#This Row],[GST Basis]]="Incl",MasterFees[[#This Row],[Fee as Printed]],IF(MasterFees[[#This Row],[GST Basis]]="Excl",MasterFees[[#This Row],[Fee as Printed]]*(1+GST_Rate),""))</f>
        <v/>
      </c>
      <c r="O754" s="42">
        <f>IF(N(MasterFees[[#This Row],[Total Units]])=0,"",MasterFees[[#This Row],[Fee as Printed]]/MasterFees[[#This Row],[Total Units]])</f>
        <v>54.926666666666662</v>
      </c>
      <c r="P754" s="43"/>
      <c r="Q754" s="46" t="s">
        <v>1013</v>
      </c>
      <c r="R754" s="46" t="s">
        <v>1862</v>
      </c>
      <c r="S754" s="37"/>
    </row>
    <row r="755" spans="1:19" x14ac:dyDescent="0.2">
      <c r="A755" s="36"/>
      <c r="B755" s="38" t="str">
        <f>IF(MasterFees[[#This Row],[RVG Code]]="","",_xlfn.XLOOKUP(MasterFees[[#This Row],[RVG Code]],RVGCodes[Code],RVGCodes[Base Units],"Code not found"))</f>
        <v/>
      </c>
      <c r="C755" s="37" t="s">
        <v>753</v>
      </c>
      <c r="D755" s="44" t="s">
        <v>1108</v>
      </c>
      <c r="E755" s="44"/>
      <c r="F755" s="44" t="s">
        <v>1109</v>
      </c>
      <c r="G755" s="39">
        <v>0</v>
      </c>
      <c r="H755" s="39">
        <v>2</v>
      </c>
      <c r="I755" s="39">
        <v>0</v>
      </c>
      <c r="J755" s="39">
        <v>2</v>
      </c>
      <c r="K755" s="40">
        <v>110</v>
      </c>
      <c r="L755" s="45" t="s">
        <v>1015</v>
      </c>
      <c r="M755" s="41" t="str">
        <f>IF(MasterFees[[#This Row],[GST Basis]]="Excl",MasterFees[[#This Row],[Fee as Printed]],IF(MasterFees[[#This Row],[GST Basis]]="Incl",MasterFees[[#This Row],[Fee as Printed]]/(1+GST_Rate),""))</f>
        <v/>
      </c>
      <c r="N755" s="41" t="str">
        <f>IF(MasterFees[[#This Row],[GST Basis]]="Incl",MasterFees[[#This Row],[Fee as Printed]],IF(MasterFees[[#This Row],[GST Basis]]="Excl",MasterFees[[#This Row],[Fee as Printed]]*(1+GST_Rate),""))</f>
        <v/>
      </c>
      <c r="O755" s="42">
        <f>IF(N(MasterFees[[#This Row],[Total Units]])=0,"",MasterFees[[#This Row],[Fee as Printed]]/MasterFees[[#This Row],[Total Units]])</f>
        <v>55</v>
      </c>
      <c r="P755" s="43"/>
      <c r="Q755" s="46" t="s">
        <v>1013</v>
      </c>
      <c r="R755" s="46" t="s">
        <v>1863</v>
      </c>
      <c r="S755" s="37"/>
    </row>
    <row r="756" spans="1:19" x14ac:dyDescent="0.2">
      <c r="A756" s="36"/>
      <c r="B756" s="38" t="str">
        <f>IF(MasterFees[[#This Row],[RVG Code]]="","",_xlfn.XLOOKUP(MasterFees[[#This Row],[RVG Code]],RVGCodes[Code],RVGCodes[Base Units],"Code not found"))</f>
        <v/>
      </c>
      <c r="C756" s="37" t="s">
        <v>754</v>
      </c>
      <c r="D756" s="44" t="s">
        <v>1108</v>
      </c>
      <c r="E756" s="44"/>
      <c r="F756" s="44" t="s">
        <v>1109</v>
      </c>
      <c r="G756" s="39">
        <v>8.6</v>
      </c>
      <c r="H756" s="39">
        <v>7.6</v>
      </c>
      <c r="I756" s="39">
        <v>0.4</v>
      </c>
      <c r="J756" s="39">
        <v>16.600000000000001</v>
      </c>
      <c r="K756" s="40">
        <v>913</v>
      </c>
      <c r="L756" s="45" t="s">
        <v>1015</v>
      </c>
      <c r="M756" s="41" t="str">
        <f>IF(MasterFees[[#This Row],[GST Basis]]="Excl",MasterFees[[#This Row],[Fee as Printed]],IF(MasterFees[[#This Row],[GST Basis]]="Incl",MasterFees[[#This Row],[Fee as Printed]]/(1+GST_Rate),""))</f>
        <v/>
      </c>
      <c r="N756" s="41" t="str">
        <f>IF(MasterFees[[#This Row],[GST Basis]]="Incl",MasterFees[[#This Row],[Fee as Printed]],IF(MasterFees[[#This Row],[GST Basis]]="Excl",MasterFees[[#This Row],[Fee as Printed]]*(1+GST_Rate),""))</f>
        <v/>
      </c>
      <c r="O756" s="42">
        <f>IF(N(MasterFees[[#This Row],[Total Units]])=0,"",MasterFees[[#This Row],[Fee as Printed]]/MasterFees[[#This Row],[Total Units]])</f>
        <v>54.999999999999993</v>
      </c>
      <c r="P756" s="43"/>
      <c r="Q756" s="46" t="s">
        <v>1013</v>
      </c>
      <c r="R756" s="46" t="s">
        <v>1864</v>
      </c>
      <c r="S756" s="37"/>
    </row>
    <row r="757" spans="1:19" x14ac:dyDescent="0.2">
      <c r="A757" s="36"/>
      <c r="B757" s="38" t="str">
        <f>IF(MasterFees[[#This Row],[RVG Code]]="","",_xlfn.XLOOKUP(MasterFees[[#This Row],[RVG Code]],RVGCodes[Code],RVGCodes[Base Units],"Code not found"))</f>
        <v/>
      </c>
      <c r="C757" s="37" t="s">
        <v>755</v>
      </c>
      <c r="D757" s="44" t="s">
        <v>1108</v>
      </c>
      <c r="E757" s="44"/>
      <c r="F757" s="44" t="s">
        <v>1109</v>
      </c>
      <c r="G757" s="39">
        <v>12</v>
      </c>
      <c r="H757" s="39">
        <v>14</v>
      </c>
      <c r="I757" s="39">
        <v>1</v>
      </c>
      <c r="J757" s="39">
        <v>27</v>
      </c>
      <c r="K757" s="40">
        <v>1485</v>
      </c>
      <c r="L757" s="45" t="s">
        <v>1015</v>
      </c>
      <c r="M757" s="41" t="str">
        <f>IF(MasterFees[[#This Row],[GST Basis]]="Excl",MasterFees[[#This Row],[Fee as Printed]],IF(MasterFees[[#This Row],[GST Basis]]="Incl",MasterFees[[#This Row],[Fee as Printed]]/(1+GST_Rate),""))</f>
        <v/>
      </c>
      <c r="N757" s="41" t="str">
        <f>IF(MasterFees[[#This Row],[GST Basis]]="Incl",MasterFees[[#This Row],[Fee as Printed]],IF(MasterFees[[#This Row],[GST Basis]]="Excl",MasterFees[[#This Row],[Fee as Printed]]*(1+GST_Rate),""))</f>
        <v/>
      </c>
      <c r="O757" s="42">
        <f>IF(N(MasterFees[[#This Row],[Total Units]])=0,"",MasterFees[[#This Row],[Fee as Printed]]/MasterFees[[#This Row],[Total Units]])</f>
        <v>55</v>
      </c>
      <c r="P757" s="43"/>
      <c r="Q757" s="46" t="s">
        <v>1013</v>
      </c>
      <c r="R757" s="46" t="s">
        <v>1865</v>
      </c>
      <c r="S757" s="37"/>
    </row>
    <row r="758" spans="1:19" x14ac:dyDescent="0.2">
      <c r="A758" s="36"/>
      <c r="B758" s="38" t="str">
        <f>IF(MasterFees[[#This Row],[RVG Code]]="","",_xlfn.XLOOKUP(MasterFees[[#This Row],[RVG Code]],RVGCodes[Code],RVGCodes[Base Units],"Code not found"))</f>
        <v/>
      </c>
      <c r="C758" s="37" t="s">
        <v>756</v>
      </c>
      <c r="D758" s="44" t="s">
        <v>1108</v>
      </c>
      <c r="E758" s="44"/>
      <c r="F758" s="44" t="s">
        <v>1109</v>
      </c>
      <c r="G758" s="39">
        <v>6</v>
      </c>
      <c r="H758" s="39">
        <v>13.3</v>
      </c>
      <c r="I758" s="39">
        <v>0.3</v>
      </c>
      <c r="J758" s="39">
        <v>19.5</v>
      </c>
      <c r="K758" s="40">
        <v>1072.5</v>
      </c>
      <c r="L758" s="45" t="s">
        <v>1015</v>
      </c>
      <c r="M758" s="41" t="str">
        <f>IF(MasterFees[[#This Row],[GST Basis]]="Excl",MasterFees[[#This Row],[Fee as Printed]],IF(MasterFees[[#This Row],[GST Basis]]="Incl",MasterFees[[#This Row],[Fee as Printed]]/(1+GST_Rate),""))</f>
        <v/>
      </c>
      <c r="N758" s="41" t="str">
        <f>IF(MasterFees[[#This Row],[GST Basis]]="Incl",MasterFees[[#This Row],[Fee as Printed]],IF(MasterFees[[#This Row],[GST Basis]]="Excl",MasterFees[[#This Row],[Fee as Printed]]*(1+GST_Rate),""))</f>
        <v/>
      </c>
      <c r="O758" s="42">
        <f>IF(N(MasterFees[[#This Row],[Total Units]])=0,"",MasterFees[[#This Row],[Fee as Printed]]/MasterFees[[#This Row],[Total Units]])</f>
        <v>55</v>
      </c>
      <c r="P758" s="43"/>
      <c r="Q758" s="46" t="s">
        <v>1013</v>
      </c>
      <c r="R758" s="46" t="s">
        <v>1866</v>
      </c>
      <c r="S758" s="37"/>
    </row>
    <row r="759" spans="1:19" x14ac:dyDescent="0.2">
      <c r="A759" s="36"/>
      <c r="B759" s="38" t="str">
        <f>IF(MasterFees[[#This Row],[RVG Code]]="","",_xlfn.XLOOKUP(MasterFees[[#This Row],[RVG Code]],RVGCodes[Code],RVGCodes[Base Units],"Code not found"))</f>
        <v/>
      </c>
      <c r="C759" s="37" t="s">
        <v>757</v>
      </c>
      <c r="D759" s="44" t="s">
        <v>1108</v>
      </c>
      <c r="E759" s="44"/>
      <c r="F759" s="44" t="s">
        <v>1109</v>
      </c>
      <c r="G759" s="39">
        <v>10.1</v>
      </c>
      <c r="H759" s="39">
        <v>13.1</v>
      </c>
      <c r="I759" s="39">
        <v>1.9</v>
      </c>
      <c r="J759" s="39">
        <v>25</v>
      </c>
      <c r="K759" s="40">
        <v>1374.45</v>
      </c>
      <c r="L759" s="45" t="s">
        <v>1015</v>
      </c>
      <c r="M759" s="41" t="str">
        <f>IF(MasterFees[[#This Row],[GST Basis]]="Excl",MasterFees[[#This Row],[Fee as Printed]],IF(MasterFees[[#This Row],[GST Basis]]="Incl",MasterFees[[#This Row],[Fee as Printed]]/(1+GST_Rate),""))</f>
        <v/>
      </c>
      <c r="N759" s="41" t="str">
        <f>IF(MasterFees[[#This Row],[GST Basis]]="Incl",MasterFees[[#This Row],[Fee as Printed]],IF(MasterFees[[#This Row],[GST Basis]]="Excl",MasterFees[[#This Row],[Fee as Printed]]*(1+GST_Rate),""))</f>
        <v/>
      </c>
      <c r="O759" s="42">
        <f>IF(N(MasterFees[[#This Row],[Total Units]])=0,"",MasterFees[[#This Row],[Fee as Printed]]/MasterFees[[#This Row],[Total Units]])</f>
        <v>54.978000000000002</v>
      </c>
      <c r="P759" s="43"/>
      <c r="Q759" s="46" t="s">
        <v>1013</v>
      </c>
      <c r="R759" s="46" t="s">
        <v>1867</v>
      </c>
      <c r="S759" s="37"/>
    </row>
    <row r="760" spans="1:19" x14ac:dyDescent="0.2">
      <c r="A760" s="36"/>
      <c r="B760" s="38" t="str">
        <f>IF(MasterFees[[#This Row],[RVG Code]]="","",_xlfn.XLOOKUP(MasterFees[[#This Row],[RVG Code]],RVGCodes[Code],RVGCodes[Base Units],"Code not found"))</f>
        <v/>
      </c>
      <c r="C760" s="37" t="s">
        <v>758</v>
      </c>
      <c r="D760" s="44" t="s">
        <v>1108</v>
      </c>
      <c r="E760" s="44"/>
      <c r="F760" s="44" t="s">
        <v>1109</v>
      </c>
      <c r="G760" s="39">
        <v>9.6999999999999993</v>
      </c>
      <c r="H760" s="39">
        <v>12.1</v>
      </c>
      <c r="I760" s="39">
        <v>2.1</v>
      </c>
      <c r="J760" s="39">
        <v>23.9</v>
      </c>
      <c r="K760" s="40">
        <v>1312.85</v>
      </c>
      <c r="L760" s="45" t="s">
        <v>1015</v>
      </c>
      <c r="M760" s="41" t="str">
        <f>IF(MasterFees[[#This Row],[GST Basis]]="Excl",MasterFees[[#This Row],[Fee as Printed]],IF(MasterFees[[#This Row],[GST Basis]]="Incl",MasterFees[[#This Row],[Fee as Printed]]/(1+GST_Rate),""))</f>
        <v/>
      </c>
      <c r="N760" s="41" t="str">
        <f>IF(MasterFees[[#This Row],[GST Basis]]="Incl",MasterFees[[#This Row],[Fee as Printed]],IF(MasterFees[[#This Row],[GST Basis]]="Excl",MasterFees[[#This Row],[Fee as Printed]]*(1+GST_Rate),""))</f>
        <v/>
      </c>
      <c r="O760" s="42">
        <f>IF(N(MasterFees[[#This Row],[Total Units]])=0,"",MasterFees[[#This Row],[Fee as Printed]]/MasterFees[[#This Row],[Total Units]])</f>
        <v>54.930962343096233</v>
      </c>
      <c r="P760" s="43"/>
      <c r="Q760" s="46" t="s">
        <v>1013</v>
      </c>
      <c r="R760" s="46" t="s">
        <v>1868</v>
      </c>
      <c r="S760" s="37"/>
    </row>
    <row r="761" spans="1:19" x14ac:dyDescent="0.2">
      <c r="A761" s="36"/>
      <c r="B761" s="38" t="str">
        <f>IF(MasterFees[[#This Row],[RVG Code]]="","",_xlfn.XLOOKUP(MasterFees[[#This Row],[RVG Code]],RVGCodes[Code],RVGCodes[Base Units],"Code not found"))</f>
        <v/>
      </c>
      <c r="C761" s="37" t="s">
        <v>759</v>
      </c>
      <c r="D761" s="44" t="s">
        <v>1108</v>
      </c>
      <c r="E761" s="44"/>
      <c r="F761" s="44" t="s">
        <v>1109</v>
      </c>
      <c r="G761" s="39">
        <v>6</v>
      </c>
      <c r="H761" s="39">
        <v>6</v>
      </c>
      <c r="I761" s="39">
        <v>0</v>
      </c>
      <c r="J761" s="39">
        <v>12</v>
      </c>
      <c r="K761" s="40">
        <v>660</v>
      </c>
      <c r="L761" s="45" t="s">
        <v>1015</v>
      </c>
      <c r="M761" s="41" t="str">
        <f>IF(MasterFees[[#This Row],[GST Basis]]="Excl",MasterFees[[#This Row],[Fee as Printed]],IF(MasterFees[[#This Row],[GST Basis]]="Incl",MasterFees[[#This Row],[Fee as Printed]]/(1+GST_Rate),""))</f>
        <v/>
      </c>
      <c r="N761" s="41" t="str">
        <f>IF(MasterFees[[#This Row],[GST Basis]]="Incl",MasterFees[[#This Row],[Fee as Printed]],IF(MasterFees[[#This Row],[GST Basis]]="Excl",MasterFees[[#This Row],[Fee as Printed]]*(1+GST_Rate),""))</f>
        <v/>
      </c>
      <c r="O761" s="42">
        <f>IF(N(MasterFees[[#This Row],[Total Units]])=0,"",MasterFees[[#This Row],[Fee as Printed]]/MasterFees[[#This Row],[Total Units]])</f>
        <v>55</v>
      </c>
      <c r="P761" s="43"/>
      <c r="Q761" s="46" t="s">
        <v>1013</v>
      </c>
      <c r="R761" s="46" t="s">
        <v>1869</v>
      </c>
      <c r="S761" s="37"/>
    </row>
    <row r="762" spans="1:19" x14ac:dyDescent="0.2">
      <c r="A762" s="36"/>
      <c r="B762" s="38" t="str">
        <f>IF(MasterFees[[#This Row],[RVG Code]]="","",_xlfn.XLOOKUP(MasterFees[[#This Row],[RVG Code]],RVGCodes[Code],RVGCodes[Base Units],"Code not found"))</f>
        <v/>
      </c>
      <c r="C762" s="37" t="s">
        <v>760</v>
      </c>
      <c r="D762" s="44" t="s">
        <v>1108</v>
      </c>
      <c r="E762" s="44"/>
      <c r="F762" s="44" t="s">
        <v>1109</v>
      </c>
      <c r="G762" s="39">
        <v>3.7</v>
      </c>
      <c r="H762" s="39">
        <v>7.4</v>
      </c>
      <c r="I762" s="39">
        <v>0.2</v>
      </c>
      <c r="J762" s="39">
        <v>11.3</v>
      </c>
      <c r="K762" s="40">
        <v>619.85</v>
      </c>
      <c r="L762" s="45" t="s">
        <v>1015</v>
      </c>
      <c r="M762" s="41" t="str">
        <f>IF(MasterFees[[#This Row],[GST Basis]]="Excl",MasterFees[[#This Row],[Fee as Printed]],IF(MasterFees[[#This Row],[GST Basis]]="Incl",MasterFees[[#This Row],[Fee as Printed]]/(1+GST_Rate),""))</f>
        <v/>
      </c>
      <c r="N762" s="41" t="str">
        <f>IF(MasterFees[[#This Row],[GST Basis]]="Incl",MasterFees[[#This Row],[Fee as Printed]],IF(MasterFees[[#This Row],[GST Basis]]="Excl",MasterFees[[#This Row],[Fee as Printed]]*(1+GST_Rate),""))</f>
        <v/>
      </c>
      <c r="O762" s="42">
        <f>IF(N(MasterFees[[#This Row],[Total Units]])=0,"",MasterFees[[#This Row],[Fee as Printed]]/MasterFees[[#This Row],[Total Units]])</f>
        <v>54.853982300884951</v>
      </c>
      <c r="P762" s="43"/>
      <c r="Q762" s="46" t="s">
        <v>1013</v>
      </c>
      <c r="R762" s="46" t="s">
        <v>1870</v>
      </c>
      <c r="S762" s="37"/>
    </row>
    <row r="763" spans="1:19" x14ac:dyDescent="0.2">
      <c r="A763" s="36"/>
      <c r="B763" s="38" t="str">
        <f>IF(MasterFees[[#This Row],[RVG Code]]="","",_xlfn.XLOOKUP(MasterFees[[#This Row],[RVG Code]],RVGCodes[Code],RVGCodes[Base Units],"Code not found"))</f>
        <v/>
      </c>
      <c r="C763" s="37" t="s">
        <v>760</v>
      </c>
      <c r="D763" s="44" t="s">
        <v>1108</v>
      </c>
      <c r="E763" s="44"/>
      <c r="F763" s="44" t="s">
        <v>1109</v>
      </c>
      <c r="G763" s="39">
        <v>3.7</v>
      </c>
      <c r="H763" s="39">
        <v>7.4</v>
      </c>
      <c r="I763" s="39">
        <v>0.2</v>
      </c>
      <c r="J763" s="39">
        <v>11.3</v>
      </c>
      <c r="K763" s="40">
        <v>619.85</v>
      </c>
      <c r="L763" s="45" t="s">
        <v>1015</v>
      </c>
      <c r="M763" s="41" t="str">
        <f>IF(MasterFees[[#This Row],[GST Basis]]="Excl",MasterFees[[#This Row],[Fee as Printed]],IF(MasterFees[[#This Row],[GST Basis]]="Incl",MasterFees[[#This Row],[Fee as Printed]]/(1+GST_Rate),""))</f>
        <v/>
      </c>
      <c r="N763" s="41" t="str">
        <f>IF(MasterFees[[#This Row],[GST Basis]]="Incl",MasterFees[[#This Row],[Fee as Printed]],IF(MasterFees[[#This Row],[GST Basis]]="Excl",MasterFees[[#This Row],[Fee as Printed]]*(1+GST_Rate),""))</f>
        <v/>
      </c>
      <c r="O763" s="42">
        <f>IF(N(MasterFees[[#This Row],[Total Units]])=0,"",MasterFees[[#This Row],[Fee as Printed]]/MasterFees[[#This Row],[Total Units]])</f>
        <v>54.853982300884951</v>
      </c>
      <c r="P763" s="43"/>
      <c r="Q763" s="46" t="s">
        <v>1013</v>
      </c>
      <c r="R763" s="46" t="s">
        <v>1871</v>
      </c>
      <c r="S763" s="37"/>
    </row>
    <row r="764" spans="1:19" x14ac:dyDescent="0.2">
      <c r="A764" s="36"/>
      <c r="B764" s="38" t="str">
        <f>IF(MasterFees[[#This Row],[RVG Code]]="","",_xlfn.XLOOKUP(MasterFees[[#This Row],[RVG Code]],RVGCodes[Code],RVGCodes[Base Units],"Code not found"))</f>
        <v/>
      </c>
      <c r="C764" s="37" t="s">
        <v>761</v>
      </c>
      <c r="D764" s="44" t="s">
        <v>1108</v>
      </c>
      <c r="E764" s="44"/>
      <c r="F764" s="44" t="s">
        <v>1109</v>
      </c>
      <c r="G764" s="39">
        <v>0</v>
      </c>
      <c r="H764" s="39">
        <v>4</v>
      </c>
      <c r="I764" s="39">
        <v>0</v>
      </c>
      <c r="J764" s="39">
        <v>4</v>
      </c>
      <c r="K764" s="40">
        <v>220</v>
      </c>
      <c r="L764" s="45" t="s">
        <v>1015</v>
      </c>
      <c r="M764" s="41" t="str">
        <f>IF(MasterFees[[#This Row],[GST Basis]]="Excl",MasterFees[[#This Row],[Fee as Printed]],IF(MasterFees[[#This Row],[GST Basis]]="Incl",MasterFees[[#This Row],[Fee as Printed]]/(1+GST_Rate),""))</f>
        <v/>
      </c>
      <c r="N764" s="41" t="str">
        <f>IF(MasterFees[[#This Row],[GST Basis]]="Incl",MasterFees[[#This Row],[Fee as Printed]],IF(MasterFees[[#This Row],[GST Basis]]="Excl",MasterFees[[#This Row],[Fee as Printed]]*(1+GST_Rate),""))</f>
        <v/>
      </c>
      <c r="O764" s="42">
        <f>IF(N(MasterFees[[#This Row],[Total Units]])=0,"",MasterFees[[#This Row],[Fee as Printed]]/MasterFees[[#This Row],[Total Units]])</f>
        <v>55</v>
      </c>
      <c r="P764" s="43"/>
      <c r="Q764" s="46" t="s">
        <v>1013</v>
      </c>
      <c r="R764" s="46" t="s">
        <v>1872</v>
      </c>
      <c r="S764" s="37"/>
    </row>
    <row r="765" spans="1:19" x14ac:dyDescent="0.2">
      <c r="A765" s="36"/>
      <c r="B765" s="38" t="str">
        <f>IF(MasterFees[[#This Row],[RVG Code]]="","",_xlfn.XLOOKUP(MasterFees[[#This Row],[RVG Code]],RVGCodes[Code],RVGCodes[Base Units],"Code not found"))</f>
        <v/>
      </c>
      <c r="C765" s="37" t="s">
        <v>762</v>
      </c>
      <c r="D765" s="44" t="s">
        <v>1108</v>
      </c>
      <c r="E765" s="44"/>
      <c r="F765" s="44" t="s">
        <v>1109</v>
      </c>
      <c r="G765" s="39">
        <v>0</v>
      </c>
      <c r="H765" s="39">
        <v>0</v>
      </c>
      <c r="I765" s="39">
        <v>0</v>
      </c>
      <c r="J765" s="39">
        <v>0</v>
      </c>
      <c r="K765" s="40">
        <v>0</v>
      </c>
      <c r="L765" s="45" t="s">
        <v>1015</v>
      </c>
      <c r="M765" s="41" t="str">
        <f>IF(MasterFees[[#This Row],[GST Basis]]="Excl",MasterFees[[#This Row],[Fee as Printed]],IF(MasterFees[[#This Row],[GST Basis]]="Incl",MasterFees[[#This Row],[Fee as Printed]]/(1+GST_Rate),""))</f>
        <v/>
      </c>
      <c r="N765" s="41" t="str">
        <f>IF(MasterFees[[#This Row],[GST Basis]]="Incl",MasterFees[[#This Row],[Fee as Printed]],IF(MasterFees[[#This Row],[GST Basis]]="Excl",MasterFees[[#This Row],[Fee as Printed]]*(1+GST_Rate),""))</f>
        <v/>
      </c>
      <c r="O765" s="42" t="str">
        <f>IF(N(MasterFees[[#This Row],[Total Units]])=0,"",MasterFees[[#This Row],[Fee as Printed]]/MasterFees[[#This Row],[Total Units]])</f>
        <v/>
      </c>
      <c r="P765" s="43"/>
      <c r="Q765" s="46" t="s">
        <v>1013</v>
      </c>
      <c r="R765" s="46" t="s">
        <v>1873</v>
      </c>
      <c r="S765" s="37"/>
    </row>
    <row r="766" spans="1:19" x14ac:dyDescent="0.2">
      <c r="A766" s="36"/>
      <c r="B766" s="38" t="str">
        <f>IF(MasterFees[[#This Row],[RVG Code]]="","",_xlfn.XLOOKUP(MasterFees[[#This Row],[RVG Code]],RVGCodes[Code],RVGCodes[Base Units],"Code not found"))</f>
        <v/>
      </c>
      <c r="C766" s="37" t="s">
        <v>763</v>
      </c>
      <c r="D766" s="44" t="s">
        <v>1108</v>
      </c>
      <c r="E766" s="44"/>
      <c r="F766" s="44" t="s">
        <v>1109</v>
      </c>
      <c r="G766" s="39">
        <v>4.8</v>
      </c>
      <c r="H766" s="39">
        <v>4.7</v>
      </c>
      <c r="I766" s="39">
        <v>0.7</v>
      </c>
      <c r="J766" s="39">
        <v>10.1</v>
      </c>
      <c r="K766" s="40">
        <v>556.6</v>
      </c>
      <c r="L766" s="45" t="s">
        <v>1015</v>
      </c>
      <c r="M766" s="41" t="str">
        <f>IF(MasterFees[[#This Row],[GST Basis]]="Excl",MasterFees[[#This Row],[Fee as Printed]],IF(MasterFees[[#This Row],[GST Basis]]="Incl",MasterFees[[#This Row],[Fee as Printed]]/(1+GST_Rate),""))</f>
        <v/>
      </c>
      <c r="N766" s="41" t="str">
        <f>IF(MasterFees[[#This Row],[GST Basis]]="Incl",MasterFees[[#This Row],[Fee as Printed]],IF(MasterFees[[#This Row],[GST Basis]]="Excl",MasterFees[[#This Row],[Fee as Printed]]*(1+GST_Rate),""))</f>
        <v/>
      </c>
      <c r="O766" s="42">
        <f>IF(N(MasterFees[[#This Row],[Total Units]])=0,"",MasterFees[[#This Row],[Fee as Printed]]/MasterFees[[#This Row],[Total Units]])</f>
        <v>55.10891089108911</v>
      </c>
      <c r="P766" s="43"/>
      <c r="Q766" s="46" t="s">
        <v>1013</v>
      </c>
      <c r="R766" s="46" t="s">
        <v>1874</v>
      </c>
      <c r="S766" s="37"/>
    </row>
    <row r="767" spans="1:19" x14ac:dyDescent="0.2">
      <c r="A767" s="36"/>
      <c r="B767" s="38" t="str">
        <f>IF(MasterFees[[#This Row],[RVG Code]]="","",_xlfn.XLOOKUP(MasterFees[[#This Row],[RVG Code]],RVGCodes[Code],RVGCodes[Base Units],"Code not found"))</f>
        <v/>
      </c>
      <c r="C767" s="37" t="s">
        <v>764</v>
      </c>
      <c r="D767" s="44" t="s">
        <v>1108</v>
      </c>
      <c r="E767" s="44"/>
      <c r="F767" s="44" t="s">
        <v>1109</v>
      </c>
      <c r="G767" s="39">
        <v>6</v>
      </c>
      <c r="H767" s="39">
        <v>8</v>
      </c>
      <c r="I767" s="39">
        <v>0</v>
      </c>
      <c r="J767" s="39">
        <v>14</v>
      </c>
      <c r="K767" s="40">
        <v>770</v>
      </c>
      <c r="L767" s="45" t="s">
        <v>1015</v>
      </c>
      <c r="M767" s="41" t="str">
        <f>IF(MasterFees[[#This Row],[GST Basis]]="Excl",MasterFees[[#This Row],[Fee as Printed]],IF(MasterFees[[#This Row],[GST Basis]]="Incl",MasterFees[[#This Row],[Fee as Printed]]/(1+GST_Rate),""))</f>
        <v/>
      </c>
      <c r="N767" s="41" t="str">
        <f>IF(MasterFees[[#This Row],[GST Basis]]="Incl",MasterFees[[#This Row],[Fee as Printed]],IF(MasterFees[[#This Row],[GST Basis]]="Excl",MasterFees[[#This Row],[Fee as Printed]]*(1+GST_Rate),""))</f>
        <v/>
      </c>
      <c r="O767" s="42">
        <f>IF(N(MasterFees[[#This Row],[Total Units]])=0,"",MasterFees[[#This Row],[Fee as Printed]]/MasterFees[[#This Row],[Total Units]])</f>
        <v>55</v>
      </c>
      <c r="P767" s="43"/>
      <c r="Q767" s="46" t="s">
        <v>1013</v>
      </c>
      <c r="R767" s="46" t="s">
        <v>1875</v>
      </c>
      <c r="S767" s="37"/>
    </row>
    <row r="768" spans="1:19" x14ac:dyDescent="0.2">
      <c r="A768" s="36"/>
      <c r="B768" s="38" t="str">
        <f>IF(MasterFees[[#This Row],[RVG Code]]="","",_xlfn.XLOOKUP(MasterFees[[#This Row],[RVG Code]],RVGCodes[Code],RVGCodes[Base Units],"Code not found"))</f>
        <v/>
      </c>
      <c r="C768" s="37" t="s">
        <v>765</v>
      </c>
      <c r="D768" s="44" t="s">
        <v>1108</v>
      </c>
      <c r="E768" s="44"/>
      <c r="F768" s="44" t="s">
        <v>1109</v>
      </c>
      <c r="G768" s="39">
        <v>4.5999999999999996</v>
      </c>
      <c r="H768" s="39">
        <v>3.8</v>
      </c>
      <c r="I768" s="39">
        <v>0.5</v>
      </c>
      <c r="J768" s="39">
        <v>8.8000000000000007</v>
      </c>
      <c r="K768" s="40">
        <v>485.65</v>
      </c>
      <c r="L768" s="45" t="s">
        <v>1015</v>
      </c>
      <c r="M768" s="41" t="str">
        <f>IF(MasterFees[[#This Row],[GST Basis]]="Excl",MasterFees[[#This Row],[Fee as Printed]],IF(MasterFees[[#This Row],[GST Basis]]="Incl",MasterFees[[#This Row],[Fee as Printed]]/(1+GST_Rate),""))</f>
        <v/>
      </c>
      <c r="N768" s="41" t="str">
        <f>IF(MasterFees[[#This Row],[GST Basis]]="Incl",MasterFees[[#This Row],[Fee as Printed]],IF(MasterFees[[#This Row],[GST Basis]]="Excl",MasterFees[[#This Row],[Fee as Printed]]*(1+GST_Rate),""))</f>
        <v/>
      </c>
      <c r="O768" s="42">
        <f>IF(N(MasterFees[[#This Row],[Total Units]])=0,"",MasterFees[[#This Row],[Fee as Printed]]/MasterFees[[#This Row],[Total Units]])</f>
        <v>55.187499999999993</v>
      </c>
      <c r="P768" s="43"/>
      <c r="Q768" s="46" t="s">
        <v>1013</v>
      </c>
      <c r="R768" s="46" t="s">
        <v>1876</v>
      </c>
      <c r="S768" s="37"/>
    </row>
    <row r="769" spans="1:19" x14ac:dyDescent="0.2">
      <c r="A769" s="36"/>
      <c r="B769" s="38" t="str">
        <f>IF(MasterFees[[#This Row],[RVG Code]]="","",_xlfn.XLOOKUP(MasterFees[[#This Row],[RVG Code]],RVGCodes[Code],RVGCodes[Base Units],"Code not found"))</f>
        <v/>
      </c>
      <c r="C769" s="37" t="s">
        <v>766</v>
      </c>
      <c r="D769" s="44" t="s">
        <v>1108</v>
      </c>
      <c r="E769" s="44"/>
      <c r="F769" s="44" t="s">
        <v>1109</v>
      </c>
      <c r="G769" s="39">
        <v>0</v>
      </c>
      <c r="H769" s="39">
        <v>7</v>
      </c>
      <c r="I769" s="39">
        <v>0</v>
      </c>
      <c r="J769" s="39">
        <v>7</v>
      </c>
      <c r="K769" s="40">
        <v>385</v>
      </c>
      <c r="L769" s="45" t="s">
        <v>1015</v>
      </c>
      <c r="M769" s="41" t="str">
        <f>IF(MasterFees[[#This Row],[GST Basis]]="Excl",MasterFees[[#This Row],[Fee as Printed]],IF(MasterFees[[#This Row],[GST Basis]]="Incl",MasterFees[[#This Row],[Fee as Printed]]/(1+GST_Rate),""))</f>
        <v/>
      </c>
      <c r="N769" s="41" t="str">
        <f>IF(MasterFees[[#This Row],[GST Basis]]="Incl",MasterFees[[#This Row],[Fee as Printed]],IF(MasterFees[[#This Row],[GST Basis]]="Excl",MasterFees[[#This Row],[Fee as Printed]]*(1+GST_Rate),""))</f>
        <v/>
      </c>
      <c r="O769" s="42">
        <f>IF(N(MasterFees[[#This Row],[Total Units]])=0,"",MasterFees[[#This Row],[Fee as Printed]]/MasterFees[[#This Row],[Total Units]])</f>
        <v>55</v>
      </c>
      <c r="P769" s="43"/>
      <c r="Q769" s="46" t="s">
        <v>1013</v>
      </c>
      <c r="R769" s="46" t="s">
        <v>1877</v>
      </c>
      <c r="S769" s="37"/>
    </row>
    <row r="770" spans="1:19" x14ac:dyDescent="0.2">
      <c r="A770" s="36"/>
      <c r="B770" s="38" t="str">
        <f>IF(MasterFees[[#This Row],[RVG Code]]="","",_xlfn.XLOOKUP(MasterFees[[#This Row],[RVG Code]],RVGCodes[Code],RVGCodes[Base Units],"Code not found"))</f>
        <v/>
      </c>
      <c r="C770" s="37" t="s">
        <v>767</v>
      </c>
      <c r="D770" s="44" t="s">
        <v>1108</v>
      </c>
      <c r="E770" s="44"/>
      <c r="F770" s="44" t="s">
        <v>1109</v>
      </c>
      <c r="G770" s="39">
        <v>3.5</v>
      </c>
      <c r="H770" s="39">
        <v>3</v>
      </c>
      <c r="I770" s="39">
        <v>0.4</v>
      </c>
      <c r="J770" s="39">
        <v>6.9</v>
      </c>
      <c r="K770" s="40">
        <v>381.7</v>
      </c>
      <c r="L770" s="45" t="s">
        <v>1015</v>
      </c>
      <c r="M770" s="41" t="str">
        <f>IF(MasterFees[[#This Row],[GST Basis]]="Excl",MasterFees[[#This Row],[Fee as Printed]],IF(MasterFees[[#This Row],[GST Basis]]="Incl",MasterFees[[#This Row],[Fee as Printed]]/(1+GST_Rate),""))</f>
        <v/>
      </c>
      <c r="N770" s="41" t="str">
        <f>IF(MasterFees[[#This Row],[GST Basis]]="Incl",MasterFees[[#This Row],[Fee as Printed]],IF(MasterFees[[#This Row],[GST Basis]]="Excl",MasterFees[[#This Row],[Fee as Printed]]*(1+GST_Rate),""))</f>
        <v/>
      </c>
      <c r="O770" s="42">
        <f>IF(N(MasterFees[[#This Row],[Total Units]])=0,"",MasterFees[[#This Row],[Fee as Printed]]/MasterFees[[#This Row],[Total Units]])</f>
        <v>55.318840579710141</v>
      </c>
      <c r="P770" s="43"/>
      <c r="Q770" s="46" t="s">
        <v>1013</v>
      </c>
      <c r="R770" s="46" t="s">
        <v>1878</v>
      </c>
      <c r="S770" s="37"/>
    </row>
    <row r="771" spans="1:19" x14ac:dyDescent="0.2">
      <c r="A771" s="36"/>
      <c r="B771" s="38" t="str">
        <f>IF(MasterFees[[#This Row],[RVG Code]]="","",_xlfn.XLOOKUP(MasterFees[[#This Row],[RVG Code]],RVGCodes[Code],RVGCodes[Base Units],"Code not found"))</f>
        <v/>
      </c>
      <c r="C771" s="37" t="s">
        <v>768</v>
      </c>
      <c r="D771" s="44" t="s">
        <v>1108</v>
      </c>
      <c r="E771" s="44"/>
      <c r="F771" s="44" t="s">
        <v>1109</v>
      </c>
      <c r="G771" s="39">
        <v>3.7</v>
      </c>
      <c r="H771" s="39">
        <v>2.7</v>
      </c>
      <c r="I771" s="39">
        <v>0.5</v>
      </c>
      <c r="J771" s="39">
        <v>6.9</v>
      </c>
      <c r="K771" s="40">
        <v>376.75</v>
      </c>
      <c r="L771" s="45" t="s">
        <v>1015</v>
      </c>
      <c r="M771" s="41" t="str">
        <f>IF(MasterFees[[#This Row],[GST Basis]]="Excl",MasterFees[[#This Row],[Fee as Printed]],IF(MasterFees[[#This Row],[GST Basis]]="Incl",MasterFees[[#This Row],[Fee as Printed]]/(1+GST_Rate),""))</f>
        <v/>
      </c>
      <c r="N771" s="41" t="str">
        <f>IF(MasterFees[[#This Row],[GST Basis]]="Incl",MasterFees[[#This Row],[Fee as Printed]],IF(MasterFees[[#This Row],[GST Basis]]="Excl",MasterFees[[#This Row],[Fee as Printed]]*(1+GST_Rate),""))</f>
        <v/>
      </c>
      <c r="O771" s="42">
        <f>IF(N(MasterFees[[#This Row],[Total Units]])=0,"",MasterFees[[#This Row],[Fee as Printed]]/MasterFees[[#This Row],[Total Units]])</f>
        <v>54.601449275362313</v>
      </c>
      <c r="P771" s="43"/>
      <c r="Q771" s="46" t="s">
        <v>1013</v>
      </c>
      <c r="R771" s="46" t="s">
        <v>1879</v>
      </c>
      <c r="S771" s="37"/>
    </row>
    <row r="772" spans="1:19" x14ac:dyDescent="0.2">
      <c r="A772" s="36"/>
      <c r="B772" s="38" t="str">
        <f>IF(MasterFees[[#This Row],[RVG Code]]="","",_xlfn.XLOOKUP(MasterFees[[#This Row],[RVG Code]],RVGCodes[Code],RVGCodes[Base Units],"Code not found"))</f>
        <v/>
      </c>
      <c r="C772" s="37" t="s">
        <v>769</v>
      </c>
      <c r="D772" s="44" t="s">
        <v>1108</v>
      </c>
      <c r="E772" s="44"/>
      <c r="F772" s="44" t="s">
        <v>1109</v>
      </c>
      <c r="G772" s="39">
        <v>3.6</v>
      </c>
      <c r="H772" s="39">
        <v>2.9</v>
      </c>
      <c r="I772" s="39">
        <v>0.7</v>
      </c>
      <c r="J772" s="39">
        <v>7.2</v>
      </c>
      <c r="K772" s="40">
        <v>397.65</v>
      </c>
      <c r="L772" s="45" t="s">
        <v>1015</v>
      </c>
      <c r="M772" s="41" t="str">
        <f>IF(MasterFees[[#This Row],[GST Basis]]="Excl",MasterFees[[#This Row],[Fee as Printed]],IF(MasterFees[[#This Row],[GST Basis]]="Incl",MasterFees[[#This Row],[Fee as Printed]]/(1+GST_Rate),""))</f>
        <v/>
      </c>
      <c r="N772" s="41" t="str">
        <f>IF(MasterFees[[#This Row],[GST Basis]]="Incl",MasterFees[[#This Row],[Fee as Printed]],IF(MasterFees[[#This Row],[GST Basis]]="Excl",MasterFees[[#This Row],[Fee as Printed]]*(1+GST_Rate),""))</f>
        <v/>
      </c>
      <c r="O772" s="42">
        <f>IF(N(MasterFees[[#This Row],[Total Units]])=0,"",MasterFees[[#This Row],[Fee as Printed]]/MasterFees[[#This Row],[Total Units]])</f>
        <v>55.229166666666664</v>
      </c>
      <c r="P772" s="43"/>
      <c r="Q772" s="46" t="s">
        <v>1013</v>
      </c>
      <c r="R772" s="46" t="s">
        <v>1880</v>
      </c>
      <c r="S772" s="37"/>
    </row>
    <row r="773" spans="1:19" x14ac:dyDescent="0.2">
      <c r="A773" s="36"/>
      <c r="B773" s="38" t="str">
        <f>IF(MasterFees[[#This Row],[RVG Code]]="","",_xlfn.XLOOKUP(MasterFees[[#This Row],[RVG Code]],RVGCodes[Code],RVGCodes[Base Units],"Code not found"))</f>
        <v/>
      </c>
      <c r="C773" s="37" t="s">
        <v>770</v>
      </c>
      <c r="D773" s="44" t="s">
        <v>1108</v>
      </c>
      <c r="E773" s="44"/>
      <c r="F773" s="44" t="s">
        <v>1109</v>
      </c>
      <c r="G773" s="39">
        <v>0</v>
      </c>
      <c r="H773" s="39">
        <v>0</v>
      </c>
      <c r="I773" s="39">
        <v>0</v>
      </c>
      <c r="J773" s="39">
        <v>0</v>
      </c>
      <c r="K773" s="40">
        <v>0</v>
      </c>
      <c r="L773" s="45" t="s">
        <v>1015</v>
      </c>
      <c r="M773" s="41" t="str">
        <f>IF(MasterFees[[#This Row],[GST Basis]]="Excl",MasterFees[[#This Row],[Fee as Printed]],IF(MasterFees[[#This Row],[GST Basis]]="Incl",MasterFees[[#This Row],[Fee as Printed]]/(1+GST_Rate),""))</f>
        <v/>
      </c>
      <c r="N773" s="41" t="str">
        <f>IF(MasterFees[[#This Row],[GST Basis]]="Incl",MasterFees[[#This Row],[Fee as Printed]],IF(MasterFees[[#This Row],[GST Basis]]="Excl",MasterFees[[#This Row],[Fee as Printed]]*(1+GST_Rate),""))</f>
        <v/>
      </c>
      <c r="O773" s="42" t="str">
        <f>IF(N(MasterFees[[#This Row],[Total Units]])=0,"",MasterFees[[#This Row],[Fee as Printed]]/MasterFees[[#This Row],[Total Units]])</f>
        <v/>
      </c>
      <c r="P773" s="43"/>
      <c r="Q773" s="46" t="s">
        <v>1013</v>
      </c>
      <c r="R773" s="46" t="s">
        <v>1881</v>
      </c>
      <c r="S773" s="37"/>
    </row>
    <row r="774" spans="1:19" x14ac:dyDescent="0.2">
      <c r="A774" s="36"/>
      <c r="B774" s="38" t="str">
        <f>IF(MasterFees[[#This Row],[RVG Code]]="","",_xlfn.XLOOKUP(MasterFees[[#This Row],[RVG Code]],RVGCodes[Code],RVGCodes[Base Units],"Code not found"))</f>
        <v/>
      </c>
      <c r="C774" s="37" t="s">
        <v>771</v>
      </c>
      <c r="D774" s="44" t="s">
        <v>1108</v>
      </c>
      <c r="E774" s="44"/>
      <c r="F774" s="44" t="s">
        <v>1109</v>
      </c>
      <c r="G774" s="39">
        <v>1.4</v>
      </c>
      <c r="H774" s="39">
        <v>0.7</v>
      </c>
      <c r="I774" s="39">
        <v>0.3</v>
      </c>
      <c r="J774" s="39">
        <v>2.2999999999999998</v>
      </c>
      <c r="K774" s="40">
        <v>128.15</v>
      </c>
      <c r="L774" s="45" t="s">
        <v>1015</v>
      </c>
      <c r="M774" s="41" t="str">
        <f>IF(MasterFees[[#This Row],[GST Basis]]="Excl",MasterFees[[#This Row],[Fee as Printed]],IF(MasterFees[[#This Row],[GST Basis]]="Incl",MasterFees[[#This Row],[Fee as Printed]]/(1+GST_Rate),""))</f>
        <v/>
      </c>
      <c r="N774" s="41" t="str">
        <f>IF(MasterFees[[#This Row],[GST Basis]]="Incl",MasterFees[[#This Row],[Fee as Printed]],IF(MasterFees[[#This Row],[GST Basis]]="Excl",MasterFees[[#This Row],[Fee as Printed]]*(1+GST_Rate),""))</f>
        <v/>
      </c>
      <c r="O774" s="42">
        <f>IF(N(MasterFees[[#This Row],[Total Units]])=0,"",MasterFees[[#This Row],[Fee as Printed]]/MasterFees[[#This Row],[Total Units]])</f>
        <v>55.717391304347835</v>
      </c>
      <c r="P774" s="43"/>
      <c r="Q774" s="46" t="s">
        <v>1013</v>
      </c>
      <c r="R774" s="46" t="s">
        <v>1882</v>
      </c>
      <c r="S774" s="37"/>
    </row>
    <row r="775" spans="1:19" x14ac:dyDescent="0.2">
      <c r="A775" s="36"/>
      <c r="B775" s="38" t="str">
        <f>IF(MasterFees[[#This Row],[RVG Code]]="","",_xlfn.XLOOKUP(MasterFees[[#This Row],[RVG Code]],RVGCodes[Code],RVGCodes[Base Units],"Code not found"))</f>
        <v/>
      </c>
      <c r="C775" s="37" t="s">
        <v>771</v>
      </c>
      <c r="D775" s="44" t="s">
        <v>1108</v>
      </c>
      <c r="E775" s="44"/>
      <c r="F775" s="44" t="s">
        <v>1109</v>
      </c>
      <c r="G775" s="39">
        <v>1.4</v>
      </c>
      <c r="H775" s="39">
        <v>0.7</v>
      </c>
      <c r="I775" s="39">
        <v>0.3</v>
      </c>
      <c r="J775" s="39">
        <v>2.2999999999999998</v>
      </c>
      <c r="K775" s="40">
        <v>128.15</v>
      </c>
      <c r="L775" s="45" t="s">
        <v>1015</v>
      </c>
      <c r="M775" s="41" t="str">
        <f>IF(MasterFees[[#This Row],[GST Basis]]="Excl",MasterFees[[#This Row],[Fee as Printed]],IF(MasterFees[[#This Row],[GST Basis]]="Incl",MasterFees[[#This Row],[Fee as Printed]]/(1+GST_Rate),""))</f>
        <v/>
      </c>
      <c r="N775" s="41" t="str">
        <f>IF(MasterFees[[#This Row],[GST Basis]]="Incl",MasterFees[[#This Row],[Fee as Printed]],IF(MasterFees[[#This Row],[GST Basis]]="Excl",MasterFees[[#This Row],[Fee as Printed]]*(1+GST_Rate),""))</f>
        <v/>
      </c>
      <c r="O775" s="42">
        <f>IF(N(MasterFees[[#This Row],[Total Units]])=0,"",MasterFees[[#This Row],[Fee as Printed]]/MasterFees[[#This Row],[Total Units]])</f>
        <v>55.717391304347835</v>
      </c>
      <c r="P775" s="43"/>
      <c r="Q775" s="46" t="s">
        <v>1013</v>
      </c>
      <c r="R775" s="46" t="s">
        <v>1883</v>
      </c>
      <c r="S775" s="37"/>
    </row>
    <row r="776" spans="1:19" x14ac:dyDescent="0.2">
      <c r="A776" s="36"/>
      <c r="B776" s="38" t="str">
        <f>IF(MasterFees[[#This Row],[RVG Code]]="","",_xlfn.XLOOKUP(MasterFees[[#This Row],[RVG Code]],RVGCodes[Code],RVGCodes[Base Units],"Code not found"))</f>
        <v/>
      </c>
      <c r="C776" s="37" t="s">
        <v>772</v>
      </c>
      <c r="D776" s="44" t="s">
        <v>1108</v>
      </c>
      <c r="E776" s="44"/>
      <c r="F776" s="44" t="s">
        <v>1109</v>
      </c>
      <c r="G776" s="39">
        <v>1.3</v>
      </c>
      <c r="H776" s="39">
        <v>0.6</v>
      </c>
      <c r="I776" s="39">
        <v>0.4</v>
      </c>
      <c r="J776" s="39">
        <v>2.2999999999999998</v>
      </c>
      <c r="K776" s="40">
        <v>124.85</v>
      </c>
      <c r="L776" s="45" t="s">
        <v>1015</v>
      </c>
      <c r="M776" s="41" t="str">
        <f>IF(MasterFees[[#This Row],[GST Basis]]="Excl",MasterFees[[#This Row],[Fee as Printed]],IF(MasterFees[[#This Row],[GST Basis]]="Incl",MasterFees[[#This Row],[Fee as Printed]]/(1+GST_Rate),""))</f>
        <v/>
      </c>
      <c r="N776" s="41" t="str">
        <f>IF(MasterFees[[#This Row],[GST Basis]]="Incl",MasterFees[[#This Row],[Fee as Printed]],IF(MasterFees[[#This Row],[GST Basis]]="Excl",MasterFees[[#This Row],[Fee as Printed]]*(1+GST_Rate),""))</f>
        <v/>
      </c>
      <c r="O776" s="42">
        <f>IF(N(MasterFees[[#This Row],[Total Units]])=0,"",MasterFees[[#This Row],[Fee as Printed]]/MasterFees[[#This Row],[Total Units]])</f>
        <v>54.282608695652179</v>
      </c>
      <c r="P776" s="43"/>
      <c r="Q776" s="46" t="s">
        <v>1013</v>
      </c>
      <c r="R776" s="46" t="s">
        <v>1884</v>
      </c>
      <c r="S776" s="37"/>
    </row>
    <row r="777" spans="1:19" x14ac:dyDescent="0.2">
      <c r="A777" s="36"/>
      <c r="B777" s="38" t="str">
        <f>IF(MasterFees[[#This Row],[RVG Code]]="","",_xlfn.XLOOKUP(MasterFees[[#This Row],[RVG Code]],RVGCodes[Code],RVGCodes[Base Units],"Code not found"))</f>
        <v/>
      </c>
      <c r="C777" s="37" t="s">
        <v>773</v>
      </c>
      <c r="D777" s="44" t="s">
        <v>1108</v>
      </c>
      <c r="E777" s="44"/>
      <c r="F777" s="44" t="s">
        <v>1109</v>
      </c>
      <c r="G777" s="39">
        <v>1.8</v>
      </c>
      <c r="H777" s="39">
        <v>0.8</v>
      </c>
      <c r="I777" s="39">
        <v>0.5</v>
      </c>
      <c r="J777" s="39">
        <v>3</v>
      </c>
      <c r="K777" s="40">
        <v>166.65</v>
      </c>
      <c r="L777" s="45" t="s">
        <v>1015</v>
      </c>
      <c r="M777" s="41" t="str">
        <f>IF(MasterFees[[#This Row],[GST Basis]]="Excl",MasterFees[[#This Row],[Fee as Printed]],IF(MasterFees[[#This Row],[GST Basis]]="Incl",MasterFees[[#This Row],[Fee as Printed]]/(1+GST_Rate),""))</f>
        <v/>
      </c>
      <c r="N777" s="41" t="str">
        <f>IF(MasterFees[[#This Row],[GST Basis]]="Incl",MasterFees[[#This Row],[Fee as Printed]],IF(MasterFees[[#This Row],[GST Basis]]="Excl",MasterFees[[#This Row],[Fee as Printed]]*(1+GST_Rate),""))</f>
        <v/>
      </c>
      <c r="O777" s="42">
        <f>IF(N(MasterFees[[#This Row],[Total Units]])=0,"",MasterFees[[#This Row],[Fee as Printed]]/MasterFees[[#This Row],[Total Units]])</f>
        <v>55.550000000000004</v>
      </c>
      <c r="P777" s="43"/>
      <c r="Q777" s="46" t="s">
        <v>1013</v>
      </c>
      <c r="R777" s="46" t="s">
        <v>1885</v>
      </c>
      <c r="S777" s="37"/>
    </row>
    <row r="778" spans="1:19" x14ac:dyDescent="0.2">
      <c r="A778" s="36"/>
      <c r="B778" s="38" t="str">
        <f>IF(MasterFees[[#This Row],[RVG Code]]="","",_xlfn.XLOOKUP(MasterFees[[#This Row],[RVG Code]],RVGCodes[Code],RVGCodes[Base Units],"Code not found"))</f>
        <v/>
      </c>
      <c r="C778" s="37" t="s">
        <v>774</v>
      </c>
      <c r="D778" s="44" t="s">
        <v>1108</v>
      </c>
      <c r="E778" s="44"/>
      <c r="F778" s="44" t="s">
        <v>1109</v>
      </c>
      <c r="G778" s="39">
        <v>1.6</v>
      </c>
      <c r="H778" s="39">
        <v>0.7</v>
      </c>
      <c r="I778" s="39">
        <v>0.4</v>
      </c>
      <c r="J778" s="39">
        <v>2.7</v>
      </c>
      <c r="K778" s="40">
        <v>147.4</v>
      </c>
      <c r="L778" s="45" t="s">
        <v>1015</v>
      </c>
      <c r="M778" s="41" t="str">
        <f>IF(MasterFees[[#This Row],[GST Basis]]="Excl",MasterFees[[#This Row],[Fee as Printed]],IF(MasterFees[[#This Row],[GST Basis]]="Incl",MasterFees[[#This Row],[Fee as Printed]]/(1+GST_Rate),""))</f>
        <v/>
      </c>
      <c r="N778" s="41" t="str">
        <f>IF(MasterFees[[#This Row],[GST Basis]]="Incl",MasterFees[[#This Row],[Fee as Printed]],IF(MasterFees[[#This Row],[GST Basis]]="Excl",MasterFees[[#This Row],[Fee as Printed]]*(1+GST_Rate),""))</f>
        <v/>
      </c>
      <c r="O778" s="42">
        <f>IF(N(MasterFees[[#This Row],[Total Units]])=0,"",MasterFees[[#This Row],[Fee as Printed]]/MasterFees[[#This Row],[Total Units]])</f>
        <v>54.592592592592588</v>
      </c>
      <c r="P778" s="43"/>
      <c r="Q778" s="46" t="s">
        <v>1013</v>
      </c>
      <c r="R778" s="46" t="s">
        <v>1886</v>
      </c>
      <c r="S778" s="37"/>
    </row>
    <row r="779" spans="1:19" x14ac:dyDescent="0.2">
      <c r="A779" s="36"/>
      <c r="B779" s="38" t="str">
        <f>IF(MasterFees[[#This Row],[RVG Code]]="","",_xlfn.XLOOKUP(MasterFees[[#This Row],[RVG Code]],RVGCodes[Code],RVGCodes[Base Units],"Code not found"))</f>
        <v/>
      </c>
      <c r="C779" s="37" t="s">
        <v>772</v>
      </c>
      <c r="D779" s="44" t="s">
        <v>1108</v>
      </c>
      <c r="E779" s="44"/>
      <c r="F779" s="44" t="s">
        <v>1109</v>
      </c>
      <c r="G779" s="39">
        <v>1.5</v>
      </c>
      <c r="H779" s="39">
        <v>0.7</v>
      </c>
      <c r="I779" s="39">
        <v>0.4</v>
      </c>
      <c r="J779" s="39">
        <v>2.7</v>
      </c>
      <c r="K779" s="40">
        <v>145.75</v>
      </c>
      <c r="L779" s="45" t="s">
        <v>1015</v>
      </c>
      <c r="M779" s="41" t="str">
        <f>IF(MasterFees[[#This Row],[GST Basis]]="Excl",MasterFees[[#This Row],[Fee as Printed]],IF(MasterFees[[#This Row],[GST Basis]]="Incl",MasterFees[[#This Row],[Fee as Printed]]/(1+GST_Rate),""))</f>
        <v/>
      </c>
      <c r="N779" s="41" t="str">
        <f>IF(MasterFees[[#This Row],[GST Basis]]="Incl",MasterFees[[#This Row],[Fee as Printed]],IF(MasterFees[[#This Row],[GST Basis]]="Excl",MasterFees[[#This Row],[Fee as Printed]]*(1+GST_Rate),""))</f>
        <v/>
      </c>
      <c r="O779" s="42">
        <f>IF(N(MasterFees[[#This Row],[Total Units]])=0,"",MasterFees[[#This Row],[Fee as Printed]]/MasterFees[[#This Row],[Total Units]])</f>
        <v>53.981481481481481</v>
      </c>
      <c r="P779" s="43"/>
      <c r="Q779" s="46" t="s">
        <v>1013</v>
      </c>
      <c r="R779" s="46" t="s">
        <v>1887</v>
      </c>
      <c r="S779" s="37"/>
    </row>
    <row r="780" spans="1:19" x14ac:dyDescent="0.2">
      <c r="A780" s="36"/>
      <c r="B780" s="38" t="str">
        <f>IF(MasterFees[[#This Row],[RVG Code]]="","",_xlfn.XLOOKUP(MasterFees[[#This Row],[RVG Code]],RVGCodes[Code],RVGCodes[Base Units],"Code not found"))</f>
        <v/>
      </c>
      <c r="C780" s="37" t="s">
        <v>775</v>
      </c>
      <c r="D780" s="44" t="s">
        <v>1108</v>
      </c>
      <c r="E780" s="44"/>
      <c r="F780" s="44" t="s">
        <v>1109</v>
      </c>
      <c r="G780" s="39">
        <v>1</v>
      </c>
      <c r="H780" s="39">
        <v>0.5</v>
      </c>
      <c r="I780" s="39">
        <v>0.3</v>
      </c>
      <c r="J780" s="39">
        <v>1.8</v>
      </c>
      <c r="K780" s="40">
        <v>98.45</v>
      </c>
      <c r="L780" s="45" t="s">
        <v>1015</v>
      </c>
      <c r="M780" s="41" t="str">
        <f>IF(MasterFees[[#This Row],[GST Basis]]="Excl",MasterFees[[#This Row],[Fee as Printed]],IF(MasterFees[[#This Row],[GST Basis]]="Incl",MasterFees[[#This Row],[Fee as Printed]]/(1+GST_Rate),""))</f>
        <v/>
      </c>
      <c r="N780" s="41" t="str">
        <f>IF(MasterFees[[#This Row],[GST Basis]]="Incl",MasterFees[[#This Row],[Fee as Printed]],IF(MasterFees[[#This Row],[GST Basis]]="Excl",MasterFees[[#This Row],[Fee as Printed]]*(1+GST_Rate),""))</f>
        <v/>
      </c>
      <c r="O780" s="42">
        <f>IF(N(MasterFees[[#This Row],[Total Units]])=0,"",MasterFees[[#This Row],[Fee as Printed]]/MasterFees[[#This Row],[Total Units]])</f>
        <v>54.694444444444443</v>
      </c>
      <c r="P780" s="43"/>
      <c r="Q780" s="46" t="s">
        <v>1013</v>
      </c>
      <c r="R780" s="46" t="s">
        <v>1888</v>
      </c>
      <c r="S780" s="37"/>
    </row>
    <row r="781" spans="1:19" x14ac:dyDescent="0.2">
      <c r="A781" s="36"/>
      <c r="B781" s="38" t="str">
        <f>IF(MasterFees[[#This Row],[RVG Code]]="","",_xlfn.XLOOKUP(MasterFees[[#This Row],[RVG Code]],RVGCodes[Code],RVGCodes[Base Units],"Code not found"))</f>
        <v/>
      </c>
      <c r="C781" s="37" t="s">
        <v>776</v>
      </c>
      <c r="D781" s="44" t="s">
        <v>1108</v>
      </c>
      <c r="E781" s="44"/>
      <c r="F781" s="44" t="s">
        <v>1109</v>
      </c>
      <c r="G781" s="39">
        <v>1.8</v>
      </c>
      <c r="H781" s="39">
        <v>1</v>
      </c>
      <c r="I781" s="39">
        <v>0.3</v>
      </c>
      <c r="J781" s="39">
        <v>3.2</v>
      </c>
      <c r="K781" s="40">
        <v>173.8</v>
      </c>
      <c r="L781" s="45" t="s">
        <v>1015</v>
      </c>
      <c r="M781" s="41" t="str">
        <f>IF(MasterFees[[#This Row],[GST Basis]]="Excl",MasterFees[[#This Row],[Fee as Printed]],IF(MasterFees[[#This Row],[GST Basis]]="Incl",MasterFees[[#This Row],[Fee as Printed]]/(1+GST_Rate),""))</f>
        <v/>
      </c>
      <c r="N781" s="41" t="str">
        <f>IF(MasterFees[[#This Row],[GST Basis]]="Incl",MasterFees[[#This Row],[Fee as Printed]],IF(MasterFees[[#This Row],[GST Basis]]="Excl",MasterFees[[#This Row],[Fee as Printed]]*(1+GST_Rate),""))</f>
        <v/>
      </c>
      <c r="O781" s="42">
        <f>IF(N(MasterFees[[#This Row],[Total Units]])=0,"",MasterFees[[#This Row],[Fee as Printed]]/MasterFees[[#This Row],[Total Units]])</f>
        <v>54.3125</v>
      </c>
      <c r="P781" s="43"/>
      <c r="Q781" s="46" t="s">
        <v>1013</v>
      </c>
      <c r="R781" s="46" t="s">
        <v>1889</v>
      </c>
      <c r="S781" s="37"/>
    </row>
    <row r="782" spans="1:19" x14ac:dyDescent="0.2">
      <c r="A782" s="36"/>
      <c r="B782" s="38" t="str">
        <f>IF(MasterFees[[#This Row],[RVG Code]]="","",_xlfn.XLOOKUP(MasterFees[[#This Row],[RVG Code]],RVGCodes[Code],RVGCodes[Base Units],"Code not found"))</f>
        <v/>
      </c>
      <c r="C782" s="37" t="s">
        <v>777</v>
      </c>
      <c r="D782" s="44" t="s">
        <v>1108</v>
      </c>
      <c r="E782" s="44"/>
      <c r="F782" s="44" t="s">
        <v>1109</v>
      </c>
      <c r="G782" s="39">
        <v>1.8</v>
      </c>
      <c r="H782" s="39">
        <v>0.9</v>
      </c>
      <c r="I782" s="39">
        <v>0.7</v>
      </c>
      <c r="J782" s="39">
        <v>3.4</v>
      </c>
      <c r="K782" s="40">
        <v>185.35</v>
      </c>
      <c r="L782" s="45" t="s">
        <v>1015</v>
      </c>
      <c r="M782" s="41" t="str">
        <f>IF(MasterFees[[#This Row],[GST Basis]]="Excl",MasterFees[[#This Row],[Fee as Printed]],IF(MasterFees[[#This Row],[GST Basis]]="Incl",MasterFees[[#This Row],[Fee as Printed]]/(1+GST_Rate),""))</f>
        <v/>
      </c>
      <c r="N782" s="41" t="str">
        <f>IF(MasterFees[[#This Row],[GST Basis]]="Incl",MasterFees[[#This Row],[Fee as Printed]],IF(MasterFees[[#This Row],[GST Basis]]="Excl",MasterFees[[#This Row],[Fee as Printed]]*(1+GST_Rate),""))</f>
        <v/>
      </c>
      <c r="O782" s="42">
        <f>IF(N(MasterFees[[#This Row],[Total Units]])=0,"",MasterFees[[#This Row],[Fee as Printed]]/MasterFees[[#This Row],[Total Units]])</f>
        <v>54.514705882352942</v>
      </c>
      <c r="P782" s="43"/>
      <c r="Q782" s="46" t="s">
        <v>1013</v>
      </c>
      <c r="R782" s="46" t="s">
        <v>1890</v>
      </c>
      <c r="S782" s="37"/>
    </row>
    <row r="783" spans="1:19" x14ac:dyDescent="0.2">
      <c r="A783" s="36"/>
      <c r="B783" s="38" t="str">
        <f>IF(MasterFees[[#This Row],[RVG Code]]="","",_xlfn.XLOOKUP(MasterFees[[#This Row],[RVG Code]],RVGCodes[Code],RVGCodes[Base Units],"Code not found"))</f>
        <v/>
      </c>
      <c r="C783" s="37" t="s">
        <v>778</v>
      </c>
      <c r="D783" s="44" t="s">
        <v>1108</v>
      </c>
      <c r="E783" s="44"/>
      <c r="F783" s="44" t="s">
        <v>1109</v>
      </c>
      <c r="G783" s="39">
        <v>2.7</v>
      </c>
      <c r="H783" s="39">
        <v>4.3</v>
      </c>
      <c r="I783" s="39">
        <v>1</v>
      </c>
      <c r="J783" s="39">
        <v>8</v>
      </c>
      <c r="K783" s="40">
        <v>439.45</v>
      </c>
      <c r="L783" s="45" t="s">
        <v>1015</v>
      </c>
      <c r="M783" s="41" t="str">
        <f>IF(MasterFees[[#This Row],[GST Basis]]="Excl",MasterFees[[#This Row],[Fee as Printed]],IF(MasterFees[[#This Row],[GST Basis]]="Incl",MasterFees[[#This Row],[Fee as Printed]]/(1+GST_Rate),""))</f>
        <v/>
      </c>
      <c r="N783" s="41" t="str">
        <f>IF(MasterFees[[#This Row],[GST Basis]]="Incl",MasterFees[[#This Row],[Fee as Printed]],IF(MasterFees[[#This Row],[GST Basis]]="Excl",MasterFees[[#This Row],[Fee as Printed]]*(1+GST_Rate),""))</f>
        <v/>
      </c>
      <c r="O783" s="42">
        <f>IF(N(MasterFees[[#This Row],[Total Units]])=0,"",MasterFees[[#This Row],[Fee as Printed]]/MasterFees[[#This Row],[Total Units]])</f>
        <v>54.931249999999999</v>
      </c>
      <c r="P783" s="43"/>
      <c r="Q783" s="46" t="s">
        <v>1013</v>
      </c>
      <c r="R783" s="46" t="s">
        <v>1891</v>
      </c>
      <c r="S783" s="37"/>
    </row>
    <row r="784" spans="1:19" x14ac:dyDescent="0.2">
      <c r="A784" s="36"/>
      <c r="B784" s="38" t="str">
        <f>IF(MasterFees[[#This Row],[RVG Code]]="","",_xlfn.XLOOKUP(MasterFees[[#This Row],[RVG Code]],RVGCodes[Code],RVGCodes[Base Units],"Code not found"))</f>
        <v/>
      </c>
      <c r="C784" s="37" t="s">
        <v>774</v>
      </c>
      <c r="D784" s="44" t="s">
        <v>1108</v>
      </c>
      <c r="E784" s="44"/>
      <c r="F784" s="44" t="s">
        <v>1109</v>
      </c>
      <c r="G784" s="39">
        <v>2</v>
      </c>
      <c r="H784" s="39">
        <v>1</v>
      </c>
      <c r="I784" s="39">
        <v>0.7</v>
      </c>
      <c r="J784" s="39">
        <v>3.6</v>
      </c>
      <c r="K784" s="40">
        <v>198</v>
      </c>
      <c r="L784" s="45" t="s">
        <v>1015</v>
      </c>
      <c r="M784" s="41" t="str">
        <f>IF(MasterFees[[#This Row],[GST Basis]]="Excl",MasterFees[[#This Row],[Fee as Printed]],IF(MasterFees[[#This Row],[GST Basis]]="Incl",MasterFees[[#This Row],[Fee as Printed]]/(1+GST_Rate),""))</f>
        <v/>
      </c>
      <c r="N784" s="41" t="str">
        <f>IF(MasterFees[[#This Row],[GST Basis]]="Incl",MasterFees[[#This Row],[Fee as Printed]],IF(MasterFees[[#This Row],[GST Basis]]="Excl",MasterFees[[#This Row],[Fee as Printed]]*(1+GST_Rate),""))</f>
        <v/>
      </c>
      <c r="O784" s="42">
        <f>IF(N(MasterFees[[#This Row],[Total Units]])=0,"",MasterFees[[#This Row],[Fee as Printed]]/MasterFees[[#This Row],[Total Units]])</f>
        <v>55</v>
      </c>
      <c r="P784" s="43"/>
      <c r="Q784" s="46" t="s">
        <v>1013</v>
      </c>
      <c r="R784" s="46" t="s">
        <v>1892</v>
      </c>
      <c r="S784" s="37"/>
    </row>
    <row r="785" spans="1:19" x14ac:dyDescent="0.2">
      <c r="A785" s="36"/>
      <c r="B785" s="38" t="str">
        <f>IF(MasterFees[[#This Row],[RVG Code]]="","",_xlfn.XLOOKUP(MasterFees[[#This Row],[RVG Code]],RVGCodes[Code],RVGCodes[Base Units],"Code not found"))</f>
        <v/>
      </c>
      <c r="C785" s="37" t="s">
        <v>779</v>
      </c>
      <c r="D785" s="44" t="s">
        <v>1108</v>
      </c>
      <c r="E785" s="44"/>
      <c r="F785" s="44" t="s">
        <v>1109</v>
      </c>
      <c r="G785" s="39">
        <v>0.8</v>
      </c>
      <c r="H785" s="39">
        <v>0.4</v>
      </c>
      <c r="I785" s="39">
        <v>0.3</v>
      </c>
      <c r="J785" s="39">
        <v>1.5</v>
      </c>
      <c r="K785" s="40">
        <v>81.400000000000006</v>
      </c>
      <c r="L785" s="45" t="s">
        <v>1015</v>
      </c>
      <c r="M785" s="41" t="str">
        <f>IF(MasterFees[[#This Row],[GST Basis]]="Excl",MasterFees[[#This Row],[Fee as Printed]],IF(MasterFees[[#This Row],[GST Basis]]="Incl",MasterFees[[#This Row],[Fee as Printed]]/(1+GST_Rate),""))</f>
        <v/>
      </c>
      <c r="N785" s="41" t="str">
        <f>IF(MasterFees[[#This Row],[GST Basis]]="Incl",MasterFees[[#This Row],[Fee as Printed]],IF(MasterFees[[#This Row],[GST Basis]]="Excl",MasterFees[[#This Row],[Fee as Printed]]*(1+GST_Rate),""))</f>
        <v/>
      </c>
      <c r="O785" s="42">
        <f>IF(N(MasterFees[[#This Row],[Total Units]])=0,"",MasterFees[[#This Row],[Fee as Printed]]/MasterFees[[#This Row],[Total Units]])</f>
        <v>54.266666666666673</v>
      </c>
      <c r="P785" s="43"/>
      <c r="Q785" s="46" t="s">
        <v>1013</v>
      </c>
      <c r="R785" s="46" t="s">
        <v>1893</v>
      </c>
      <c r="S785" s="37"/>
    </row>
    <row r="786" spans="1:19" x14ac:dyDescent="0.2">
      <c r="A786" s="36"/>
      <c r="B786" s="38" t="str">
        <f>IF(MasterFees[[#This Row],[RVG Code]]="","",_xlfn.XLOOKUP(MasterFees[[#This Row],[RVG Code]],RVGCodes[Code],RVGCodes[Base Units],"Code not found"))</f>
        <v/>
      </c>
      <c r="C786" s="37" t="s">
        <v>780</v>
      </c>
      <c r="D786" s="44" t="s">
        <v>1108</v>
      </c>
      <c r="E786" s="44"/>
      <c r="F786" s="44" t="s">
        <v>1109</v>
      </c>
      <c r="G786" s="39">
        <v>2</v>
      </c>
      <c r="H786" s="39">
        <v>1.1000000000000001</v>
      </c>
      <c r="I786" s="39">
        <v>0.5</v>
      </c>
      <c r="J786" s="39">
        <v>3.6</v>
      </c>
      <c r="K786" s="40">
        <v>200.2</v>
      </c>
      <c r="L786" s="45" t="s">
        <v>1015</v>
      </c>
      <c r="M786" s="41" t="str">
        <f>IF(MasterFees[[#This Row],[GST Basis]]="Excl",MasterFees[[#This Row],[Fee as Printed]],IF(MasterFees[[#This Row],[GST Basis]]="Incl",MasterFees[[#This Row],[Fee as Printed]]/(1+GST_Rate),""))</f>
        <v/>
      </c>
      <c r="N786" s="41" t="str">
        <f>IF(MasterFees[[#This Row],[GST Basis]]="Incl",MasterFees[[#This Row],[Fee as Printed]],IF(MasterFees[[#This Row],[GST Basis]]="Excl",MasterFees[[#This Row],[Fee as Printed]]*(1+GST_Rate),""))</f>
        <v/>
      </c>
      <c r="O786" s="42">
        <f>IF(N(MasterFees[[#This Row],[Total Units]])=0,"",MasterFees[[#This Row],[Fee as Printed]]/MasterFees[[#This Row],[Total Units]])</f>
        <v>55.611111111111107</v>
      </c>
      <c r="P786" s="43"/>
      <c r="Q786" s="46" t="s">
        <v>1013</v>
      </c>
      <c r="R786" s="46" t="s">
        <v>1894</v>
      </c>
      <c r="S786" s="37"/>
    </row>
    <row r="787" spans="1:19" x14ac:dyDescent="0.2">
      <c r="A787" s="36"/>
      <c r="B787" s="38" t="str">
        <f>IF(MasterFees[[#This Row],[RVG Code]]="","",_xlfn.XLOOKUP(MasterFees[[#This Row],[RVG Code]],RVGCodes[Code],RVGCodes[Base Units],"Code not found"))</f>
        <v/>
      </c>
      <c r="C787" s="37" t="s">
        <v>780</v>
      </c>
      <c r="D787" s="44" t="s">
        <v>1108</v>
      </c>
      <c r="E787" s="44"/>
      <c r="F787" s="44" t="s">
        <v>1109</v>
      </c>
      <c r="G787" s="39">
        <v>0</v>
      </c>
      <c r="H787" s="39">
        <v>0.1</v>
      </c>
      <c r="I787" s="39">
        <v>0.1</v>
      </c>
      <c r="J787" s="39">
        <v>0.2</v>
      </c>
      <c r="K787" s="40">
        <v>12.1</v>
      </c>
      <c r="L787" s="45" t="s">
        <v>1015</v>
      </c>
      <c r="M787" s="41" t="str">
        <f>IF(MasterFees[[#This Row],[GST Basis]]="Excl",MasterFees[[#This Row],[Fee as Printed]],IF(MasterFees[[#This Row],[GST Basis]]="Incl",MasterFees[[#This Row],[Fee as Printed]]/(1+GST_Rate),""))</f>
        <v/>
      </c>
      <c r="N787" s="41" t="str">
        <f>IF(MasterFees[[#This Row],[GST Basis]]="Incl",MasterFees[[#This Row],[Fee as Printed]],IF(MasterFees[[#This Row],[GST Basis]]="Excl",MasterFees[[#This Row],[Fee as Printed]]*(1+GST_Rate),""))</f>
        <v/>
      </c>
      <c r="O787" s="42">
        <f>IF(N(MasterFees[[#This Row],[Total Units]])=0,"",MasterFees[[#This Row],[Fee as Printed]]/MasterFees[[#This Row],[Total Units]])</f>
        <v>60.499999999999993</v>
      </c>
      <c r="P787" s="43"/>
      <c r="Q787" s="46" t="s">
        <v>1013</v>
      </c>
      <c r="R787" s="46" t="s">
        <v>1895</v>
      </c>
      <c r="S787" s="37"/>
    </row>
    <row r="788" spans="1:19" x14ac:dyDescent="0.2">
      <c r="A788" s="36"/>
      <c r="B788" s="38" t="str">
        <f>IF(MasterFees[[#This Row],[RVG Code]]="","",_xlfn.XLOOKUP(MasterFees[[#This Row],[RVG Code]],RVGCodes[Code],RVGCodes[Base Units],"Code not found"))</f>
        <v/>
      </c>
      <c r="C788" s="37" t="s">
        <v>781</v>
      </c>
      <c r="D788" s="44" t="s">
        <v>1108</v>
      </c>
      <c r="E788" s="44"/>
      <c r="F788" s="44" t="s">
        <v>1109</v>
      </c>
      <c r="G788" s="39">
        <v>2.5</v>
      </c>
      <c r="H788" s="39">
        <v>1.3</v>
      </c>
      <c r="I788" s="39">
        <v>1.2</v>
      </c>
      <c r="J788" s="39">
        <v>4.9000000000000004</v>
      </c>
      <c r="K788" s="40">
        <v>269.5</v>
      </c>
      <c r="L788" s="45" t="s">
        <v>1015</v>
      </c>
      <c r="M788" s="41" t="str">
        <f>IF(MasterFees[[#This Row],[GST Basis]]="Excl",MasterFees[[#This Row],[Fee as Printed]],IF(MasterFees[[#This Row],[GST Basis]]="Incl",MasterFees[[#This Row],[Fee as Printed]]/(1+GST_Rate),""))</f>
        <v/>
      </c>
      <c r="N788" s="41" t="str">
        <f>IF(MasterFees[[#This Row],[GST Basis]]="Incl",MasterFees[[#This Row],[Fee as Printed]],IF(MasterFees[[#This Row],[GST Basis]]="Excl",MasterFees[[#This Row],[Fee as Printed]]*(1+GST_Rate),""))</f>
        <v/>
      </c>
      <c r="O788" s="42">
        <f>IF(N(MasterFees[[#This Row],[Total Units]])=0,"",MasterFees[[#This Row],[Fee as Printed]]/MasterFees[[#This Row],[Total Units]])</f>
        <v>54.999999999999993</v>
      </c>
      <c r="P788" s="43"/>
      <c r="Q788" s="46" t="s">
        <v>1013</v>
      </c>
      <c r="R788" s="46" t="s">
        <v>1896</v>
      </c>
      <c r="S788" s="37"/>
    </row>
    <row r="789" spans="1:19" x14ac:dyDescent="0.2">
      <c r="A789" s="36"/>
      <c r="B789" s="38" t="str">
        <f>IF(MasterFees[[#This Row],[RVG Code]]="","",_xlfn.XLOOKUP(MasterFees[[#This Row],[RVG Code]],RVGCodes[Code],RVGCodes[Base Units],"Code not found"))</f>
        <v/>
      </c>
      <c r="C789" s="37" t="s">
        <v>782</v>
      </c>
      <c r="D789" s="44" t="s">
        <v>1108</v>
      </c>
      <c r="E789" s="44"/>
      <c r="F789" s="44" t="s">
        <v>1109</v>
      </c>
      <c r="G789" s="39">
        <v>0</v>
      </c>
      <c r="H789" s="39">
        <v>0</v>
      </c>
      <c r="I789" s="39">
        <v>0</v>
      </c>
      <c r="J789" s="39">
        <v>0</v>
      </c>
      <c r="K789" s="40">
        <v>0</v>
      </c>
      <c r="L789" s="45" t="s">
        <v>1015</v>
      </c>
      <c r="M789" s="41" t="str">
        <f>IF(MasterFees[[#This Row],[GST Basis]]="Excl",MasterFees[[#This Row],[Fee as Printed]],IF(MasterFees[[#This Row],[GST Basis]]="Incl",MasterFees[[#This Row],[Fee as Printed]]/(1+GST_Rate),""))</f>
        <v/>
      </c>
      <c r="N789" s="41" t="str">
        <f>IF(MasterFees[[#This Row],[GST Basis]]="Incl",MasterFees[[#This Row],[Fee as Printed]],IF(MasterFees[[#This Row],[GST Basis]]="Excl",MasterFees[[#This Row],[Fee as Printed]]*(1+GST_Rate),""))</f>
        <v/>
      </c>
      <c r="O789" s="42" t="str">
        <f>IF(N(MasterFees[[#This Row],[Total Units]])=0,"",MasterFees[[#This Row],[Fee as Printed]]/MasterFees[[#This Row],[Total Units]])</f>
        <v/>
      </c>
      <c r="P789" s="43"/>
      <c r="Q789" s="46" t="s">
        <v>1013</v>
      </c>
      <c r="R789" s="46" t="s">
        <v>1897</v>
      </c>
      <c r="S789" s="37"/>
    </row>
    <row r="790" spans="1:19" x14ac:dyDescent="0.2">
      <c r="A790" s="36"/>
      <c r="B790" s="38" t="str">
        <f>IF(MasterFees[[#This Row],[RVG Code]]="","",_xlfn.XLOOKUP(MasterFees[[#This Row],[RVG Code]],RVGCodes[Code],RVGCodes[Base Units],"Code not found"))</f>
        <v/>
      </c>
      <c r="C790" s="37" t="s">
        <v>773</v>
      </c>
      <c r="D790" s="44" t="s">
        <v>1108</v>
      </c>
      <c r="E790" s="44"/>
      <c r="F790" s="44" t="s">
        <v>1109</v>
      </c>
      <c r="G790" s="39">
        <v>1.6</v>
      </c>
      <c r="H790" s="39">
        <v>0.9</v>
      </c>
      <c r="I790" s="39">
        <v>0.8</v>
      </c>
      <c r="J790" s="39">
        <v>3.3</v>
      </c>
      <c r="K790" s="40">
        <v>178.75</v>
      </c>
      <c r="L790" s="45" t="s">
        <v>1015</v>
      </c>
      <c r="M790" s="41" t="str">
        <f>IF(MasterFees[[#This Row],[GST Basis]]="Excl",MasterFees[[#This Row],[Fee as Printed]],IF(MasterFees[[#This Row],[GST Basis]]="Incl",MasterFees[[#This Row],[Fee as Printed]]/(1+GST_Rate),""))</f>
        <v/>
      </c>
      <c r="N790" s="41" t="str">
        <f>IF(MasterFees[[#This Row],[GST Basis]]="Incl",MasterFees[[#This Row],[Fee as Printed]],IF(MasterFees[[#This Row],[GST Basis]]="Excl",MasterFees[[#This Row],[Fee as Printed]]*(1+GST_Rate),""))</f>
        <v/>
      </c>
      <c r="O790" s="42">
        <f>IF(N(MasterFees[[#This Row],[Total Units]])=0,"",MasterFees[[#This Row],[Fee as Printed]]/MasterFees[[#This Row],[Total Units]])</f>
        <v>54.166666666666671</v>
      </c>
      <c r="P790" s="43"/>
      <c r="Q790" s="46" t="s">
        <v>1013</v>
      </c>
      <c r="R790" s="46" t="s">
        <v>1898</v>
      </c>
      <c r="S790" s="37"/>
    </row>
    <row r="791" spans="1:19" x14ac:dyDescent="0.2">
      <c r="A791" s="36"/>
      <c r="B791" s="38" t="str">
        <f>IF(MasterFees[[#This Row],[RVG Code]]="","",_xlfn.XLOOKUP(MasterFees[[#This Row],[RVG Code]],RVGCodes[Code],RVGCodes[Base Units],"Code not found"))</f>
        <v/>
      </c>
      <c r="C791" s="37" t="s">
        <v>783</v>
      </c>
      <c r="D791" s="44" t="s">
        <v>1108</v>
      </c>
      <c r="E791" s="44"/>
      <c r="F791" s="44" t="s">
        <v>1109</v>
      </c>
      <c r="G791" s="39">
        <v>6</v>
      </c>
      <c r="H791" s="39">
        <v>13</v>
      </c>
      <c r="I791" s="39">
        <v>0</v>
      </c>
      <c r="J791" s="39">
        <v>19</v>
      </c>
      <c r="K791" s="40">
        <v>1045</v>
      </c>
      <c r="L791" s="45" t="s">
        <v>1015</v>
      </c>
      <c r="M791" s="41" t="str">
        <f>IF(MasterFees[[#This Row],[GST Basis]]="Excl",MasterFees[[#This Row],[Fee as Printed]],IF(MasterFees[[#This Row],[GST Basis]]="Incl",MasterFees[[#This Row],[Fee as Printed]]/(1+GST_Rate),""))</f>
        <v/>
      </c>
      <c r="N791" s="41" t="str">
        <f>IF(MasterFees[[#This Row],[GST Basis]]="Incl",MasterFees[[#This Row],[Fee as Printed]],IF(MasterFees[[#This Row],[GST Basis]]="Excl",MasterFees[[#This Row],[Fee as Printed]]*(1+GST_Rate),""))</f>
        <v/>
      </c>
      <c r="O791" s="42">
        <f>IF(N(MasterFees[[#This Row],[Total Units]])=0,"",MasterFees[[#This Row],[Fee as Printed]]/MasterFees[[#This Row],[Total Units]])</f>
        <v>55</v>
      </c>
      <c r="P791" s="43"/>
      <c r="Q791" s="46" t="s">
        <v>1013</v>
      </c>
      <c r="R791" s="46" t="s">
        <v>1899</v>
      </c>
      <c r="S791" s="37"/>
    </row>
    <row r="792" spans="1:19" x14ac:dyDescent="0.2">
      <c r="A792" s="36"/>
      <c r="B792" s="38" t="str">
        <f>IF(MasterFees[[#This Row],[RVG Code]]="","",_xlfn.XLOOKUP(MasterFees[[#This Row],[RVG Code]],RVGCodes[Code],RVGCodes[Base Units],"Code not found"))</f>
        <v/>
      </c>
      <c r="C792" s="37" t="s">
        <v>784</v>
      </c>
      <c r="D792" s="44" t="s">
        <v>1108</v>
      </c>
      <c r="E792" s="44"/>
      <c r="F792" s="44" t="s">
        <v>1109</v>
      </c>
      <c r="G792" s="39">
        <v>4.2</v>
      </c>
      <c r="H792" s="39">
        <v>5.3</v>
      </c>
      <c r="I792" s="39">
        <v>0.5</v>
      </c>
      <c r="J792" s="39">
        <v>10</v>
      </c>
      <c r="K792" s="40">
        <v>549.45000000000005</v>
      </c>
      <c r="L792" s="45" t="s">
        <v>1015</v>
      </c>
      <c r="M792" s="41" t="str">
        <f>IF(MasterFees[[#This Row],[GST Basis]]="Excl",MasterFees[[#This Row],[Fee as Printed]],IF(MasterFees[[#This Row],[GST Basis]]="Incl",MasterFees[[#This Row],[Fee as Printed]]/(1+GST_Rate),""))</f>
        <v/>
      </c>
      <c r="N792" s="41" t="str">
        <f>IF(MasterFees[[#This Row],[GST Basis]]="Incl",MasterFees[[#This Row],[Fee as Printed]],IF(MasterFees[[#This Row],[GST Basis]]="Excl",MasterFees[[#This Row],[Fee as Printed]]*(1+GST_Rate),""))</f>
        <v/>
      </c>
      <c r="O792" s="42">
        <f>IF(N(MasterFees[[#This Row],[Total Units]])=0,"",MasterFees[[#This Row],[Fee as Printed]]/MasterFees[[#This Row],[Total Units]])</f>
        <v>54.945000000000007</v>
      </c>
      <c r="P792" s="43"/>
      <c r="Q792" s="46" t="s">
        <v>1013</v>
      </c>
      <c r="R792" s="46" t="s">
        <v>1900</v>
      </c>
      <c r="S792" s="37"/>
    </row>
    <row r="793" spans="1:19" x14ac:dyDescent="0.2">
      <c r="A793" s="36"/>
      <c r="B793" s="38" t="str">
        <f>IF(MasterFees[[#This Row],[RVG Code]]="","",_xlfn.XLOOKUP(MasterFees[[#This Row],[RVG Code]],RVGCodes[Code],RVGCodes[Base Units],"Code not found"))</f>
        <v/>
      </c>
      <c r="C793" s="37" t="s">
        <v>785</v>
      </c>
      <c r="D793" s="44" t="s">
        <v>1108</v>
      </c>
      <c r="E793" s="44"/>
      <c r="F793" s="44" t="s">
        <v>1109</v>
      </c>
      <c r="G793" s="39">
        <v>8</v>
      </c>
      <c r="H793" s="39">
        <v>8.1</v>
      </c>
      <c r="I793" s="39">
        <v>1</v>
      </c>
      <c r="J793" s="39">
        <v>17.100000000000001</v>
      </c>
      <c r="K793" s="40">
        <v>939.4</v>
      </c>
      <c r="L793" s="45" t="s">
        <v>1015</v>
      </c>
      <c r="M793" s="41" t="str">
        <f>IF(MasterFees[[#This Row],[GST Basis]]="Excl",MasterFees[[#This Row],[Fee as Printed]],IF(MasterFees[[#This Row],[GST Basis]]="Incl",MasterFees[[#This Row],[Fee as Printed]]/(1+GST_Rate),""))</f>
        <v/>
      </c>
      <c r="N793" s="41" t="str">
        <f>IF(MasterFees[[#This Row],[GST Basis]]="Incl",MasterFees[[#This Row],[Fee as Printed]],IF(MasterFees[[#This Row],[GST Basis]]="Excl",MasterFees[[#This Row],[Fee as Printed]]*(1+GST_Rate),""))</f>
        <v/>
      </c>
      <c r="O793" s="42">
        <f>IF(N(MasterFees[[#This Row],[Total Units]])=0,"",MasterFees[[#This Row],[Fee as Printed]]/MasterFees[[#This Row],[Total Units]])</f>
        <v>54.935672514619874</v>
      </c>
      <c r="P793" s="43"/>
      <c r="Q793" s="46" t="s">
        <v>1013</v>
      </c>
      <c r="R793" s="46" t="s">
        <v>1901</v>
      </c>
      <c r="S793" s="37"/>
    </row>
    <row r="794" spans="1:19" x14ac:dyDescent="0.2">
      <c r="A794" s="36"/>
      <c r="B794" s="38" t="str">
        <f>IF(MasterFees[[#This Row],[RVG Code]]="","",_xlfn.XLOOKUP(MasterFees[[#This Row],[RVG Code]],RVGCodes[Code],RVGCodes[Base Units],"Code not found"))</f>
        <v/>
      </c>
      <c r="C794" s="37" t="s">
        <v>786</v>
      </c>
      <c r="D794" s="44" t="s">
        <v>1108</v>
      </c>
      <c r="E794" s="44"/>
      <c r="F794" s="44" t="s">
        <v>1109</v>
      </c>
      <c r="G794" s="39">
        <v>4</v>
      </c>
      <c r="H794" s="39">
        <v>4.5</v>
      </c>
      <c r="I794" s="39">
        <v>0</v>
      </c>
      <c r="J794" s="39">
        <v>8.5</v>
      </c>
      <c r="K794" s="40">
        <v>467.5</v>
      </c>
      <c r="L794" s="45" t="s">
        <v>1015</v>
      </c>
      <c r="M794" s="41" t="str">
        <f>IF(MasterFees[[#This Row],[GST Basis]]="Excl",MasterFees[[#This Row],[Fee as Printed]],IF(MasterFees[[#This Row],[GST Basis]]="Incl",MasterFees[[#This Row],[Fee as Printed]]/(1+GST_Rate),""))</f>
        <v/>
      </c>
      <c r="N794" s="41" t="str">
        <f>IF(MasterFees[[#This Row],[GST Basis]]="Incl",MasterFees[[#This Row],[Fee as Printed]],IF(MasterFees[[#This Row],[GST Basis]]="Excl",MasterFees[[#This Row],[Fee as Printed]]*(1+GST_Rate),""))</f>
        <v/>
      </c>
      <c r="O794" s="42">
        <f>IF(N(MasterFees[[#This Row],[Total Units]])=0,"",MasterFees[[#This Row],[Fee as Printed]]/MasterFees[[#This Row],[Total Units]])</f>
        <v>55</v>
      </c>
      <c r="P794" s="43"/>
      <c r="Q794" s="46" t="s">
        <v>1013</v>
      </c>
      <c r="R794" s="46" t="s">
        <v>1902</v>
      </c>
      <c r="S794" s="37"/>
    </row>
    <row r="795" spans="1:19" x14ac:dyDescent="0.2">
      <c r="A795" s="36"/>
      <c r="B795" s="38" t="str">
        <f>IF(MasterFees[[#This Row],[RVG Code]]="","",_xlfn.XLOOKUP(MasterFees[[#This Row],[RVG Code]],RVGCodes[Code],RVGCodes[Base Units],"Code not found"))</f>
        <v/>
      </c>
      <c r="C795" s="37" t="s">
        <v>787</v>
      </c>
      <c r="D795" s="44" t="s">
        <v>1108</v>
      </c>
      <c r="E795" s="44"/>
      <c r="F795" s="44" t="s">
        <v>1109</v>
      </c>
      <c r="G795" s="39">
        <v>5.3</v>
      </c>
      <c r="H795" s="39">
        <v>7</v>
      </c>
      <c r="I795" s="39">
        <v>0.3</v>
      </c>
      <c r="J795" s="39">
        <v>12.7</v>
      </c>
      <c r="K795" s="40">
        <v>696.3</v>
      </c>
      <c r="L795" s="45" t="s">
        <v>1015</v>
      </c>
      <c r="M795" s="41" t="str">
        <f>IF(MasterFees[[#This Row],[GST Basis]]="Excl",MasterFees[[#This Row],[Fee as Printed]],IF(MasterFees[[#This Row],[GST Basis]]="Incl",MasterFees[[#This Row],[Fee as Printed]]/(1+GST_Rate),""))</f>
        <v/>
      </c>
      <c r="N795" s="41" t="str">
        <f>IF(MasterFees[[#This Row],[GST Basis]]="Incl",MasterFees[[#This Row],[Fee as Printed]],IF(MasterFees[[#This Row],[GST Basis]]="Excl",MasterFees[[#This Row],[Fee as Printed]]*(1+GST_Rate),""))</f>
        <v/>
      </c>
      <c r="O795" s="42">
        <f>IF(N(MasterFees[[#This Row],[Total Units]])=0,"",MasterFees[[#This Row],[Fee as Printed]]/MasterFees[[#This Row],[Total Units]])</f>
        <v>54.826771653543304</v>
      </c>
      <c r="P795" s="43"/>
      <c r="Q795" s="46" t="s">
        <v>1013</v>
      </c>
      <c r="R795" s="46" t="s">
        <v>1903</v>
      </c>
      <c r="S795" s="37"/>
    </row>
    <row r="796" spans="1:19" x14ac:dyDescent="0.2">
      <c r="A796" s="36"/>
      <c r="B796" s="38" t="str">
        <f>IF(MasterFees[[#This Row],[RVG Code]]="","",_xlfn.XLOOKUP(MasterFees[[#This Row],[RVG Code]],RVGCodes[Code],RVGCodes[Base Units],"Code not found"))</f>
        <v/>
      </c>
      <c r="C796" s="37" t="s">
        <v>788</v>
      </c>
      <c r="D796" s="44" t="s">
        <v>1108</v>
      </c>
      <c r="E796" s="44"/>
      <c r="F796" s="44" t="s">
        <v>1109</v>
      </c>
      <c r="G796" s="39">
        <v>6</v>
      </c>
      <c r="H796" s="39">
        <v>8</v>
      </c>
      <c r="I796" s="39">
        <v>0</v>
      </c>
      <c r="J796" s="39">
        <v>14</v>
      </c>
      <c r="K796" s="40">
        <v>770</v>
      </c>
      <c r="L796" s="45" t="s">
        <v>1015</v>
      </c>
      <c r="M796" s="41" t="str">
        <f>IF(MasterFees[[#This Row],[GST Basis]]="Excl",MasterFees[[#This Row],[Fee as Printed]],IF(MasterFees[[#This Row],[GST Basis]]="Incl",MasterFees[[#This Row],[Fee as Printed]]/(1+GST_Rate),""))</f>
        <v/>
      </c>
      <c r="N796" s="41" t="str">
        <f>IF(MasterFees[[#This Row],[GST Basis]]="Incl",MasterFees[[#This Row],[Fee as Printed]],IF(MasterFees[[#This Row],[GST Basis]]="Excl",MasterFees[[#This Row],[Fee as Printed]]*(1+GST_Rate),""))</f>
        <v/>
      </c>
      <c r="O796" s="42">
        <f>IF(N(MasterFees[[#This Row],[Total Units]])=0,"",MasterFees[[#This Row],[Fee as Printed]]/MasterFees[[#This Row],[Total Units]])</f>
        <v>55</v>
      </c>
      <c r="P796" s="43"/>
      <c r="Q796" s="46" t="s">
        <v>1013</v>
      </c>
      <c r="R796" s="46" t="s">
        <v>1904</v>
      </c>
      <c r="S796" s="37"/>
    </row>
    <row r="797" spans="1:19" x14ac:dyDescent="0.2">
      <c r="A797" s="36"/>
      <c r="B797" s="38" t="str">
        <f>IF(MasterFees[[#This Row],[RVG Code]]="","",_xlfn.XLOOKUP(MasterFees[[#This Row],[RVG Code]],RVGCodes[Code],RVGCodes[Base Units],"Code not found"))</f>
        <v/>
      </c>
      <c r="C797" s="37" t="s">
        <v>789</v>
      </c>
      <c r="D797" s="44" t="s">
        <v>1108</v>
      </c>
      <c r="E797" s="44"/>
      <c r="F797" s="44" t="s">
        <v>1109</v>
      </c>
      <c r="G797" s="39">
        <v>6</v>
      </c>
      <c r="H797" s="39">
        <v>6</v>
      </c>
      <c r="I797" s="39">
        <v>1</v>
      </c>
      <c r="J797" s="39">
        <v>13</v>
      </c>
      <c r="K797" s="40">
        <v>715</v>
      </c>
      <c r="L797" s="45" t="s">
        <v>1015</v>
      </c>
      <c r="M797" s="41" t="str">
        <f>IF(MasterFees[[#This Row],[GST Basis]]="Excl",MasterFees[[#This Row],[Fee as Printed]],IF(MasterFees[[#This Row],[GST Basis]]="Incl",MasterFees[[#This Row],[Fee as Printed]]/(1+GST_Rate),""))</f>
        <v/>
      </c>
      <c r="N797" s="41" t="str">
        <f>IF(MasterFees[[#This Row],[GST Basis]]="Incl",MasterFees[[#This Row],[Fee as Printed]],IF(MasterFees[[#This Row],[GST Basis]]="Excl",MasterFees[[#This Row],[Fee as Printed]]*(1+GST_Rate),""))</f>
        <v/>
      </c>
      <c r="O797" s="42">
        <f>IF(N(MasterFees[[#This Row],[Total Units]])=0,"",MasterFees[[#This Row],[Fee as Printed]]/MasterFees[[#This Row],[Total Units]])</f>
        <v>55</v>
      </c>
      <c r="P797" s="43"/>
      <c r="Q797" s="46" t="s">
        <v>1013</v>
      </c>
      <c r="R797" s="46" t="s">
        <v>1905</v>
      </c>
      <c r="S797" s="37"/>
    </row>
    <row r="798" spans="1:19" x14ac:dyDescent="0.2">
      <c r="A798" s="36"/>
      <c r="B798" s="38" t="str">
        <f>IF(MasterFees[[#This Row],[RVG Code]]="","",_xlfn.XLOOKUP(MasterFees[[#This Row],[RVG Code]],RVGCodes[Code],RVGCodes[Base Units],"Code not found"))</f>
        <v/>
      </c>
      <c r="C798" s="37" t="s">
        <v>790</v>
      </c>
      <c r="D798" s="44" t="s">
        <v>1108</v>
      </c>
      <c r="E798" s="44"/>
      <c r="F798" s="44" t="s">
        <v>1109</v>
      </c>
      <c r="G798" s="39">
        <v>5.8</v>
      </c>
      <c r="H798" s="39">
        <v>4.9000000000000004</v>
      </c>
      <c r="I798" s="39">
        <v>0.5</v>
      </c>
      <c r="J798" s="39">
        <v>11.2</v>
      </c>
      <c r="K798" s="40">
        <v>614.9</v>
      </c>
      <c r="L798" s="45" t="s">
        <v>1015</v>
      </c>
      <c r="M798" s="41" t="str">
        <f>IF(MasterFees[[#This Row],[GST Basis]]="Excl",MasterFees[[#This Row],[Fee as Printed]],IF(MasterFees[[#This Row],[GST Basis]]="Incl",MasterFees[[#This Row],[Fee as Printed]]/(1+GST_Rate),""))</f>
        <v/>
      </c>
      <c r="N798" s="41" t="str">
        <f>IF(MasterFees[[#This Row],[GST Basis]]="Incl",MasterFees[[#This Row],[Fee as Printed]],IF(MasterFees[[#This Row],[GST Basis]]="Excl",MasterFees[[#This Row],[Fee as Printed]]*(1+GST_Rate),""))</f>
        <v/>
      </c>
      <c r="O798" s="42">
        <f>IF(N(MasterFees[[#This Row],[Total Units]])=0,"",MasterFees[[#This Row],[Fee as Printed]]/MasterFees[[#This Row],[Total Units]])</f>
        <v>54.901785714285715</v>
      </c>
      <c r="P798" s="43"/>
      <c r="Q798" s="46" t="s">
        <v>1013</v>
      </c>
      <c r="R798" s="46" t="s">
        <v>1906</v>
      </c>
      <c r="S798" s="37"/>
    </row>
    <row r="799" spans="1:19" x14ac:dyDescent="0.2">
      <c r="A799" s="36"/>
      <c r="B799" s="38" t="str">
        <f>IF(MasterFees[[#This Row],[RVG Code]]="","",_xlfn.XLOOKUP(MasterFees[[#This Row],[RVG Code]],RVGCodes[Code],RVGCodes[Base Units],"Code not found"))</f>
        <v/>
      </c>
      <c r="C799" s="37" t="s">
        <v>791</v>
      </c>
      <c r="D799" s="44" t="s">
        <v>1108</v>
      </c>
      <c r="E799" s="44"/>
      <c r="F799" s="44" t="s">
        <v>1109</v>
      </c>
      <c r="G799" s="39">
        <v>5.8</v>
      </c>
      <c r="H799" s="39">
        <v>4.7</v>
      </c>
      <c r="I799" s="39">
        <v>0.1</v>
      </c>
      <c r="J799" s="39">
        <v>10.5</v>
      </c>
      <c r="K799" s="40">
        <v>577.5</v>
      </c>
      <c r="L799" s="45" t="s">
        <v>1015</v>
      </c>
      <c r="M799" s="41" t="str">
        <f>IF(MasterFees[[#This Row],[GST Basis]]="Excl",MasterFees[[#This Row],[Fee as Printed]],IF(MasterFees[[#This Row],[GST Basis]]="Incl",MasterFees[[#This Row],[Fee as Printed]]/(1+GST_Rate),""))</f>
        <v/>
      </c>
      <c r="N799" s="41" t="str">
        <f>IF(MasterFees[[#This Row],[GST Basis]]="Incl",MasterFees[[#This Row],[Fee as Printed]],IF(MasterFees[[#This Row],[GST Basis]]="Excl",MasterFees[[#This Row],[Fee as Printed]]*(1+GST_Rate),""))</f>
        <v/>
      </c>
      <c r="O799" s="42">
        <f>IF(N(MasterFees[[#This Row],[Total Units]])=0,"",MasterFees[[#This Row],[Fee as Printed]]/MasterFees[[#This Row],[Total Units]])</f>
        <v>55</v>
      </c>
      <c r="P799" s="43"/>
      <c r="Q799" s="46" t="s">
        <v>1013</v>
      </c>
      <c r="R799" s="46" t="s">
        <v>1907</v>
      </c>
      <c r="S799" s="37"/>
    </row>
    <row r="800" spans="1:19" x14ac:dyDescent="0.2">
      <c r="A800" s="36"/>
      <c r="B800" s="38" t="str">
        <f>IF(MasterFees[[#This Row],[RVG Code]]="","",_xlfn.XLOOKUP(MasterFees[[#This Row],[RVG Code]],RVGCodes[Code],RVGCodes[Base Units],"Code not found"))</f>
        <v/>
      </c>
      <c r="C800" s="37" t="s">
        <v>792</v>
      </c>
      <c r="D800" s="44" t="s">
        <v>1108</v>
      </c>
      <c r="E800" s="44"/>
      <c r="F800" s="44" t="s">
        <v>1109</v>
      </c>
      <c r="G800" s="39">
        <v>0</v>
      </c>
      <c r="H800" s="39">
        <v>0</v>
      </c>
      <c r="I800" s="39">
        <v>0</v>
      </c>
      <c r="J800" s="39">
        <v>0</v>
      </c>
      <c r="K800" s="40">
        <v>0</v>
      </c>
      <c r="L800" s="45" t="s">
        <v>1015</v>
      </c>
      <c r="M800" s="41" t="str">
        <f>IF(MasterFees[[#This Row],[GST Basis]]="Excl",MasterFees[[#This Row],[Fee as Printed]],IF(MasterFees[[#This Row],[GST Basis]]="Incl",MasterFees[[#This Row],[Fee as Printed]]/(1+GST_Rate),""))</f>
        <v/>
      </c>
      <c r="N800" s="41" t="str">
        <f>IF(MasterFees[[#This Row],[GST Basis]]="Incl",MasterFees[[#This Row],[Fee as Printed]],IF(MasterFees[[#This Row],[GST Basis]]="Excl",MasterFees[[#This Row],[Fee as Printed]]*(1+GST_Rate),""))</f>
        <v/>
      </c>
      <c r="O800" s="42" t="str">
        <f>IF(N(MasterFees[[#This Row],[Total Units]])=0,"",MasterFees[[#This Row],[Fee as Printed]]/MasterFees[[#This Row],[Total Units]])</f>
        <v/>
      </c>
      <c r="P800" s="43"/>
      <c r="Q800" s="46" t="s">
        <v>1013</v>
      </c>
      <c r="R800" s="46" t="s">
        <v>1908</v>
      </c>
      <c r="S800" s="37"/>
    </row>
    <row r="801" spans="1:19" x14ac:dyDescent="0.2">
      <c r="A801" s="36"/>
      <c r="B801" s="38" t="str">
        <f>IF(MasterFees[[#This Row],[RVG Code]]="","",_xlfn.XLOOKUP(MasterFees[[#This Row],[RVG Code]],RVGCodes[Code],RVGCodes[Base Units],"Code not found"))</f>
        <v/>
      </c>
      <c r="C801" s="37" t="s">
        <v>793</v>
      </c>
      <c r="D801" s="44" t="s">
        <v>1108</v>
      </c>
      <c r="E801" s="44"/>
      <c r="F801" s="44" t="s">
        <v>1109</v>
      </c>
      <c r="G801" s="39">
        <v>7.9</v>
      </c>
      <c r="H801" s="39">
        <v>6.7</v>
      </c>
      <c r="I801" s="39">
        <v>1.4</v>
      </c>
      <c r="J801" s="39">
        <v>16</v>
      </c>
      <c r="K801" s="40">
        <v>877.25</v>
      </c>
      <c r="L801" s="45" t="s">
        <v>1015</v>
      </c>
      <c r="M801" s="41" t="str">
        <f>IF(MasterFees[[#This Row],[GST Basis]]="Excl",MasterFees[[#This Row],[Fee as Printed]],IF(MasterFees[[#This Row],[GST Basis]]="Incl",MasterFees[[#This Row],[Fee as Printed]]/(1+GST_Rate),""))</f>
        <v/>
      </c>
      <c r="N801" s="41" t="str">
        <f>IF(MasterFees[[#This Row],[GST Basis]]="Incl",MasterFees[[#This Row],[Fee as Printed]],IF(MasterFees[[#This Row],[GST Basis]]="Excl",MasterFees[[#This Row],[Fee as Printed]]*(1+GST_Rate),""))</f>
        <v/>
      </c>
      <c r="O801" s="42">
        <f>IF(N(MasterFees[[#This Row],[Total Units]])=0,"",MasterFees[[#This Row],[Fee as Printed]]/MasterFees[[#This Row],[Total Units]])</f>
        <v>54.828125</v>
      </c>
      <c r="P801" s="43"/>
      <c r="Q801" s="46" t="s">
        <v>1013</v>
      </c>
      <c r="R801" s="46" t="s">
        <v>1909</v>
      </c>
      <c r="S801" s="37"/>
    </row>
    <row r="802" spans="1:19" x14ac:dyDescent="0.2">
      <c r="A802" s="36"/>
      <c r="B802" s="38" t="str">
        <f>IF(MasterFees[[#This Row],[RVG Code]]="","",_xlfn.XLOOKUP(MasterFees[[#This Row],[RVG Code]],RVGCodes[Code],RVGCodes[Base Units],"Code not found"))</f>
        <v/>
      </c>
      <c r="C802" s="37" t="s">
        <v>794</v>
      </c>
      <c r="D802" s="44" t="s">
        <v>1108</v>
      </c>
      <c r="E802" s="44"/>
      <c r="F802" s="44" t="s">
        <v>1109</v>
      </c>
      <c r="G802" s="39">
        <v>7.9</v>
      </c>
      <c r="H802" s="39">
        <v>7.2</v>
      </c>
      <c r="I802" s="39">
        <v>1.6</v>
      </c>
      <c r="J802" s="39">
        <v>16.7</v>
      </c>
      <c r="K802" s="40">
        <v>917.4</v>
      </c>
      <c r="L802" s="45" t="s">
        <v>1015</v>
      </c>
      <c r="M802" s="41" t="str">
        <f>IF(MasterFees[[#This Row],[GST Basis]]="Excl",MasterFees[[#This Row],[Fee as Printed]],IF(MasterFees[[#This Row],[GST Basis]]="Incl",MasterFees[[#This Row],[Fee as Printed]]/(1+GST_Rate),""))</f>
        <v/>
      </c>
      <c r="N802" s="41" t="str">
        <f>IF(MasterFees[[#This Row],[GST Basis]]="Incl",MasterFees[[#This Row],[Fee as Printed]],IF(MasterFees[[#This Row],[GST Basis]]="Excl",MasterFees[[#This Row],[Fee as Printed]]*(1+GST_Rate),""))</f>
        <v/>
      </c>
      <c r="O802" s="42">
        <f>IF(N(MasterFees[[#This Row],[Total Units]])=0,"",MasterFees[[#This Row],[Fee as Printed]]/MasterFees[[#This Row],[Total Units]])</f>
        <v>54.93413173652695</v>
      </c>
      <c r="P802" s="43"/>
      <c r="Q802" s="46" t="s">
        <v>1013</v>
      </c>
      <c r="R802" s="46" t="s">
        <v>1910</v>
      </c>
      <c r="S802" s="37"/>
    </row>
    <row r="803" spans="1:19" x14ac:dyDescent="0.2">
      <c r="A803" s="36"/>
      <c r="B803" s="38" t="str">
        <f>IF(MasterFees[[#This Row],[RVG Code]]="","",_xlfn.XLOOKUP(MasterFees[[#This Row],[RVG Code]],RVGCodes[Code],RVGCodes[Base Units],"Code not found"))</f>
        <v/>
      </c>
      <c r="C803" s="37" t="s">
        <v>795</v>
      </c>
      <c r="D803" s="44" t="s">
        <v>1108</v>
      </c>
      <c r="E803" s="44"/>
      <c r="F803" s="44" t="s">
        <v>1109</v>
      </c>
      <c r="G803" s="39">
        <v>0</v>
      </c>
      <c r="H803" s="39">
        <v>0</v>
      </c>
      <c r="I803" s="39">
        <v>0</v>
      </c>
      <c r="J803" s="39">
        <v>0</v>
      </c>
      <c r="K803" s="40">
        <v>0</v>
      </c>
      <c r="L803" s="45" t="s">
        <v>1015</v>
      </c>
      <c r="M803" s="41" t="str">
        <f>IF(MasterFees[[#This Row],[GST Basis]]="Excl",MasterFees[[#This Row],[Fee as Printed]],IF(MasterFees[[#This Row],[GST Basis]]="Incl",MasterFees[[#This Row],[Fee as Printed]]/(1+GST_Rate),""))</f>
        <v/>
      </c>
      <c r="N803" s="41" t="str">
        <f>IF(MasterFees[[#This Row],[GST Basis]]="Incl",MasterFees[[#This Row],[Fee as Printed]],IF(MasterFees[[#This Row],[GST Basis]]="Excl",MasterFees[[#This Row],[Fee as Printed]]*(1+GST_Rate),""))</f>
        <v/>
      </c>
      <c r="O803" s="42" t="str">
        <f>IF(N(MasterFees[[#This Row],[Total Units]])=0,"",MasterFees[[#This Row],[Fee as Printed]]/MasterFees[[#This Row],[Total Units]])</f>
        <v/>
      </c>
      <c r="P803" s="43"/>
      <c r="Q803" s="46" t="s">
        <v>1013</v>
      </c>
      <c r="R803" s="46" t="s">
        <v>1911</v>
      </c>
      <c r="S803" s="37"/>
    </row>
    <row r="804" spans="1:19" x14ac:dyDescent="0.2">
      <c r="A804" s="36"/>
      <c r="B804" s="38" t="str">
        <f>IF(MasterFees[[#This Row],[RVG Code]]="","",_xlfn.XLOOKUP(MasterFees[[#This Row],[RVG Code]],RVGCodes[Code],RVGCodes[Base Units],"Code not found"))</f>
        <v/>
      </c>
      <c r="C804" s="37" t="s">
        <v>796</v>
      </c>
      <c r="D804" s="44" t="s">
        <v>1108</v>
      </c>
      <c r="E804" s="44"/>
      <c r="F804" s="44" t="s">
        <v>1109</v>
      </c>
      <c r="G804" s="39">
        <v>5</v>
      </c>
      <c r="H804" s="39">
        <v>3</v>
      </c>
      <c r="I804" s="39">
        <v>0</v>
      </c>
      <c r="J804" s="39">
        <v>8</v>
      </c>
      <c r="K804" s="40">
        <v>440</v>
      </c>
      <c r="L804" s="45" t="s">
        <v>1015</v>
      </c>
      <c r="M804" s="41" t="str">
        <f>IF(MasterFees[[#This Row],[GST Basis]]="Excl",MasterFees[[#This Row],[Fee as Printed]],IF(MasterFees[[#This Row],[GST Basis]]="Incl",MasterFees[[#This Row],[Fee as Printed]]/(1+GST_Rate),""))</f>
        <v/>
      </c>
      <c r="N804" s="41" t="str">
        <f>IF(MasterFees[[#This Row],[GST Basis]]="Incl",MasterFees[[#This Row],[Fee as Printed]],IF(MasterFees[[#This Row],[GST Basis]]="Excl",MasterFees[[#This Row],[Fee as Printed]]*(1+GST_Rate),""))</f>
        <v/>
      </c>
      <c r="O804" s="42">
        <f>IF(N(MasterFees[[#This Row],[Total Units]])=0,"",MasterFees[[#This Row],[Fee as Printed]]/MasterFees[[#This Row],[Total Units]])</f>
        <v>55</v>
      </c>
      <c r="P804" s="43"/>
      <c r="Q804" s="46" t="s">
        <v>1013</v>
      </c>
      <c r="R804" s="46" t="s">
        <v>1912</v>
      </c>
      <c r="S804" s="37"/>
    </row>
    <row r="805" spans="1:19" x14ac:dyDescent="0.2">
      <c r="A805" s="36"/>
      <c r="B805" s="38" t="str">
        <f>IF(MasterFees[[#This Row],[RVG Code]]="","",_xlfn.XLOOKUP(MasterFees[[#This Row],[RVG Code]],RVGCodes[Code],RVGCodes[Base Units],"Code not found"))</f>
        <v/>
      </c>
      <c r="C805" s="37" t="s">
        <v>797</v>
      </c>
      <c r="D805" s="44" t="s">
        <v>1108</v>
      </c>
      <c r="E805" s="44"/>
      <c r="F805" s="44" t="s">
        <v>1109</v>
      </c>
      <c r="G805" s="39">
        <v>6</v>
      </c>
      <c r="H805" s="39">
        <v>6.3</v>
      </c>
      <c r="I805" s="39">
        <v>0.2</v>
      </c>
      <c r="J805" s="39">
        <v>12.4</v>
      </c>
      <c r="K805" s="40">
        <v>682</v>
      </c>
      <c r="L805" s="45" t="s">
        <v>1015</v>
      </c>
      <c r="M805" s="41" t="str">
        <f>IF(MasterFees[[#This Row],[GST Basis]]="Excl",MasterFees[[#This Row],[Fee as Printed]],IF(MasterFees[[#This Row],[GST Basis]]="Incl",MasterFees[[#This Row],[Fee as Printed]]/(1+GST_Rate),""))</f>
        <v/>
      </c>
      <c r="N805" s="41" t="str">
        <f>IF(MasterFees[[#This Row],[GST Basis]]="Incl",MasterFees[[#This Row],[Fee as Printed]],IF(MasterFees[[#This Row],[GST Basis]]="Excl",MasterFees[[#This Row],[Fee as Printed]]*(1+GST_Rate),""))</f>
        <v/>
      </c>
      <c r="O805" s="42">
        <f>IF(N(MasterFees[[#This Row],[Total Units]])=0,"",MasterFees[[#This Row],[Fee as Printed]]/MasterFees[[#This Row],[Total Units]])</f>
        <v>55</v>
      </c>
      <c r="P805" s="43"/>
      <c r="Q805" s="46" t="s">
        <v>1013</v>
      </c>
      <c r="R805" s="46" t="s">
        <v>1913</v>
      </c>
      <c r="S805" s="37"/>
    </row>
    <row r="806" spans="1:19" x14ac:dyDescent="0.2">
      <c r="A806" s="36"/>
      <c r="B806" s="38" t="str">
        <f>IF(MasterFees[[#This Row],[RVG Code]]="","",_xlfn.XLOOKUP(MasterFees[[#This Row],[RVG Code]],RVGCodes[Code],RVGCodes[Base Units],"Code not found"))</f>
        <v/>
      </c>
      <c r="C806" s="37" t="s">
        <v>798</v>
      </c>
      <c r="D806" s="44" t="s">
        <v>1108</v>
      </c>
      <c r="E806" s="44"/>
      <c r="F806" s="44" t="s">
        <v>1109</v>
      </c>
      <c r="G806" s="39">
        <v>4</v>
      </c>
      <c r="H806" s="39">
        <v>2.5</v>
      </c>
      <c r="I806" s="39">
        <v>0.5</v>
      </c>
      <c r="J806" s="39">
        <v>7</v>
      </c>
      <c r="K806" s="40">
        <v>382.25</v>
      </c>
      <c r="L806" s="45" t="s">
        <v>1015</v>
      </c>
      <c r="M806" s="41" t="str">
        <f>IF(MasterFees[[#This Row],[GST Basis]]="Excl",MasterFees[[#This Row],[Fee as Printed]],IF(MasterFees[[#This Row],[GST Basis]]="Incl",MasterFees[[#This Row],[Fee as Printed]]/(1+GST_Rate),""))</f>
        <v/>
      </c>
      <c r="N806" s="41" t="str">
        <f>IF(MasterFees[[#This Row],[GST Basis]]="Incl",MasterFees[[#This Row],[Fee as Printed]],IF(MasterFees[[#This Row],[GST Basis]]="Excl",MasterFees[[#This Row],[Fee as Printed]]*(1+GST_Rate),""))</f>
        <v/>
      </c>
      <c r="O806" s="42">
        <f>IF(N(MasterFees[[#This Row],[Total Units]])=0,"",MasterFees[[#This Row],[Fee as Printed]]/MasterFees[[#This Row],[Total Units]])</f>
        <v>54.607142857142854</v>
      </c>
      <c r="P806" s="43"/>
      <c r="Q806" s="46" t="s">
        <v>1013</v>
      </c>
      <c r="R806" s="46" t="s">
        <v>1914</v>
      </c>
      <c r="S806" s="37"/>
    </row>
    <row r="807" spans="1:19" x14ac:dyDescent="0.2">
      <c r="A807" s="36"/>
      <c r="B807" s="38" t="str">
        <f>IF(MasterFees[[#This Row],[RVG Code]]="","",_xlfn.XLOOKUP(MasterFees[[#This Row],[RVG Code]],RVGCodes[Code],RVGCodes[Base Units],"Code not found"))</f>
        <v/>
      </c>
      <c r="C807" s="37" t="s">
        <v>799</v>
      </c>
      <c r="D807" s="44" t="s">
        <v>1108</v>
      </c>
      <c r="E807" s="44"/>
      <c r="F807" s="44" t="s">
        <v>1109</v>
      </c>
      <c r="G807" s="39">
        <v>4</v>
      </c>
      <c r="H807" s="39">
        <v>2.9</v>
      </c>
      <c r="I807" s="39">
        <v>0.3</v>
      </c>
      <c r="J807" s="39">
        <v>7.1</v>
      </c>
      <c r="K807" s="40">
        <v>392.15</v>
      </c>
      <c r="L807" s="45" t="s">
        <v>1015</v>
      </c>
      <c r="M807" s="41" t="str">
        <f>IF(MasterFees[[#This Row],[GST Basis]]="Excl",MasterFees[[#This Row],[Fee as Printed]],IF(MasterFees[[#This Row],[GST Basis]]="Incl",MasterFees[[#This Row],[Fee as Printed]]/(1+GST_Rate),""))</f>
        <v/>
      </c>
      <c r="N807" s="41" t="str">
        <f>IF(MasterFees[[#This Row],[GST Basis]]="Incl",MasterFees[[#This Row],[Fee as Printed]],IF(MasterFees[[#This Row],[GST Basis]]="Excl",MasterFees[[#This Row],[Fee as Printed]]*(1+GST_Rate),""))</f>
        <v/>
      </c>
      <c r="O807" s="42">
        <f>IF(N(MasterFees[[#This Row],[Total Units]])=0,"",MasterFees[[#This Row],[Fee as Printed]]/MasterFees[[#This Row],[Total Units]])</f>
        <v>55.232394366197184</v>
      </c>
      <c r="P807" s="43"/>
      <c r="Q807" s="46" t="s">
        <v>1013</v>
      </c>
      <c r="R807" s="46" t="s">
        <v>1915</v>
      </c>
      <c r="S807" s="37"/>
    </row>
    <row r="808" spans="1:19" x14ac:dyDescent="0.2">
      <c r="A808" s="36"/>
      <c r="B808" s="38" t="str">
        <f>IF(MasterFees[[#This Row],[RVG Code]]="","",_xlfn.XLOOKUP(MasterFees[[#This Row],[RVG Code]],RVGCodes[Code],RVGCodes[Base Units],"Code not found"))</f>
        <v/>
      </c>
      <c r="C808" s="37" t="s">
        <v>800</v>
      </c>
      <c r="D808" s="44" t="s">
        <v>1108</v>
      </c>
      <c r="E808" s="44"/>
      <c r="F808" s="44" t="s">
        <v>1109</v>
      </c>
      <c r="G808" s="39">
        <v>8</v>
      </c>
      <c r="H808" s="39">
        <v>5</v>
      </c>
      <c r="I808" s="39">
        <v>0.2</v>
      </c>
      <c r="J808" s="39">
        <v>13.2</v>
      </c>
      <c r="K808" s="40">
        <v>727.1</v>
      </c>
      <c r="L808" s="45" t="s">
        <v>1015</v>
      </c>
      <c r="M808" s="41" t="str">
        <f>IF(MasterFees[[#This Row],[GST Basis]]="Excl",MasterFees[[#This Row],[Fee as Printed]],IF(MasterFees[[#This Row],[GST Basis]]="Incl",MasterFees[[#This Row],[Fee as Printed]]/(1+GST_Rate),""))</f>
        <v/>
      </c>
      <c r="N808" s="41" t="str">
        <f>IF(MasterFees[[#This Row],[GST Basis]]="Incl",MasterFees[[#This Row],[Fee as Printed]],IF(MasterFees[[#This Row],[GST Basis]]="Excl",MasterFees[[#This Row],[Fee as Printed]]*(1+GST_Rate),""))</f>
        <v/>
      </c>
      <c r="O808" s="42">
        <f>IF(N(MasterFees[[#This Row],[Total Units]])=0,"",MasterFees[[#This Row],[Fee as Printed]]/MasterFees[[#This Row],[Total Units]])</f>
        <v>55.083333333333336</v>
      </c>
      <c r="P808" s="43"/>
      <c r="Q808" s="46" t="s">
        <v>1013</v>
      </c>
      <c r="R808" s="46" t="s">
        <v>1916</v>
      </c>
      <c r="S808" s="37"/>
    </row>
    <row r="809" spans="1:19" x14ac:dyDescent="0.2">
      <c r="A809" s="36"/>
      <c r="B809" s="38" t="str">
        <f>IF(MasterFees[[#This Row],[RVG Code]]="","",_xlfn.XLOOKUP(MasterFees[[#This Row],[RVG Code]],RVGCodes[Code],RVGCodes[Base Units],"Code not found"))</f>
        <v/>
      </c>
      <c r="C809" s="37" t="s">
        <v>801</v>
      </c>
      <c r="D809" s="44" t="s">
        <v>1108</v>
      </c>
      <c r="E809" s="44"/>
      <c r="F809" s="44" t="s">
        <v>1109</v>
      </c>
      <c r="G809" s="39">
        <v>7.9</v>
      </c>
      <c r="H809" s="39">
        <v>7.4</v>
      </c>
      <c r="I809" s="39">
        <v>1.4</v>
      </c>
      <c r="J809" s="39">
        <v>16.7</v>
      </c>
      <c r="K809" s="40">
        <v>917.95</v>
      </c>
      <c r="L809" s="45" t="s">
        <v>1015</v>
      </c>
      <c r="M809" s="41" t="str">
        <f>IF(MasterFees[[#This Row],[GST Basis]]="Excl",MasterFees[[#This Row],[Fee as Printed]],IF(MasterFees[[#This Row],[GST Basis]]="Incl",MasterFees[[#This Row],[Fee as Printed]]/(1+GST_Rate),""))</f>
        <v/>
      </c>
      <c r="N809" s="41" t="str">
        <f>IF(MasterFees[[#This Row],[GST Basis]]="Incl",MasterFees[[#This Row],[Fee as Printed]],IF(MasterFees[[#This Row],[GST Basis]]="Excl",MasterFees[[#This Row],[Fee as Printed]]*(1+GST_Rate),""))</f>
        <v/>
      </c>
      <c r="O809" s="42">
        <f>IF(N(MasterFees[[#This Row],[Total Units]])=0,"",MasterFees[[#This Row],[Fee as Printed]]/MasterFees[[#This Row],[Total Units]])</f>
        <v>54.967065868263475</v>
      </c>
      <c r="P809" s="43"/>
      <c r="Q809" s="46" t="s">
        <v>1013</v>
      </c>
      <c r="R809" s="46" t="s">
        <v>1917</v>
      </c>
      <c r="S809" s="37"/>
    </row>
    <row r="810" spans="1:19" x14ac:dyDescent="0.2">
      <c r="A810" s="36"/>
      <c r="B810" s="38" t="str">
        <f>IF(MasterFees[[#This Row],[RVG Code]]="","",_xlfn.XLOOKUP(MasterFees[[#This Row],[RVG Code]],RVGCodes[Code],RVGCodes[Base Units],"Code not found"))</f>
        <v/>
      </c>
      <c r="C810" s="37" t="s">
        <v>802</v>
      </c>
      <c r="D810" s="44" t="s">
        <v>1108</v>
      </c>
      <c r="E810" s="44"/>
      <c r="F810" s="44" t="s">
        <v>1109</v>
      </c>
      <c r="G810" s="39">
        <v>8</v>
      </c>
      <c r="H810" s="39">
        <v>9</v>
      </c>
      <c r="I810" s="39">
        <v>0</v>
      </c>
      <c r="J810" s="39">
        <v>17</v>
      </c>
      <c r="K810" s="40">
        <v>935</v>
      </c>
      <c r="L810" s="45" t="s">
        <v>1015</v>
      </c>
      <c r="M810" s="41" t="str">
        <f>IF(MasterFees[[#This Row],[GST Basis]]="Excl",MasterFees[[#This Row],[Fee as Printed]],IF(MasterFees[[#This Row],[GST Basis]]="Incl",MasterFees[[#This Row],[Fee as Printed]]/(1+GST_Rate),""))</f>
        <v/>
      </c>
      <c r="N810" s="41" t="str">
        <f>IF(MasterFees[[#This Row],[GST Basis]]="Incl",MasterFees[[#This Row],[Fee as Printed]],IF(MasterFees[[#This Row],[GST Basis]]="Excl",MasterFees[[#This Row],[Fee as Printed]]*(1+GST_Rate),""))</f>
        <v/>
      </c>
      <c r="O810" s="42">
        <f>IF(N(MasterFees[[#This Row],[Total Units]])=0,"",MasterFees[[#This Row],[Fee as Printed]]/MasterFees[[#This Row],[Total Units]])</f>
        <v>55</v>
      </c>
      <c r="P810" s="43"/>
      <c r="Q810" s="46" t="s">
        <v>1013</v>
      </c>
      <c r="R810" s="46" t="s">
        <v>1918</v>
      </c>
      <c r="S810" s="37"/>
    </row>
    <row r="811" spans="1:19" x14ac:dyDescent="0.2">
      <c r="A811" s="36"/>
      <c r="B811" s="38" t="str">
        <f>IF(MasterFees[[#This Row],[RVG Code]]="","",_xlfn.XLOOKUP(MasterFees[[#This Row],[RVG Code]],RVGCodes[Code],RVGCodes[Base Units],"Code not found"))</f>
        <v/>
      </c>
      <c r="C811" s="37" t="s">
        <v>803</v>
      </c>
      <c r="D811" s="44" t="s">
        <v>1108</v>
      </c>
      <c r="E811" s="44"/>
      <c r="F811" s="44" t="s">
        <v>1109</v>
      </c>
      <c r="G811" s="39">
        <v>8</v>
      </c>
      <c r="H811" s="39">
        <v>21</v>
      </c>
      <c r="I811" s="39">
        <v>0</v>
      </c>
      <c r="J811" s="39">
        <v>29</v>
      </c>
      <c r="K811" s="40">
        <v>1595</v>
      </c>
      <c r="L811" s="45" t="s">
        <v>1015</v>
      </c>
      <c r="M811" s="41" t="str">
        <f>IF(MasterFees[[#This Row],[GST Basis]]="Excl",MasterFees[[#This Row],[Fee as Printed]],IF(MasterFees[[#This Row],[GST Basis]]="Incl",MasterFees[[#This Row],[Fee as Printed]]/(1+GST_Rate),""))</f>
        <v/>
      </c>
      <c r="N811" s="41" t="str">
        <f>IF(MasterFees[[#This Row],[GST Basis]]="Incl",MasterFees[[#This Row],[Fee as Printed]],IF(MasterFees[[#This Row],[GST Basis]]="Excl",MasterFees[[#This Row],[Fee as Printed]]*(1+GST_Rate),""))</f>
        <v/>
      </c>
      <c r="O811" s="42">
        <f>IF(N(MasterFees[[#This Row],[Total Units]])=0,"",MasterFees[[#This Row],[Fee as Printed]]/MasterFees[[#This Row],[Total Units]])</f>
        <v>55</v>
      </c>
      <c r="P811" s="43"/>
      <c r="Q811" s="46" t="s">
        <v>1013</v>
      </c>
      <c r="R811" s="46" t="s">
        <v>1919</v>
      </c>
      <c r="S811" s="37"/>
    </row>
    <row r="812" spans="1:19" x14ac:dyDescent="0.2">
      <c r="A812" s="36"/>
      <c r="B812" s="38" t="str">
        <f>IF(MasterFees[[#This Row],[RVG Code]]="","",_xlfn.XLOOKUP(MasterFees[[#This Row],[RVG Code]],RVGCodes[Code],RVGCodes[Base Units],"Code not found"))</f>
        <v/>
      </c>
      <c r="C812" s="37" t="s">
        <v>804</v>
      </c>
      <c r="D812" s="44" t="s">
        <v>1108</v>
      </c>
      <c r="E812" s="44"/>
      <c r="F812" s="44" t="s">
        <v>1109</v>
      </c>
      <c r="G812" s="39">
        <v>4.7</v>
      </c>
      <c r="H812" s="39">
        <v>6.7</v>
      </c>
      <c r="I812" s="39">
        <v>0.9</v>
      </c>
      <c r="J812" s="39">
        <v>12.3</v>
      </c>
      <c r="K812" s="40">
        <v>677.05</v>
      </c>
      <c r="L812" s="45" t="s">
        <v>1015</v>
      </c>
      <c r="M812" s="41" t="str">
        <f>IF(MasterFees[[#This Row],[GST Basis]]="Excl",MasterFees[[#This Row],[Fee as Printed]],IF(MasterFees[[#This Row],[GST Basis]]="Incl",MasterFees[[#This Row],[Fee as Printed]]/(1+GST_Rate),""))</f>
        <v/>
      </c>
      <c r="N812" s="41" t="str">
        <f>IF(MasterFees[[#This Row],[GST Basis]]="Incl",MasterFees[[#This Row],[Fee as Printed]],IF(MasterFees[[#This Row],[GST Basis]]="Excl",MasterFees[[#This Row],[Fee as Printed]]*(1+GST_Rate),""))</f>
        <v/>
      </c>
      <c r="O812" s="42">
        <f>IF(N(MasterFees[[#This Row],[Total Units]])=0,"",MasterFees[[#This Row],[Fee as Printed]]/MasterFees[[#This Row],[Total Units]])</f>
        <v>55.044715447154466</v>
      </c>
      <c r="P812" s="43"/>
      <c r="Q812" s="46" t="s">
        <v>1013</v>
      </c>
      <c r="R812" s="46" t="s">
        <v>1920</v>
      </c>
      <c r="S812" s="37"/>
    </row>
    <row r="813" spans="1:19" x14ac:dyDescent="0.2">
      <c r="A813" s="36"/>
      <c r="B813" s="38" t="str">
        <f>IF(MasterFees[[#This Row],[RVG Code]]="","",_xlfn.XLOOKUP(MasterFees[[#This Row],[RVG Code]],RVGCodes[Code],RVGCodes[Base Units],"Code not found"))</f>
        <v/>
      </c>
      <c r="C813" s="37" t="s">
        <v>805</v>
      </c>
      <c r="D813" s="44" t="s">
        <v>1108</v>
      </c>
      <c r="E813" s="44"/>
      <c r="F813" s="44" t="s">
        <v>1109</v>
      </c>
      <c r="G813" s="39">
        <v>6</v>
      </c>
      <c r="H813" s="39">
        <v>10.5</v>
      </c>
      <c r="I813" s="39">
        <v>0</v>
      </c>
      <c r="J813" s="39">
        <v>16.5</v>
      </c>
      <c r="K813" s="40">
        <v>907.5</v>
      </c>
      <c r="L813" s="45" t="s">
        <v>1015</v>
      </c>
      <c r="M813" s="41" t="str">
        <f>IF(MasterFees[[#This Row],[GST Basis]]="Excl",MasterFees[[#This Row],[Fee as Printed]],IF(MasterFees[[#This Row],[GST Basis]]="Incl",MasterFees[[#This Row],[Fee as Printed]]/(1+GST_Rate),""))</f>
        <v/>
      </c>
      <c r="N813" s="41" t="str">
        <f>IF(MasterFees[[#This Row],[GST Basis]]="Incl",MasterFees[[#This Row],[Fee as Printed]],IF(MasterFees[[#This Row],[GST Basis]]="Excl",MasterFees[[#This Row],[Fee as Printed]]*(1+GST_Rate),""))</f>
        <v/>
      </c>
      <c r="O813" s="42">
        <f>IF(N(MasterFees[[#This Row],[Total Units]])=0,"",MasterFees[[#This Row],[Fee as Printed]]/MasterFees[[#This Row],[Total Units]])</f>
        <v>55</v>
      </c>
      <c r="P813" s="43"/>
      <c r="Q813" s="46" t="s">
        <v>1013</v>
      </c>
      <c r="R813" s="46" t="s">
        <v>1921</v>
      </c>
      <c r="S813" s="37"/>
    </row>
    <row r="814" spans="1:19" x14ac:dyDescent="0.2">
      <c r="A814" s="36"/>
      <c r="B814" s="38" t="str">
        <f>IF(MasterFees[[#This Row],[RVG Code]]="","",_xlfn.XLOOKUP(MasterFees[[#This Row],[RVG Code]],RVGCodes[Code],RVGCodes[Base Units],"Code not found"))</f>
        <v/>
      </c>
      <c r="C814" s="37" t="s">
        <v>806</v>
      </c>
      <c r="D814" s="44" t="s">
        <v>1108</v>
      </c>
      <c r="E814" s="44"/>
      <c r="F814" s="44" t="s">
        <v>1109</v>
      </c>
      <c r="G814" s="39">
        <v>8</v>
      </c>
      <c r="H814" s="39">
        <v>6</v>
      </c>
      <c r="I814" s="39">
        <v>0</v>
      </c>
      <c r="J814" s="39">
        <v>14</v>
      </c>
      <c r="K814" s="40">
        <v>770</v>
      </c>
      <c r="L814" s="45" t="s">
        <v>1015</v>
      </c>
      <c r="M814" s="41" t="str">
        <f>IF(MasterFees[[#This Row],[GST Basis]]="Excl",MasterFees[[#This Row],[Fee as Printed]],IF(MasterFees[[#This Row],[GST Basis]]="Incl",MasterFees[[#This Row],[Fee as Printed]]/(1+GST_Rate),""))</f>
        <v/>
      </c>
      <c r="N814" s="41" t="str">
        <f>IF(MasterFees[[#This Row],[GST Basis]]="Incl",MasterFees[[#This Row],[Fee as Printed]],IF(MasterFees[[#This Row],[GST Basis]]="Excl",MasterFees[[#This Row],[Fee as Printed]]*(1+GST_Rate),""))</f>
        <v/>
      </c>
      <c r="O814" s="42">
        <f>IF(N(MasterFees[[#This Row],[Total Units]])=0,"",MasterFees[[#This Row],[Fee as Printed]]/MasterFees[[#This Row],[Total Units]])</f>
        <v>55</v>
      </c>
      <c r="P814" s="43"/>
      <c r="Q814" s="46" t="s">
        <v>1013</v>
      </c>
      <c r="R814" s="46" t="s">
        <v>1922</v>
      </c>
      <c r="S814" s="37"/>
    </row>
    <row r="815" spans="1:19" x14ac:dyDescent="0.2">
      <c r="A815" s="36"/>
      <c r="B815" s="38" t="str">
        <f>IF(MasterFees[[#This Row],[RVG Code]]="","",_xlfn.XLOOKUP(MasterFees[[#This Row],[RVG Code]],RVGCodes[Code],RVGCodes[Base Units],"Code not found"))</f>
        <v/>
      </c>
      <c r="C815" s="37" t="s">
        <v>807</v>
      </c>
      <c r="D815" s="44" t="s">
        <v>1108</v>
      </c>
      <c r="E815" s="44"/>
      <c r="F815" s="44" t="s">
        <v>1109</v>
      </c>
      <c r="G815" s="39">
        <v>5</v>
      </c>
      <c r="H815" s="39">
        <v>1.5</v>
      </c>
      <c r="I815" s="39">
        <v>0.5</v>
      </c>
      <c r="J815" s="39">
        <v>7</v>
      </c>
      <c r="K815" s="40">
        <v>385</v>
      </c>
      <c r="L815" s="45" t="s">
        <v>1015</v>
      </c>
      <c r="M815" s="41" t="str">
        <f>IF(MasterFees[[#This Row],[GST Basis]]="Excl",MasterFees[[#This Row],[Fee as Printed]],IF(MasterFees[[#This Row],[GST Basis]]="Incl",MasterFees[[#This Row],[Fee as Printed]]/(1+GST_Rate),""))</f>
        <v/>
      </c>
      <c r="N815" s="41" t="str">
        <f>IF(MasterFees[[#This Row],[GST Basis]]="Incl",MasterFees[[#This Row],[Fee as Printed]],IF(MasterFees[[#This Row],[GST Basis]]="Excl",MasterFees[[#This Row],[Fee as Printed]]*(1+GST_Rate),""))</f>
        <v/>
      </c>
      <c r="O815" s="42">
        <f>IF(N(MasterFees[[#This Row],[Total Units]])=0,"",MasterFees[[#This Row],[Fee as Printed]]/MasterFees[[#This Row],[Total Units]])</f>
        <v>55</v>
      </c>
      <c r="P815" s="43"/>
      <c r="Q815" s="46" t="s">
        <v>1013</v>
      </c>
      <c r="R815" s="46" t="s">
        <v>1923</v>
      </c>
      <c r="S815" s="37"/>
    </row>
    <row r="816" spans="1:19" x14ac:dyDescent="0.2">
      <c r="A816" s="36"/>
      <c r="B816" s="38" t="str">
        <f>IF(MasterFees[[#This Row],[RVG Code]]="","",_xlfn.XLOOKUP(MasterFees[[#This Row],[RVG Code]],RVGCodes[Code],RVGCodes[Base Units],"Code not found"))</f>
        <v/>
      </c>
      <c r="C816" s="37" t="s">
        <v>808</v>
      </c>
      <c r="D816" s="44" t="s">
        <v>1108</v>
      </c>
      <c r="E816" s="44"/>
      <c r="F816" s="44" t="s">
        <v>1109</v>
      </c>
      <c r="G816" s="39">
        <v>8</v>
      </c>
      <c r="H816" s="39">
        <v>4.9000000000000004</v>
      </c>
      <c r="I816" s="39">
        <v>0.6</v>
      </c>
      <c r="J816" s="39">
        <v>13.5</v>
      </c>
      <c r="K816" s="40">
        <v>741.95</v>
      </c>
      <c r="L816" s="45" t="s">
        <v>1015</v>
      </c>
      <c r="M816" s="41" t="str">
        <f>IF(MasterFees[[#This Row],[GST Basis]]="Excl",MasterFees[[#This Row],[Fee as Printed]],IF(MasterFees[[#This Row],[GST Basis]]="Incl",MasterFees[[#This Row],[Fee as Printed]]/(1+GST_Rate),""))</f>
        <v/>
      </c>
      <c r="N816" s="41" t="str">
        <f>IF(MasterFees[[#This Row],[GST Basis]]="Incl",MasterFees[[#This Row],[Fee as Printed]],IF(MasterFees[[#This Row],[GST Basis]]="Excl",MasterFees[[#This Row],[Fee as Printed]]*(1+GST_Rate),""))</f>
        <v/>
      </c>
      <c r="O816" s="42">
        <f>IF(N(MasterFees[[#This Row],[Total Units]])=0,"",MasterFees[[#This Row],[Fee as Printed]]/MasterFees[[#This Row],[Total Units]])</f>
        <v>54.959259259259262</v>
      </c>
      <c r="P816" s="43"/>
      <c r="Q816" s="46" t="s">
        <v>1013</v>
      </c>
      <c r="R816" s="46" t="s">
        <v>1924</v>
      </c>
      <c r="S816" s="37"/>
    </row>
    <row r="817" spans="1:19" x14ac:dyDescent="0.2">
      <c r="A817" s="36"/>
      <c r="B817" s="38" t="str">
        <f>IF(MasterFees[[#This Row],[RVG Code]]="","",_xlfn.XLOOKUP(MasterFees[[#This Row],[RVG Code]],RVGCodes[Code],RVGCodes[Base Units],"Code not found"))</f>
        <v/>
      </c>
      <c r="C817" s="37" t="s">
        <v>809</v>
      </c>
      <c r="D817" s="44" t="s">
        <v>1108</v>
      </c>
      <c r="E817" s="44"/>
      <c r="F817" s="44" t="s">
        <v>1109</v>
      </c>
      <c r="G817" s="39">
        <v>2</v>
      </c>
      <c r="H817" s="39">
        <v>1</v>
      </c>
      <c r="I817" s="39">
        <v>0.1</v>
      </c>
      <c r="J817" s="39">
        <v>3.1</v>
      </c>
      <c r="K817" s="40">
        <v>168.3</v>
      </c>
      <c r="L817" s="45" t="s">
        <v>1015</v>
      </c>
      <c r="M817" s="41" t="str">
        <f>IF(MasterFees[[#This Row],[GST Basis]]="Excl",MasterFees[[#This Row],[Fee as Printed]],IF(MasterFees[[#This Row],[GST Basis]]="Incl",MasterFees[[#This Row],[Fee as Printed]]/(1+GST_Rate),""))</f>
        <v/>
      </c>
      <c r="N817" s="41" t="str">
        <f>IF(MasterFees[[#This Row],[GST Basis]]="Incl",MasterFees[[#This Row],[Fee as Printed]],IF(MasterFees[[#This Row],[GST Basis]]="Excl",MasterFees[[#This Row],[Fee as Printed]]*(1+GST_Rate),""))</f>
        <v/>
      </c>
      <c r="O817" s="42">
        <f>IF(N(MasterFees[[#This Row],[Total Units]])=0,"",MasterFees[[#This Row],[Fee as Printed]]/MasterFees[[#This Row],[Total Units]])</f>
        <v>54.29032258064516</v>
      </c>
      <c r="P817" s="43"/>
      <c r="Q817" s="46" t="s">
        <v>1013</v>
      </c>
      <c r="R817" s="46" t="s">
        <v>1925</v>
      </c>
      <c r="S817" s="37"/>
    </row>
    <row r="818" spans="1:19" x14ac:dyDescent="0.2">
      <c r="A818" s="36"/>
      <c r="B818" s="38" t="str">
        <f>IF(MasterFees[[#This Row],[RVG Code]]="","",_xlfn.XLOOKUP(MasterFees[[#This Row],[RVG Code]],RVGCodes[Code],RVGCodes[Base Units],"Code not found"))</f>
        <v/>
      </c>
      <c r="C818" s="37" t="s">
        <v>810</v>
      </c>
      <c r="D818" s="44" t="s">
        <v>1108</v>
      </c>
      <c r="E818" s="44"/>
      <c r="F818" s="44" t="s">
        <v>1109</v>
      </c>
      <c r="G818" s="39">
        <v>5.6</v>
      </c>
      <c r="H818" s="39">
        <v>7.9</v>
      </c>
      <c r="I818" s="39">
        <v>1.1000000000000001</v>
      </c>
      <c r="J818" s="39">
        <v>14.5</v>
      </c>
      <c r="K818" s="40">
        <v>796.4</v>
      </c>
      <c r="L818" s="45" t="s">
        <v>1015</v>
      </c>
      <c r="M818" s="41" t="str">
        <f>IF(MasterFees[[#This Row],[GST Basis]]="Excl",MasterFees[[#This Row],[Fee as Printed]],IF(MasterFees[[#This Row],[GST Basis]]="Incl",MasterFees[[#This Row],[Fee as Printed]]/(1+GST_Rate),""))</f>
        <v/>
      </c>
      <c r="N818" s="41" t="str">
        <f>IF(MasterFees[[#This Row],[GST Basis]]="Incl",MasterFees[[#This Row],[Fee as Printed]],IF(MasterFees[[#This Row],[GST Basis]]="Excl",MasterFees[[#This Row],[Fee as Printed]]*(1+GST_Rate),""))</f>
        <v/>
      </c>
      <c r="O818" s="42">
        <f>IF(N(MasterFees[[#This Row],[Total Units]])=0,"",MasterFees[[#This Row],[Fee as Printed]]/MasterFees[[#This Row],[Total Units]])</f>
        <v>54.92413793103448</v>
      </c>
      <c r="P818" s="43"/>
      <c r="Q818" s="46" t="s">
        <v>1013</v>
      </c>
      <c r="R818" s="46" t="s">
        <v>1926</v>
      </c>
      <c r="S818" s="37"/>
    </row>
    <row r="819" spans="1:19" x14ac:dyDescent="0.2">
      <c r="A819" s="36"/>
      <c r="B819" s="38" t="str">
        <f>IF(MasterFees[[#This Row],[RVG Code]]="","",_xlfn.XLOOKUP(MasterFees[[#This Row],[RVG Code]],RVGCodes[Code],RVGCodes[Base Units],"Code not found"))</f>
        <v/>
      </c>
      <c r="C819" s="37" t="s">
        <v>811</v>
      </c>
      <c r="D819" s="44" t="s">
        <v>1108</v>
      </c>
      <c r="E819" s="44"/>
      <c r="F819" s="44" t="s">
        <v>1109</v>
      </c>
      <c r="G819" s="39">
        <v>6</v>
      </c>
      <c r="H819" s="39">
        <v>5.7</v>
      </c>
      <c r="I819" s="39">
        <v>0.7</v>
      </c>
      <c r="J819" s="39">
        <v>12.4</v>
      </c>
      <c r="K819" s="40">
        <v>683.1</v>
      </c>
      <c r="L819" s="45" t="s">
        <v>1015</v>
      </c>
      <c r="M819" s="41" t="str">
        <f>IF(MasterFees[[#This Row],[GST Basis]]="Excl",MasterFees[[#This Row],[Fee as Printed]],IF(MasterFees[[#This Row],[GST Basis]]="Incl",MasterFees[[#This Row],[Fee as Printed]]/(1+GST_Rate),""))</f>
        <v/>
      </c>
      <c r="N819" s="41" t="str">
        <f>IF(MasterFees[[#This Row],[GST Basis]]="Incl",MasterFees[[#This Row],[Fee as Printed]],IF(MasterFees[[#This Row],[GST Basis]]="Excl",MasterFees[[#This Row],[Fee as Printed]]*(1+GST_Rate),""))</f>
        <v/>
      </c>
      <c r="O819" s="42">
        <f>IF(N(MasterFees[[#This Row],[Total Units]])=0,"",MasterFees[[#This Row],[Fee as Printed]]/MasterFees[[#This Row],[Total Units]])</f>
        <v>55.088709677419352</v>
      </c>
      <c r="P819" s="43"/>
      <c r="Q819" s="46" t="s">
        <v>1013</v>
      </c>
      <c r="R819" s="46" t="s">
        <v>1927</v>
      </c>
      <c r="S819" s="37"/>
    </row>
    <row r="820" spans="1:19" x14ac:dyDescent="0.2">
      <c r="A820" s="36"/>
      <c r="B820" s="38" t="str">
        <f>IF(MasterFees[[#This Row],[RVG Code]]="","",_xlfn.XLOOKUP(MasterFees[[#This Row],[RVG Code]],RVGCodes[Code],RVGCodes[Base Units],"Code not found"))</f>
        <v/>
      </c>
      <c r="C820" s="37" t="s">
        <v>812</v>
      </c>
      <c r="D820" s="44" t="s">
        <v>1108</v>
      </c>
      <c r="E820" s="44"/>
      <c r="F820" s="44" t="s">
        <v>1109</v>
      </c>
      <c r="G820" s="39">
        <v>6</v>
      </c>
      <c r="H820" s="39">
        <v>5.5</v>
      </c>
      <c r="I820" s="39">
        <v>2.2999999999999998</v>
      </c>
      <c r="J820" s="39">
        <v>13.8</v>
      </c>
      <c r="K820" s="40">
        <v>759</v>
      </c>
      <c r="L820" s="45" t="s">
        <v>1015</v>
      </c>
      <c r="M820" s="41" t="str">
        <f>IF(MasterFees[[#This Row],[GST Basis]]="Excl",MasterFees[[#This Row],[Fee as Printed]],IF(MasterFees[[#This Row],[GST Basis]]="Incl",MasterFees[[#This Row],[Fee as Printed]]/(1+GST_Rate),""))</f>
        <v/>
      </c>
      <c r="N820" s="41" t="str">
        <f>IF(MasterFees[[#This Row],[GST Basis]]="Incl",MasterFees[[#This Row],[Fee as Printed]],IF(MasterFees[[#This Row],[GST Basis]]="Excl",MasterFees[[#This Row],[Fee as Printed]]*(1+GST_Rate),""))</f>
        <v/>
      </c>
      <c r="O820" s="42">
        <f>IF(N(MasterFees[[#This Row],[Total Units]])=0,"",MasterFees[[#This Row],[Fee as Printed]]/MasterFees[[#This Row],[Total Units]])</f>
        <v>55</v>
      </c>
      <c r="P820" s="43"/>
      <c r="Q820" s="46" t="s">
        <v>1013</v>
      </c>
      <c r="R820" s="46" t="s">
        <v>1928</v>
      </c>
      <c r="S820" s="37"/>
    </row>
    <row r="821" spans="1:19" x14ac:dyDescent="0.2">
      <c r="A821" s="36"/>
      <c r="B821" s="38" t="str">
        <f>IF(MasterFees[[#This Row],[RVG Code]]="","",_xlfn.XLOOKUP(MasterFees[[#This Row],[RVG Code]],RVGCodes[Code],RVGCodes[Base Units],"Code not found"))</f>
        <v/>
      </c>
      <c r="C821" s="37" t="s">
        <v>813</v>
      </c>
      <c r="D821" s="44" t="s">
        <v>1108</v>
      </c>
      <c r="E821" s="44"/>
      <c r="F821" s="44" t="s">
        <v>1109</v>
      </c>
      <c r="G821" s="39">
        <v>6</v>
      </c>
      <c r="H821" s="39">
        <v>9</v>
      </c>
      <c r="I821" s="39">
        <v>2</v>
      </c>
      <c r="J821" s="39">
        <v>17</v>
      </c>
      <c r="K821" s="40">
        <v>935</v>
      </c>
      <c r="L821" s="45" t="s">
        <v>1015</v>
      </c>
      <c r="M821" s="41" t="str">
        <f>IF(MasterFees[[#This Row],[GST Basis]]="Excl",MasterFees[[#This Row],[Fee as Printed]],IF(MasterFees[[#This Row],[GST Basis]]="Incl",MasterFees[[#This Row],[Fee as Printed]]/(1+GST_Rate),""))</f>
        <v/>
      </c>
      <c r="N821" s="41" t="str">
        <f>IF(MasterFees[[#This Row],[GST Basis]]="Incl",MasterFees[[#This Row],[Fee as Printed]],IF(MasterFees[[#This Row],[GST Basis]]="Excl",MasterFees[[#This Row],[Fee as Printed]]*(1+GST_Rate),""))</f>
        <v/>
      </c>
      <c r="O821" s="42">
        <f>IF(N(MasterFees[[#This Row],[Total Units]])=0,"",MasterFees[[#This Row],[Fee as Printed]]/MasterFees[[#This Row],[Total Units]])</f>
        <v>55</v>
      </c>
      <c r="P821" s="43"/>
      <c r="Q821" s="46" t="s">
        <v>1013</v>
      </c>
      <c r="R821" s="46" t="s">
        <v>1929</v>
      </c>
      <c r="S821" s="37"/>
    </row>
    <row r="822" spans="1:19" x14ac:dyDescent="0.2">
      <c r="A822" s="36"/>
      <c r="B822" s="38" t="str">
        <f>IF(MasterFees[[#This Row],[RVG Code]]="","",_xlfn.XLOOKUP(MasterFees[[#This Row],[RVG Code]],RVGCodes[Code],RVGCodes[Base Units],"Code not found"))</f>
        <v/>
      </c>
      <c r="C822" s="37" t="s">
        <v>814</v>
      </c>
      <c r="D822" s="44" t="s">
        <v>1108</v>
      </c>
      <c r="E822" s="44"/>
      <c r="F822" s="44" t="s">
        <v>1109</v>
      </c>
      <c r="G822" s="39">
        <v>11</v>
      </c>
      <c r="H822" s="39">
        <v>28.5</v>
      </c>
      <c r="I822" s="39">
        <v>0.3</v>
      </c>
      <c r="J822" s="39">
        <v>39.799999999999997</v>
      </c>
      <c r="K822" s="40">
        <v>2186.25</v>
      </c>
      <c r="L822" s="45" t="s">
        <v>1015</v>
      </c>
      <c r="M822" s="41" t="str">
        <f>IF(MasterFees[[#This Row],[GST Basis]]="Excl",MasterFees[[#This Row],[Fee as Printed]],IF(MasterFees[[#This Row],[GST Basis]]="Incl",MasterFees[[#This Row],[Fee as Printed]]/(1+GST_Rate),""))</f>
        <v/>
      </c>
      <c r="N822" s="41" t="str">
        <f>IF(MasterFees[[#This Row],[GST Basis]]="Incl",MasterFees[[#This Row],[Fee as Printed]],IF(MasterFees[[#This Row],[GST Basis]]="Excl",MasterFees[[#This Row],[Fee as Printed]]*(1+GST_Rate),""))</f>
        <v/>
      </c>
      <c r="O822" s="42">
        <f>IF(N(MasterFees[[#This Row],[Total Units]])=0,"",MasterFees[[#This Row],[Fee as Printed]]/MasterFees[[#This Row],[Total Units]])</f>
        <v>54.930904522613069</v>
      </c>
      <c r="P822" s="43"/>
      <c r="Q822" s="46" t="s">
        <v>1013</v>
      </c>
      <c r="R822" s="46" t="s">
        <v>1930</v>
      </c>
      <c r="S822" s="37"/>
    </row>
    <row r="823" spans="1:19" x14ac:dyDescent="0.2">
      <c r="A823" s="36"/>
      <c r="B823" s="38" t="str">
        <f>IF(MasterFees[[#This Row],[RVG Code]]="","",_xlfn.XLOOKUP(MasterFees[[#This Row],[RVG Code]],RVGCodes[Code],RVGCodes[Base Units],"Code not found"))</f>
        <v/>
      </c>
      <c r="C823" s="37" t="s">
        <v>815</v>
      </c>
      <c r="D823" s="44" t="s">
        <v>1108</v>
      </c>
      <c r="E823" s="44"/>
      <c r="F823" s="44" t="s">
        <v>1109</v>
      </c>
      <c r="G823" s="39">
        <v>4</v>
      </c>
      <c r="H823" s="39">
        <v>8.6999999999999993</v>
      </c>
      <c r="I823" s="39">
        <v>1</v>
      </c>
      <c r="J823" s="39">
        <v>13.7</v>
      </c>
      <c r="K823" s="40">
        <v>751.3</v>
      </c>
      <c r="L823" s="45" t="s">
        <v>1015</v>
      </c>
      <c r="M823" s="41" t="str">
        <f>IF(MasterFees[[#This Row],[GST Basis]]="Excl",MasterFees[[#This Row],[Fee as Printed]],IF(MasterFees[[#This Row],[GST Basis]]="Incl",MasterFees[[#This Row],[Fee as Printed]]/(1+GST_Rate),""))</f>
        <v/>
      </c>
      <c r="N823" s="41" t="str">
        <f>IF(MasterFees[[#This Row],[GST Basis]]="Incl",MasterFees[[#This Row],[Fee as Printed]],IF(MasterFees[[#This Row],[GST Basis]]="Excl",MasterFees[[#This Row],[Fee as Printed]]*(1+GST_Rate),""))</f>
        <v/>
      </c>
      <c r="O823" s="42">
        <f>IF(N(MasterFees[[#This Row],[Total Units]])=0,"",MasterFees[[#This Row],[Fee as Printed]]/MasterFees[[#This Row],[Total Units]])</f>
        <v>54.839416058394157</v>
      </c>
      <c r="P823" s="43"/>
      <c r="Q823" s="46" t="s">
        <v>1013</v>
      </c>
      <c r="R823" s="46" t="s">
        <v>1931</v>
      </c>
      <c r="S823" s="37"/>
    </row>
    <row r="824" spans="1:19" x14ac:dyDescent="0.2">
      <c r="A824" s="36"/>
      <c r="B824" s="38" t="str">
        <f>IF(MasterFees[[#This Row],[RVG Code]]="","",_xlfn.XLOOKUP(MasterFees[[#This Row],[RVG Code]],RVGCodes[Code],RVGCodes[Base Units],"Code not found"))</f>
        <v/>
      </c>
      <c r="C824" s="37" t="s">
        <v>816</v>
      </c>
      <c r="D824" s="44" t="s">
        <v>1108</v>
      </c>
      <c r="E824" s="44"/>
      <c r="F824" s="44" t="s">
        <v>1109</v>
      </c>
      <c r="G824" s="39">
        <v>8</v>
      </c>
      <c r="H824" s="39">
        <v>7.9</v>
      </c>
      <c r="I824" s="39">
        <v>1.6</v>
      </c>
      <c r="J824" s="39">
        <v>17.399999999999999</v>
      </c>
      <c r="K824" s="40">
        <v>959.2</v>
      </c>
      <c r="L824" s="45" t="s">
        <v>1015</v>
      </c>
      <c r="M824" s="41" t="str">
        <f>IF(MasterFees[[#This Row],[GST Basis]]="Excl",MasterFees[[#This Row],[Fee as Printed]],IF(MasterFees[[#This Row],[GST Basis]]="Incl",MasterFees[[#This Row],[Fee as Printed]]/(1+GST_Rate),""))</f>
        <v/>
      </c>
      <c r="N824" s="41" t="str">
        <f>IF(MasterFees[[#This Row],[GST Basis]]="Incl",MasterFees[[#This Row],[Fee as Printed]],IF(MasterFees[[#This Row],[GST Basis]]="Excl",MasterFees[[#This Row],[Fee as Printed]]*(1+GST_Rate),""))</f>
        <v/>
      </c>
      <c r="O824" s="42">
        <f>IF(N(MasterFees[[#This Row],[Total Units]])=0,"",MasterFees[[#This Row],[Fee as Printed]]/MasterFees[[#This Row],[Total Units]])</f>
        <v>55.1264367816092</v>
      </c>
      <c r="P824" s="43"/>
      <c r="Q824" s="46" t="s">
        <v>1013</v>
      </c>
      <c r="R824" s="46" t="s">
        <v>1932</v>
      </c>
      <c r="S824" s="37"/>
    </row>
    <row r="825" spans="1:19" x14ac:dyDescent="0.2">
      <c r="A825" s="36"/>
      <c r="B825" s="38" t="str">
        <f>IF(MasterFees[[#This Row],[RVG Code]]="","",_xlfn.XLOOKUP(MasterFees[[#This Row],[RVG Code]],RVGCodes[Code],RVGCodes[Base Units],"Code not found"))</f>
        <v/>
      </c>
      <c r="C825" s="37" t="s">
        <v>817</v>
      </c>
      <c r="D825" s="44" t="s">
        <v>1108</v>
      </c>
      <c r="E825" s="44"/>
      <c r="F825" s="44" t="s">
        <v>1109</v>
      </c>
      <c r="G825" s="39">
        <v>8</v>
      </c>
      <c r="H825" s="39">
        <v>7.9</v>
      </c>
      <c r="I825" s="39">
        <v>1.4</v>
      </c>
      <c r="J825" s="39">
        <v>17.3</v>
      </c>
      <c r="K825" s="40">
        <v>952.05</v>
      </c>
      <c r="L825" s="45" t="s">
        <v>1015</v>
      </c>
      <c r="M825" s="41" t="str">
        <f>IF(MasterFees[[#This Row],[GST Basis]]="Excl",MasterFees[[#This Row],[Fee as Printed]],IF(MasterFees[[#This Row],[GST Basis]]="Incl",MasterFees[[#This Row],[Fee as Printed]]/(1+GST_Rate),""))</f>
        <v/>
      </c>
      <c r="N825" s="41" t="str">
        <f>IF(MasterFees[[#This Row],[GST Basis]]="Incl",MasterFees[[#This Row],[Fee as Printed]],IF(MasterFees[[#This Row],[GST Basis]]="Excl",MasterFees[[#This Row],[Fee as Printed]]*(1+GST_Rate),""))</f>
        <v/>
      </c>
      <c r="O825" s="42">
        <f>IF(N(MasterFees[[#This Row],[Total Units]])=0,"",MasterFees[[#This Row],[Fee as Printed]]/MasterFees[[#This Row],[Total Units]])</f>
        <v>55.031791907514446</v>
      </c>
      <c r="P825" s="43"/>
      <c r="Q825" s="46" t="s">
        <v>1013</v>
      </c>
      <c r="R825" s="46" t="s">
        <v>1933</v>
      </c>
      <c r="S825" s="37"/>
    </row>
    <row r="826" spans="1:19" x14ac:dyDescent="0.2">
      <c r="A826" s="36"/>
      <c r="B826" s="38" t="str">
        <f>IF(MasterFees[[#This Row],[RVG Code]]="","",_xlfn.XLOOKUP(MasterFees[[#This Row],[RVG Code]],RVGCodes[Code],RVGCodes[Base Units],"Code not found"))</f>
        <v/>
      </c>
      <c r="C826" s="37" t="s">
        <v>818</v>
      </c>
      <c r="D826" s="44" t="s">
        <v>1108</v>
      </c>
      <c r="E826" s="44"/>
      <c r="F826" s="44" t="s">
        <v>1109</v>
      </c>
      <c r="G826" s="39">
        <v>8</v>
      </c>
      <c r="H826" s="39">
        <v>8</v>
      </c>
      <c r="I826" s="39">
        <v>0</v>
      </c>
      <c r="J826" s="39">
        <v>16</v>
      </c>
      <c r="K826" s="40">
        <v>880</v>
      </c>
      <c r="L826" s="45" t="s">
        <v>1015</v>
      </c>
      <c r="M826" s="41" t="str">
        <f>IF(MasterFees[[#This Row],[GST Basis]]="Excl",MasterFees[[#This Row],[Fee as Printed]],IF(MasterFees[[#This Row],[GST Basis]]="Incl",MasterFees[[#This Row],[Fee as Printed]]/(1+GST_Rate),""))</f>
        <v/>
      </c>
      <c r="N826" s="41" t="str">
        <f>IF(MasterFees[[#This Row],[GST Basis]]="Incl",MasterFees[[#This Row],[Fee as Printed]],IF(MasterFees[[#This Row],[GST Basis]]="Excl",MasterFees[[#This Row],[Fee as Printed]]*(1+GST_Rate),""))</f>
        <v/>
      </c>
      <c r="O826" s="42">
        <f>IF(N(MasterFees[[#This Row],[Total Units]])=0,"",MasterFees[[#This Row],[Fee as Printed]]/MasterFees[[#This Row],[Total Units]])</f>
        <v>55</v>
      </c>
      <c r="P826" s="43"/>
      <c r="Q826" s="46" t="s">
        <v>1013</v>
      </c>
      <c r="R826" s="46" t="s">
        <v>1934</v>
      </c>
      <c r="S826" s="37"/>
    </row>
    <row r="827" spans="1:19" x14ac:dyDescent="0.2">
      <c r="A827" s="36"/>
      <c r="B827" s="38" t="str">
        <f>IF(MasterFees[[#This Row],[RVG Code]]="","",_xlfn.XLOOKUP(MasterFees[[#This Row],[RVG Code]],RVGCodes[Code],RVGCodes[Base Units],"Code not found"))</f>
        <v/>
      </c>
      <c r="C827" s="37" t="s">
        <v>819</v>
      </c>
      <c r="D827" s="44" t="s">
        <v>1108</v>
      </c>
      <c r="E827" s="44"/>
      <c r="F827" s="44" t="s">
        <v>1109</v>
      </c>
      <c r="G827" s="39">
        <v>8</v>
      </c>
      <c r="H827" s="39">
        <v>7</v>
      </c>
      <c r="I827" s="39">
        <v>4</v>
      </c>
      <c r="J827" s="39">
        <v>19</v>
      </c>
      <c r="K827" s="40">
        <v>1045</v>
      </c>
      <c r="L827" s="45" t="s">
        <v>1015</v>
      </c>
      <c r="M827" s="41" t="str">
        <f>IF(MasterFees[[#This Row],[GST Basis]]="Excl",MasterFees[[#This Row],[Fee as Printed]],IF(MasterFees[[#This Row],[GST Basis]]="Incl",MasterFees[[#This Row],[Fee as Printed]]/(1+GST_Rate),""))</f>
        <v/>
      </c>
      <c r="N827" s="41" t="str">
        <f>IF(MasterFees[[#This Row],[GST Basis]]="Incl",MasterFees[[#This Row],[Fee as Printed]],IF(MasterFees[[#This Row],[GST Basis]]="Excl",MasterFees[[#This Row],[Fee as Printed]]*(1+GST_Rate),""))</f>
        <v/>
      </c>
      <c r="O827" s="42">
        <f>IF(N(MasterFees[[#This Row],[Total Units]])=0,"",MasterFees[[#This Row],[Fee as Printed]]/MasterFees[[#This Row],[Total Units]])</f>
        <v>55</v>
      </c>
      <c r="P827" s="43"/>
      <c r="Q827" s="46" t="s">
        <v>1013</v>
      </c>
      <c r="R827" s="46" t="s">
        <v>1935</v>
      </c>
      <c r="S827" s="37"/>
    </row>
    <row r="828" spans="1:19" x14ac:dyDescent="0.2">
      <c r="A828" s="36"/>
      <c r="B828" s="38" t="str">
        <f>IF(MasterFees[[#This Row],[RVG Code]]="","",_xlfn.XLOOKUP(MasterFees[[#This Row],[RVG Code]],RVGCodes[Code],RVGCodes[Base Units],"Code not found"))</f>
        <v/>
      </c>
      <c r="C828" s="37" t="s">
        <v>820</v>
      </c>
      <c r="D828" s="44" t="s">
        <v>1108</v>
      </c>
      <c r="E828" s="44"/>
      <c r="F828" s="44" t="s">
        <v>1109</v>
      </c>
      <c r="G828" s="39">
        <v>8</v>
      </c>
      <c r="H828" s="39">
        <v>8.4</v>
      </c>
      <c r="I828" s="39">
        <v>1.6</v>
      </c>
      <c r="J828" s="39">
        <v>18</v>
      </c>
      <c r="K828" s="40">
        <v>989.45</v>
      </c>
      <c r="L828" s="45" t="s">
        <v>1015</v>
      </c>
      <c r="M828" s="41" t="str">
        <f>IF(MasterFees[[#This Row],[GST Basis]]="Excl",MasterFees[[#This Row],[Fee as Printed]],IF(MasterFees[[#This Row],[GST Basis]]="Incl",MasterFees[[#This Row],[Fee as Printed]]/(1+GST_Rate),""))</f>
        <v/>
      </c>
      <c r="N828" s="41" t="str">
        <f>IF(MasterFees[[#This Row],[GST Basis]]="Incl",MasterFees[[#This Row],[Fee as Printed]],IF(MasterFees[[#This Row],[GST Basis]]="Excl",MasterFees[[#This Row],[Fee as Printed]]*(1+GST_Rate),""))</f>
        <v/>
      </c>
      <c r="O828" s="42">
        <f>IF(N(MasterFees[[#This Row],[Total Units]])=0,"",MasterFees[[#This Row],[Fee as Printed]]/MasterFees[[#This Row],[Total Units]])</f>
        <v>54.969444444444449</v>
      </c>
      <c r="P828" s="43"/>
      <c r="Q828" s="46" t="s">
        <v>1013</v>
      </c>
      <c r="R828" s="46" t="s">
        <v>1936</v>
      </c>
      <c r="S828" s="37"/>
    </row>
    <row r="829" spans="1:19" x14ac:dyDescent="0.2">
      <c r="A829" s="36"/>
      <c r="B829" s="38" t="str">
        <f>IF(MasterFees[[#This Row],[RVG Code]]="","",_xlfn.XLOOKUP(MasterFees[[#This Row],[RVG Code]],RVGCodes[Code],RVGCodes[Base Units],"Code not found"))</f>
        <v/>
      </c>
      <c r="C829" s="37" t="s">
        <v>821</v>
      </c>
      <c r="D829" s="44" t="s">
        <v>1108</v>
      </c>
      <c r="E829" s="44"/>
      <c r="F829" s="44" t="s">
        <v>1109</v>
      </c>
      <c r="G829" s="39">
        <v>8</v>
      </c>
      <c r="H829" s="39">
        <v>11.7</v>
      </c>
      <c r="I829" s="39">
        <v>1</v>
      </c>
      <c r="J829" s="39">
        <v>20.7</v>
      </c>
      <c r="K829" s="40">
        <v>1136.3</v>
      </c>
      <c r="L829" s="45" t="s">
        <v>1015</v>
      </c>
      <c r="M829" s="41" t="str">
        <f>IF(MasterFees[[#This Row],[GST Basis]]="Excl",MasterFees[[#This Row],[Fee as Printed]],IF(MasterFees[[#This Row],[GST Basis]]="Incl",MasterFees[[#This Row],[Fee as Printed]]/(1+GST_Rate),""))</f>
        <v/>
      </c>
      <c r="N829" s="41" t="str">
        <f>IF(MasterFees[[#This Row],[GST Basis]]="Incl",MasterFees[[#This Row],[Fee as Printed]],IF(MasterFees[[#This Row],[GST Basis]]="Excl",MasterFees[[#This Row],[Fee as Printed]]*(1+GST_Rate),""))</f>
        <v/>
      </c>
      <c r="O829" s="42">
        <f>IF(N(MasterFees[[#This Row],[Total Units]])=0,"",MasterFees[[#This Row],[Fee as Printed]]/MasterFees[[#This Row],[Total Units]])</f>
        <v>54.893719806763286</v>
      </c>
      <c r="P829" s="43"/>
      <c r="Q829" s="46" t="s">
        <v>1013</v>
      </c>
      <c r="R829" s="46" t="s">
        <v>1937</v>
      </c>
      <c r="S829" s="37"/>
    </row>
    <row r="830" spans="1:19" x14ac:dyDescent="0.2">
      <c r="A830" s="36"/>
      <c r="B830" s="38" t="str">
        <f>IF(MasterFees[[#This Row],[RVG Code]]="","",_xlfn.XLOOKUP(MasterFees[[#This Row],[RVG Code]],RVGCodes[Code],RVGCodes[Base Units],"Code not found"))</f>
        <v/>
      </c>
      <c r="C830" s="37" t="s">
        <v>822</v>
      </c>
      <c r="D830" s="44" t="s">
        <v>1108</v>
      </c>
      <c r="E830" s="44"/>
      <c r="F830" s="44" t="s">
        <v>1109</v>
      </c>
      <c r="G830" s="39">
        <v>7.9</v>
      </c>
      <c r="H830" s="39">
        <v>8.4</v>
      </c>
      <c r="I830" s="39">
        <v>1.7</v>
      </c>
      <c r="J830" s="39">
        <v>18.100000000000001</v>
      </c>
      <c r="K830" s="40">
        <v>993.3</v>
      </c>
      <c r="L830" s="45" t="s">
        <v>1015</v>
      </c>
      <c r="M830" s="41" t="str">
        <f>IF(MasterFees[[#This Row],[GST Basis]]="Excl",MasterFees[[#This Row],[Fee as Printed]],IF(MasterFees[[#This Row],[GST Basis]]="Incl",MasterFees[[#This Row],[Fee as Printed]]/(1+GST_Rate),""))</f>
        <v/>
      </c>
      <c r="N830" s="41" t="str">
        <f>IF(MasterFees[[#This Row],[GST Basis]]="Incl",MasterFees[[#This Row],[Fee as Printed]],IF(MasterFees[[#This Row],[GST Basis]]="Excl",MasterFees[[#This Row],[Fee as Printed]]*(1+GST_Rate),""))</f>
        <v/>
      </c>
      <c r="O830" s="42">
        <f>IF(N(MasterFees[[#This Row],[Total Units]])=0,"",MasterFees[[#This Row],[Fee as Printed]]/MasterFees[[#This Row],[Total Units]])</f>
        <v>54.878453038674024</v>
      </c>
      <c r="P830" s="43"/>
      <c r="Q830" s="46" t="s">
        <v>1013</v>
      </c>
      <c r="R830" s="46" t="s">
        <v>1938</v>
      </c>
      <c r="S830" s="37"/>
    </row>
    <row r="831" spans="1:19" x14ac:dyDescent="0.2">
      <c r="A831" s="36"/>
      <c r="B831" s="38" t="str">
        <f>IF(MasterFees[[#This Row],[RVG Code]]="","",_xlfn.XLOOKUP(MasterFees[[#This Row],[RVG Code]],RVGCodes[Code],RVGCodes[Base Units],"Code not found"))</f>
        <v/>
      </c>
      <c r="C831" s="37" t="s">
        <v>823</v>
      </c>
      <c r="D831" s="44" t="s">
        <v>1108</v>
      </c>
      <c r="E831" s="44"/>
      <c r="F831" s="44" t="s">
        <v>1109</v>
      </c>
      <c r="G831" s="39">
        <v>8</v>
      </c>
      <c r="H831" s="39">
        <v>8.1</v>
      </c>
      <c r="I831" s="39">
        <v>1.5</v>
      </c>
      <c r="J831" s="39">
        <v>17.600000000000001</v>
      </c>
      <c r="K831" s="40">
        <v>967.45</v>
      </c>
      <c r="L831" s="45" t="s">
        <v>1015</v>
      </c>
      <c r="M831" s="41" t="str">
        <f>IF(MasterFees[[#This Row],[GST Basis]]="Excl",MasterFees[[#This Row],[Fee as Printed]],IF(MasterFees[[#This Row],[GST Basis]]="Incl",MasterFees[[#This Row],[Fee as Printed]]/(1+GST_Rate),""))</f>
        <v/>
      </c>
      <c r="N831" s="41" t="str">
        <f>IF(MasterFees[[#This Row],[GST Basis]]="Incl",MasterFees[[#This Row],[Fee as Printed]],IF(MasterFees[[#This Row],[GST Basis]]="Excl",MasterFees[[#This Row],[Fee as Printed]]*(1+GST_Rate),""))</f>
        <v/>
      </c>
      <c r="O831" s="42">
        <f>IF(N(MasterFees[[#This Row],[Total Units]])=0,"",MasterFees[[#This Row],[Fee as Printed]]/MasterFees[[#This Row],[Total Units]])</f>
        <v>54.96875</v>
      </c>
      <c r="P831" s="43"/>
      <c r="Q831" s="46" t="s">
        <v>1013</v>
      </c>
      <c r="R831" s="46" t="s">
        <v>1939</v>
      </c>
      <c r="S831" s="37"/>
    </row>
    <row r="832" spans="1:19" x14ac:dyDescent="0.2">
      <c r="A832" s="36"/>
      <c r="B832" s="38" t="str">
        <f>IF(MasterFees[[#This Row],[RVG Code]]="","",_xlfn.XLOOKUP(MasterFees[[#This Row],[RVG Code]],RVGCodes[Code],RVGCodes[Base Units],"Code not found"))</f>
        <v/>
      </c>
      <c r="C832" s="37" t="s">
        <v>824</v>
      </c>
      <c r="D832" s="44" t="s">
        <v>1108</v>
      </c>
      <c r="E832" s="44"/>
      <c r="F832" s="44" t="s">
        <v>1109</v>
      </c>
      <c r="G832" s="39">
        <v>8.1</v>
      </c>
      <c r="H832" s="39">
        <v>12.5</v>
      </c>
      <c r="I832" s="39">
        <v>2.2999999999999998</v>
      </c>
      <c r="J832" s="39">
        <v>22.9</v>
      </c>
      <c r="K832" s="40">
        <v>1258.95</v>
      </c>
      <c r="L832" s="45" t="s">
        <v>1015</v>
      </c>
      <c r="M832" s="41" t="str">
        <f>IF(MasterFees[[#This Row],[GST Basis]]="Excl",MasterFees[[#This Row],[Fee as Printed]],IF(MasterFees[[#This Row],[GST Basis]]="Incl",MasterFees[[#This Row],[Fee as Printed]]/(1+GST_Rate),""))</f>
        <v/>
      </c>
      <c r="N832" s="41" t="str">
        <f>IF(MasterFees[[#This Row],[GST Basis]]="Incl",MasterFees[[#This Row],[Fee as Printed]],IF(MasterFees[[#This Row],[GST Basis]]="Excl",MasterFees[[#This Row],[Fee as Printed]]*(1+GST_Rate),""))</f>
        <v/>
      </c>
      <c r="O832" s="42">
        <f>IF(N(MasterFees[[#This Row],[Total Units]])=0,"",MasterFees[[#This Row],[Fee as Printed]]/MasterFees[[#This Row],[Total Units]])</f>
        <v>54.975982532751097</v>
      </c>
      <c r="P832" s="43"/>
      <c r="Q832" s="46" t="s">
        <v>1013</v>
      </c>
      <c r="R832" s="46" t="s">
        <v>1940</v>
      </c>
      <c r="S832" s="37"/>
    </row>
    <row r="833" spans="1:19" x14ac:dyDescent="0.2">
      <c r="A833" s="36"/>
      <c r="B833" s="38" t="str">
        <f>IF(MasterFees[[#This Row],[RVG Code]]="","",_xlfn.XLOOKUP(MasterFees[[#This Row],[RVG Code]],RVGCodes[Code],RVGCodes[Base Units],"Code not found"))</f>
        <v/>
      </c>
      <c r="C833" s="37" t="s">
        <v>825</v>
      </c>
      <c r="D833" s="44" t="s">
        <v>1108</v>
      </c>
      <c r="E833" s="44"/>
      <c r="F833" s="44" t="s">
        <v>1109</v>
      </c>
      <c r="G833" s="39">
        <v>0</v>
      </c>
      <c r="H833" s="39">
        <v>3</v>
      </c>
      <c r="I833" s="39">
        <v>0</v>
      </c>
      <c r="J833" s="39">
        <v>3</v>
      </c>
      <c r="K833" s="40">
        <v>165</v>
      </c>
      <c r="L833" s="45" t="s">
        <v>1015</v>
      </c>
      <c r="M833" s="41" t="str">
        <f>IF(MasterFees[[#This Row],[GST Basis]]="Excl",MasterFees[[#This Row],[Fee as Printed]],IF(MasterFees[[#This Row],[GST Basis]]="Incl",MasterFees[[#This Row],[Fee as Printed]]/(1+GST_Rate),""))</f>
        <v/>
      </c>
      <c r="N833" s="41" t="str">
        <f>IF(MasterFees[[#This Row],[GST Basis]]="Incl",MasterFees[[#This Row],[Fee as Printed]],IF(MasterFees[[#This Row],[GST Basis]]="Excl",MasterFees[[#This Row],[Fee as Printed]]*(1+GST_Rate),""))</f>
        <v/>
      </c>
      <c r="O833" s="42">
        <f>IF(N(MasterFees[[#This Row],[Total Units]])=0,"",MasterFees[[#This Row],[Fee as Printed]]/MasterFees[[#This Row],[Total Units]])</f>
        <v>55</v>
      </c>
      <c r="P833" s="43"/>
      <c r="Q833" s="46" t="s">
        <v>1013</v>
      </c>
      <c r="R833" s="46" t="s">
        <v>1941</v>
      </c>
      <c r="S833" s="37"/>
    </row>
    <row r="834" spans="1:19" x14ac:dyDescent="0.2">
      <c r="A834" s="36"/>
      <c r="B834" s="38" t="str">
        <f>IF(MasterFees[[#This Row],[RVG Code]]="","",_xlfn.XLOOKUP(MasterFees[[#This Row],[RVG Code]],RVGCodes[Code],RVGCodes[Base Units],"Code not found"))</f>
        <v/>
      </c>
      <c r="C834" s="37" t="s">
        <v>826</v>
      </c>
      <c r="D834" s="44" t="s">
        <v>1108</v>
      </c>
      <c r="E834" s="44"/>
      <c r="F834" s="44" t="s">
        <v>1109</v>
      </c>
      <c r="G834" s="39">
        <v>8</v>
      </c>
      <c r="H834" s="39">
        <v>6</v>
      </c>
      <c r="I834" s="39">
        <v>1</v>
      </c>
      <c r="J834" s="39">
        <v>15</v>
      </c>
      <c r="K834" s="40">
        <v>825</v>
      </c>
      <c r="L834" s="45" t="s">
        <v>1015</v>
      </c>
      <c r="M834" s="41" t="str">
        <f>IF(MasterFees[[#This Row],[GST Basis]]="Excl",MasterFees[[#This Row],[Fee as Printed]],IF(MasterFees[[#This Row],[GST Basis]]="Incl",MasterFees[[#This Row],[Fee as Printed]]/(1+GST_Rate),""))</f>
        <v/>
      </c>
      <c r="N834" s="41" t="str">
        <f>IF(MasterFees[[#This Row],[GST Basis]]="Incl",MasterFees[[#This Row],[Fee as Printed]],IF(MasterFees[[#This Row],[GST Basis]]="Excl",MasterFees[[#This Row],[Fee as Printed]]*(1+GST_Rate),""))</f>
        <v/>
      </c>
      <c r="O834" s="42">
        <f>IF(N(MasterFees[[#This Row],[Total Units]])=0,"",MasterFees[[#This Row],[Fee as Printed]]/MasterFees[[#This Row],[Total Units]])</f>
        <v>55</v>
      </c>
      <c r="P834" s="43"/>
      <c r="Q834" s="46" t="s">
        <v>1013</v>
      </c>
      <c r="R834" s="46" t="s">
        <v>1942</v>
      </c>
      <c r="S834" s="37"/>
    </row>
    <row r="835" spans="1:19" x14ac:dyDescent="0.2">
      <c r="A835" s="36"/>
      <c r="B835" s="38" t="str">
        <f>IF(MasterFees[[#This Row],[RVG Code]]="","",_xlfn.XLOOKUP(MasterFees[[#This Row],[RVG Code]],RVGCodes[Code],RVGCodes[Base Units],"Code not found"))</f>
        <v/>
      </c>
      <c r="C835" s="37" t="s">
        <v>827</v>
      </c>
      <c r="D835" s="44" t="s">
        <v>1108</v>
      </c>
      <c r="E835" s="44"/>
      <c r="F835" s="44" t="s">
        <v>1109</v>
      </c>
      <c r="G835" s="39">
        <v>8</v>
      </c>
      <c r="H835" s="39">
        <v>6.4</v>
      </c>
      <c r="I835" s="39">
        <v>1.4</v>
      </c>
      <c r="J835" s="39">
        <v>15.8</v>
      </c>
      <c r="K835" s="40">
        <v>867.35</v>
      </c>
      <c r="L835" s="45" t="s">
        <v>1015</v>
      </c>
      <c r="M835" s="41" t="str">
        <f>IF(MasterFees[[#This Row],[GST Basis]]="Excl",MasterFees[[#This Row],[Fee as Printed]],IF(MasterFees[[#This Row],[GST Basis]]="Incl",MasterFees[[#This Row],[Fee as Printed]]/(1+GST_Rate),""))</f>
        <v/>
      </c>
      <c r="N835" s="41" t="str">
        <f>IF(MasterFees[[#This Row],[GST Basis]]="Incl",MasterFees[[#This Row],[Fee as Printed]],IF(MasterFees[[#This Row],[GST Basis]]="Excl",MasterFees[[#This Row],[Fee as Printed]]*(1+GST_Rate),""))</f>
        <v/>
      </c>
      <c r="O835" s="42">
        <f>IF(N(MasterFees[[#This Row],[Total Units]])=0,"",MasterFees[[#This Row],[Fee as Printed]]/MasterFees[[#This Row],[Total Units]])</f>
        <v>54.895569620253163</v>
      </c>
      <c r="P835" s="43"/>
      <c r="Q835" s="46" t="s">
        <v>1013</v>
      </c>
      <c r="R835" s="46" t="s">
        <v>1943</v>
      </c>
      <c r="S835" s="37"/>
    </row>
    <row r="836" spans="1:19" x14ac:dyDescent="0.2">
      <c r="A836" s="36"/>
      <c r="B836" s="38" t="str">
        <f>IF(MasterFees[[#This Row],[RVG Code]]="","",_xlfn.XLOOKUP(MasterFees[[#This Row],[RVG Code]],RVGCodes[Code],RVGCodes[Base Units],"Code not found"))</f>
        <v/>
      </c>
      <c r="C836" s="37" t="s">
        <v>828</v>
      </c>
      <c r="D836" s="44" t="s">
        <v>1108</v>
      </c>
      <c r="E836" s="44"/>
      <c r="F836" s="44" t="s">
        <v>1109</v>
      </c>
      <c r="G836" s="39">
        <v>8</v>
      </c>
      <c r="H836" s="39">
        <v>4</v>
      </c>
      <c r="I836" s="39">
        <v>1</v>
      </c>
      <c r="J836" s="39">
        <v>13</v>
      </c>
      <c r="K836" s="40">
        <v>715</v>
      </c>
      <c r="L836" s="45" t="s">
        <v>1015</v>
      </c>
      <c r="M836" s="41" t="str">
        <f>IF(MasterFees[[#This Row],[GST Basis]]="Excl",MasterFees[[#This Row],[Fee as Printed]],IF(MasterFees[[#This Row],[GST Basis]]="Incl",MasterFees[[#This Row],[Fee as Printed]]/(1+GST_Rate),""))</f>
        <v/>
      </c>
      <c r="N836" s="41" t="str">
        <f>IF(MasterFees[[#This Row],[GST Basis]]="Incl",MasterFees[[#This Row],[Fee as Printed]],IF(MasterFees[[#This Row],[GST Basis]]="Excl",MasterFees[[#This Row],[Fee as Printed]]*(1+GST_Rate),""))</f>
        <v/>
      </c>
      <c r="O836" s="42">
        <f>IF(N(MasterFees[[#This Row],[Total Units]])=0,"",MasterFees[[#This Row],[Fee as Printed]]/MasterFees[[#This Row],[Total Units]])</f>
        <v>55</v>
      </c>
      <c r="P836" s="43"/>
      <c r="Q836" s="46" t="s">
        <v>1013</v>
      </c>
      <c r="R836" s="46" t="s">
        <v>1944</v>
      </c>
      <c r="S836" s="37"/>
    </row>
    <row r="837" spans="1:19" x14ac:dyDescent="0.2">
      <c r="A837" s="36"/>
      <c r="B837" s="38" t="str">
        <f>IF(MasterFees[[#This Row],[RVG Code]]="","",_xlfn.XLOOKUP(MasterFees[[#This Row],[RVG Code]],RVGCodes[Code],RVGCodes[Base Units],"Code not found"))</f>
        <v/>
      </c>
      <c r="C837" s="37" t="s">
        <v>829</v>
      </c>
      <c r="D837" s="44" t="s">
        <v>1108</v>
      </c>
      <c r="E837" s="44"/>
      <c r="F837" s="44" t="s">
        <v>1109</v>
      </c>
      <c r="G837" s="39">
        <v>8</v>
      </c>
      <c r="H837" s="39">
        <v>7.3</v>
      </c>
      <c r="I837" s="39">
        <v>2.8</v>
      </c>
      <c r="J837" s="39">
        <v>18.2</v>
      </c>
      <c r="K837" s="40">
        <v>998.8</v>
      </c>
      <c r="L837" s="45" t="s">
        <v>1015</v>
      </c>
      <c r="M837" s="41" t="str">
        <f>IF(MasterFees[[#This Row],[GST Basis]]="Excl",MasterFees[[#This Row],[Fee as Printed]],IF(MasterFees[[#This Row],[GST Basis]]="Incl",MasterFees[[#This Row],[Fee as Printed]]/(1+GST_Rate),""))</f>
        <v/>
      </c>
      <c r="N837" s="41" t="str">
        <f>IF(MasterFees[[#This Row],[GST Basis]]="Incl",MasterFees[[#This Row],[Fee as Printed]],IF(MasterFees[[#This Row],[GST Basis]]="Excl",MasterFees[[#This Row],[Fee as Printed]]*(1+GST_Rate),""))</f>
        <v/>
      </c>
      <c r="O837" s="42">
        <f>IF(N(MasterFees[[#This Row],[Total Units]])=0,"",MasterFees[[#This Row],[Fee as Printed]]/MasterFees[[#This Row],[Total Units]])</f>
        <v>54.879120879120876</v>
      </c>
      <c r="P837" s="43"/>
      <c r="Q837" s="46" t="s">
        <v>1013</v>
      </c>
      <c r="R837" s="46" t="s">
        <v>1945</v>
      </c>
      <c r="S837" s="37"/>
    </row>
    <row r="838" spans="1:19" x14ac:dyDescent="0.2">
      <c r="A838" s="36"/>
      <c r="B838" s="38" t="str">
        <f>IF(MasterFees[[#This Row],[RVG Code]]="","",_xlfn.XLOOKUP(MasterFees[[#This Row],[RVG Code]],RVGCodes[Code],RVGCodes[Base Units],"Code not found"))</f>
        <v/>
      </c>
      <c r="C838" s="37" t="s">
        <v>830</v>
      </c>
      <c r="D838" s="44" t="s">
        <v>1108</v>
      </c>
      <c r="E838" s="44"/>
      <c r="F838" s="44" t="s">
        <v>1109</v>
      </c>
      <c r="G838" s="39">
        <v>2</v>
      </c>
      <c r="H838" s="39">
        <v>2</v>
      </c>
      <c r="I838" s="39">
        <v>0</v>
      </c>
      <c r="J838" s="39">
        <v>4</v>
      </c>
      <c r="K838" s="40">
        <v>220</v>
      </c>
      <c r="L838" s="45" t="s">
        <v>1015</v>
      </c>
      <c r="M838" s="41" t="str">
        <f>IF(MasterFees[[#This Row],[GST Basis]]="Excl",MasterFees[[#This Row],[Fee as Printed]],IF(MasterFees[[#This Row],[GST Basis]]="Incl",MasterFees[[#This Row],[Fee as Printed]]/(1+GST_Rate),""))</f>
        <v/>
      </c>
      <c r="N838" s="41" t="str">
        <f>IF(MasterFees[[#This Row],[GST Basis]]="Incl",MasterFees[[#This Row],[Fee as Printed]],IF(MasterFees[[#This Row],[GST Basis]]="Excl",MasterFees[[#This Row],[Fee as Printed]]*(1+GST_Rate),""))</f>
        <v/>
      </c>
      <c r="O838" s="42">
        <f>IF(N(MasterFees[[#This Row],[Total Units]])=0,"",MasterFees[[#This Row],[Fee as Printed]]/MasterFees[[#This Row],[Total Units]])</f>
        <v>55</v>
      </c>
      <c r="P838" s="43"/>
      <c r="Q838" s="46" t="s">
        <v>1013</v>
      </c>
      <c r="R838" s="46" t="s">
        <v>1946</v>
      </c>
      <c r="S838" s="37"/>
    </row>
    <row r="839" spans="1:19" x14ac:dyDescent="0.2">
      <c r="A839" s="36"/>
      <c r="B839" s="38" t="str">
        <f>IF(MasterFees[[#This Row],[RVG Code]]="","",_xlfn.XLOOKUP(MasterFees[[#This Row],[RVG Code]],RVGCodes[Code],RVGCodes[Base Units],"Code not found"))</f>
        <v/>
      </c>
      <c r="C839" s="37" t="s">
        <v>831</v>
      </c>
      <c r="D839" s="44" t="s">
        <v>1108</v>
      </c>
      <c r="E839" s="44"/>
      <c r="F839" s="44" t="s">
        <v>1109</v>
      </c>
      <c r="G839" s="39">
        <v>4</v>
      </c>
      <c r="H839" s="39">
        <v>2</v>
      </c>
      <c r="I839" s="39">
        <v>0</v>
      </c>
      <c r="J839" s="39">
        <v>6</v>
      </c>
      <c r="K839" s="40">
        <v>330</v>
      </c>
      <c r="L839" s="45" t="s">
        <v>1015</v>
      </c>
      <c r="M839" s="41" t="str">
        <f>IF(MasterFees[[#This Row],[GST Basis]]="Excl",MasterFees[[#This Row],[Fee as Printed]],IF(MasterFees[[#This Row],[GST Basis]]="Incl",MasterFees[[#This Row],[Fee as Printed]]/(1+GST_Rate),""))</f>
        <v/>
      </c>
      <c r="N839" s="41" t="str">
        <f>IF(MasterFees[[#This Row],[GST Basis]]="Incl",MasterFees[[#This Row],[Fee as Printed]],IF(MasterFees[[#This Row],[GST Basis]]="Excl",MasterFees[[#This Row],[Fee as Printed]]*(1+GST_Rate),""))</f>
        <v/>
      </c>
      <c r="O839" s="42">
        <f>IF(N(MasterFees[[#This Row],[Total Units]])=0,"",MasterFees[[#This Row],[Fee as Printed]]/MasterFees[[#This Row],[Total Units]])</f>
        <v>55</v>
      </c>
      <c r="P839" s="43"/>
      <c r="Q839" s="46" t="s">
        <v>1013</v>
      </c>
      <c r="R839" s="46" t="s">
        <v>1947</v>
      </c>
      <c r="S839" s="37"/>
    </row>
    <row r="840" spans="1:19" x14ac:dyDescent="0.2">
      <c r="A840" s="36"/>
      <c r="B840" s="38" t="str">
        <f>IF(MasterFees[[#This Row],[RVG Code]]="","",_xlfn.XLOOKUP(MasterFees[[#This Row],[RVG Code]],RVGCodes[Code],RVGCodes[Base Units],"Code not found"))</f>
        <v/>
      </c>
      <c r="C840" s="37" t="s">
        <v>832</v>
      </c>
      <c r="D840" s="44" t="s">
        <v>1108</v>
      </c>
      <c r="E840" s="44"/>
      <c r="F840" s="44" t="s">
        <v>1109</v>
      </c>
      <c r="G840" s="39">
        <v>14</v>
      </c>
      <c r="H840" s="39">
        <v>21</v>
      </c>
      <c r="I840" s="39">
        <v>1</v>
      </c>
      <c r="J840" s="39">
        <v>36</v>
      </c>
      <c r="K840" s="40">
        <v>1980</v>
      </c>
      <c r="L840" s="45" t="s">
        <v>1015</v>
      </c>
      <c r="M840" s="41" t="str">
        <f>IF(MasterFees[[#This Row],[GST Basis]]="Excl",MasterFees[[#This Row],[Fee as Printed]],IF(MasterFees[[#This Row],[GST Basis]]="Incl",MasterFees[[#This Row],[Fee as Printed]]/(1+GST_Rate),""))</f>
        <v/>
      </c>
      <c r="N840" s="41" t="str">
        <f>IF(MasterFees[[#This Row],[GST Basis]]="Incl",MasterFees[[#This Row],[Fee as Printed]],IF(MasterFees[[#This Row],[GST Basis]]="Excl",MasterFees[[#This Row],[Fee as Printed]]*(1+GST_Rate),""))</f>
        <v/>
      </c>
      <c r="O840" s="42">
        <f>IF(N(MasterFees[[#This Row],[Total Units]])=0,"",MasterFees[[#This Row],[Fee as Printed]]/MasterFees[[#This Row],[Total Units]])</f>
        <v>55</v>
      </c>
      <c r="P840" s="43"/>
      <c r="Q840" s="46" t="s">
        <v>1013</v>
      </c>
      <c r="R840" s="46" t="s">
        <v>1948</v>
      </c>
      <c r="S840" s="37"/>
    </row>
    <row r="841" spans="1:19" x14ac:dyDescent="0.2">
      <c r="A841" s="36"/>
      <c r="B841" s="38" t="str">
        <f>IF(MasterFees[[#This Row],[RVG Code]]="","",_xlfn.XLOOKUP(MasterFees[[#This Row],[RVG Code]],RVGCodes[Code],RVGCodes[Base Units],"Code not found"))</f>
        <v/>
      </c>
      <c r="C841" s="37" t="s">
        <v>833</v>
      </c>
      <c r="D841" s="44" t="s">
        <v>1108</v>
      </c>
      <c r="E841" s="44"/>
      <c r="F841" s="44" t="s">
        <v>1109</v>
      </c>
      <c r="G841" s="39">
        <v>3.7</v>
      </c>
      <c r="H841" s="39">
        <v>4</v>
      </c>
      <c r="I841" s="39">
        <v>0.2</v>
      </c>
      <c r="J841" s="39">
        <v>7.8</v>
      </c>
      <c r="K841" s="40">
        <v>430.1</v>
      </c>
      <c r="L841" s="45" t="s">
        <v>1015</v>
      </c>
      <c r="M841" s="41" t="str">
        <f>IF(MasterFees[[#This Row],[GST Basis]]="Excl",MasterFees[[#This Row],[Fee as Printed]],IF(MasterFees[[#This Row],[GST Basis]]="Incl",MasterFees[[#This Row],[Fee as Printed]]/(1+GST_Rate),""))</f>
        <v/>
      </c>
      <c r="N841" s="41" t="str">
        <f>IF(MasterFees[[#This Row],[GST Basis]]="Incl",MasterFees[[#This Row],[Fee as Printed]],IF(MasterFees[[#This Row],[GST Basis]]="Excl",MasterFees[[#This Row],[Fee as Printed]]*(1+GST_Rate),""))</f>
        <v/>
      </c>
      <c r="O841" s="42">
        <f>IF(N(MasterFees[[#This Row],[Total Units]])=0,"",MasterFees[[#This Row],[Fee as Printed]]/MasterFees[[#This Row],[Total Units]])</f>
        <v>55.141025641025642</v>
      </c>
      <c r="P841" s="43"/>
      <c r="Q841" s="46" t="s">
        <v>1013</v>
      </c>
      <c r="R841" s="46" t="s">
        <v>1949</v>
      </c>
      <c r="S841" s="37"/>
    </row>
    <row r="842" spans="1:19" x14ac:dyDescent="0.2">
      <c r="A842" s="36"/>
      <c r="B842" s="38" t="str">
        <f>IF(MasterFees[[#This Row],[RVG Code]]="","",_xlfn.XLOOKUP(MasterFees[[#This Row],[RVG Code]],RVGCodes[Code],RVGCodes[Base Units],"Code not found"))</f>
        <v/>
      </c>
      <c r="C842" s="37" t="s">
        <v>834</v>
      </c>
      <c r="D842" s="44" t="s">
        <v>1108</v>
      </c>
      <c r="E842" s="44"/>
      <c r="F842" s="44" t="s">
        <v>1109</v>
      </c>
      <c r="G842" s="39">
        <v>3.7</v>
      </c>
      <c r="H842" s="39">
        <v>3.7</v>
      </c>
      <c r="I842" s="39">
        <v>0.7</v>
      </c>
      <c r="J842" s="39">
        <v>8.1</v>
      </c>
      <c r="K842" s="40">
        <v>445.5</v>
      </c>
      <c r="L842" s="45" t="s">
        <v>1015</v>
      </c>
      <c r="M842" s="41" t="str">
        <f>IF(MasterFees[[#This Row],[GST Basis]]="Excl",MasterFees[[#This Row],[Fee as Printed]],IF(MasterFees[[#This Row],[GST Basis]]="Incl",MasterFees[[#This Row],[Fee as Printed]]/(1+GST_Rate),""))</f>
        <v/>
      </c>
      <c r="N842" s="41" t="str">
        <f>IF(MasterFees[[#This Row],[GST Basis]]="Incl",MasterFees[[#This Row],[Fee as Printed]],IF(MasterFees[[#This Row],[GST Basis]]="Excl",MasterFees[[#This Row],[Fee as Printed]]*(1+GST_Rate),""))</f>
        <v/>
      </c>
      <c r="O842" s="42">
        <f>IF(N(MasterFees[[#This Row],[Total Units]])=0,"",MasterFees[[#This Row],[Fee as Printed]]/MasterFees[[#This Row],[Total Units]])</f>
        <v>55</v>
      </c>
      <c r="P842" s="43"/>
      <c r="Q842" s="46" t="s">
        <v>1013</v>
      </c>
      <c r="R842" s="46" t="s">
        <v>1950</v>
      </c>
      <c r="S842" s="37"/>
    </row>
    <row r="843" spans="1:19" x14ac:dyDescent="0.2">
      <c r="A843" s="36"/>
      <c r="B843" s="38" t="str">
        <f>IF(MasterFees[[#This Row],[RVG Code]]="","",_xlfn.XLOOKUP(MasterFees[[#This Row],[RVG Code]],RVGCodes[Code],RVGCodes[Base Units],"Code not found"))</f>
        <v/>
      </c>
      <c r="C843" s="37" t="s">
        <v>835</v>
      </c>
      <c r="D843" s="44" t="s">
        <v>1108</v>
      </c>
      <c r="E843" s="44"/>
      <c r="F843" s="44" t="s">
        <v>1109</v>
      </c>
      <c r="G843" s="39">
        <v>0</v>
      </c>
      <c r="H843" s="39">
        <v>6</v>
      </c>
      <c r="I843" s="39">
        <v>0</v>
      </c>
      <c r="J843" s="39">
        <v>6</v>
      </c>
      <c r="K843" s="40">
        <v>330</v>
      </c>
      <c r="L843" s="45" t="s">
        <v>1015</v>
      </c>
      <c r="M843" s="41" t="str">
        <f>IF(MasterFees[[#This Row],[GST Basis]]="Excl",MasterFees[[#This Row],[Fee as Printed]],IF(MasterFees[[#This Row],[GST Basis]]="Incl",MasterFees[[#This Row],[Fee as Printed]]/(1+GST_Rate),""))</f>
        <v/>
      </c>
      <c r="N843" s="41" t="str">
        <f>IF(MasterFees[[#This Row],[GST Basis]]="Incl",MasterFees[[#This Row],[Fee as Printed]],IF(MasterFees[[#This Row],[GST Basis]]="Excl",MasterFees[[#This Row],[Fee as Printed]]*(1+GST_Rate),""))</f>
        <v/>
      </c>
      <c r="O843" s="42">
        <f>IF(N(MasterFees[[#This Row],[Total Units]])=0,"",MasterFees[[#This Row],[Fee as Printed]]/MasterFees[[#This Row],[Total Units]])</f>
        <v>55</v>
      </c>
      <c r="P843" s="43"/>
      <c r="Q843" s="46" t="s">
        <v>1013</v>
      </c>
      <c r="R843" s="46" t="s">
        <v>1951</v>
      </c>
      <c r="S843" s="37"/>
    </row>
    <row r="844" spans="1:19" x14ac:dyDescent="0.2">
      <c r="A844" s="36"/>
      <c r="B844" s="38" t="str">
        <f>IF(MasterFees[[#This Row],[RVG Code]]="","",_xlfn.XLOOKUP(MasterFees[[#This Row],[RVG Code]],RVGCodes[Code],RVGCodes[Base Units],"Code not found"))</f>
        <v/>
      </c>
      <c r="C844" s="37" t="s">
        <v>836</v>
      </c>
      <c r="D844" s="44" t="s">
        <v>1108</v>
      </c>
      <c r="E844" s="44"/>
      <c r="F844" s="44" t="s">
        <v>1109</v>
      </c>
      <c r="G844" s="39">
        <v>4</v>
      </c>
      <c r="H844" s="39">
        <v>4</v>
      </c>
      <c r="I844" s="39">
        <v>0.5</v>
      </c>
      <c r="J844" s="39">
        <v>8.5</v>
      </c>
      <c r="K844" s="40">
        <v>467.5</v>
      </c>
      <c r="L844" s="45" t="s">
        <v>1015</v>
      </c>
      <c r="M844" s="41" t="str">
        <f>IF(MasterFees[[#This Row],[GST Basis]]="Excl",MasterFees[[#This Row],[Fee as Printed]],IF(MasterFees[[#This Row],[GST Basis]]="Incl",MasterFees[[#This Row],[Fee as Printed]]/(1+GST_Rate),""))</f>
        <v/>
      </c>
      <c r="N844" s="41" t="str">
        <f>IF(MasterFees[[#This Row],[GST Basis]]="Incl",MasterFees[[#This Row],[Fee as Printed]],IF(MasterFees[[#This Row],[GST Basis]]="Excl",MasterFees[[#This Row],[Fee as Printed]]*(1+GST_Rate),""))</f>
        <v/>
      </c>
      <c r="O844" s="42">
        <f>IF(N(MasterFees[[#This Row],[Total Units]])=0,"",MasterFees[[#This Row],[Fee as Printed]]/MasterFees[[#This Row],[Total Units]])</f>
        <v>55</v>
      </c>
      <c r="P844" s="43"/>
      <c r="Q844" s="46" t="s">
        <v>1013</v>
      </c>
      <c r="R844" s="46" t="s">
        <v>1952</v>
      </c>
      <c r="S844" s="37"/>
    </row>
    <row r="845" spans="1:19" x14ac:dyDescent="0.2">
      <c r="A845" s="36"/>
      <c r="B845" s="38" t="str">
        <f>IF(MasterFees[[#This Row],[RVG Code]]="","",_xlfn.XLOOKUP(MasterFees[[#This Row],[RVG Code]],RVGCodes[Code],RVGCodes[Base Units],"Code not found"))</f>
        <v/>
      </c>
      <c r="C845" s="37" t="s">
        <v>837</v>
      </c>
      <c r="D845" s="44" t="s">
        <v>1108</v>
      </c>
      <c r="E845" s="44"/>
      <c r="F845" s="44" t="s">
        <v>1109</v>
      </c>
      <c r="G845" s="39">
        <v>10</v>
      </c>
      <c r="H845" s="39">
        <v>15.2</v>
      </c>
      <c r="I845" s="39">
        <v>0.4</v>
      </c>
      <c r="J845" s="39">
        <v>25.6</v>
      </c>
      <c r="K845" s="40">
        <v>1409.65</v>
      </c>
      <c r="L845" s="45" t="s">
        <v>1015</v>
      </c>
      <c r="M845" s="41" t="str">
        <f>IF(MasterFees[[#This Row],[GST Basis]]="Excl",MasterFees[[#This Row],[Fee as Printed]],IF(MasterFees[[#This Row],[GST Basis]]="Incl",MasterFees[[#This Row],[Fee as Printed]]/(1+GST_Rate),""))</f>
        <v/>
      </c>
      <c r="N845" s="41" t="str">
        <f>IF(MasterFees[[#This Row],[GST Basis]]="Incl",MasterFees[[#This Row],[Fee as Printed]],IF(MasterFees[[#This Row],[GST Basis]]="Excl",MasterFees[[#This Row],[Fee as Printed]]*(1+GST_Rate),""))</f>
        <v/>
      </c>
      <c r="O845" s="42">
        <f>IF(N(MasterFees[[#This Row],[Total Units]])=0,"",MasterFees[[#This Row],[Fee as Printed]]/MasterFees[[#This Row],[Total Units]])</f>
        <v>55.064453125</v>
      </c>
      <c r="P845" s="43"/>
      <c r="Q845" s="46" t="s">
        <v>1013</v>
      </c>
      <c r="R845" s="46" t="s">
        <v>1953</v>
      </c>
      <c r="S845" s="37"/>
    </row>
    <row r="846" spans="1:19" x14ac:dyDescent="0.2">
      <c r="A846" s="36"/>
      <c r="B846" s="38" t="str">
        <f>IF(MasterFees[[#This Row],[RVG Code]]="","",_xlfn.XLOOKUP(MasterFees[[#This Row],[RVG Code]],RVGCodes[Code],RVGCodes[Base Units],"Code not found"))</f>
        <v/>
      </c>
      <c r="C846" s="37" t="s">
        <v>838</v>
      </c>
      <c r="D846" s="44" t="s">
        <v>1108</v>
      </c>
      <c r="E846" s="44"/>
      <c r="F846" s="44" t="s">
        <v>1109</v>
      </c>
      <c r="G846" s="39">
        <v>9.9</v>
      </c>
      <c r="H846" s="39">
        <v>15.4</v>
      </c>
      <c r="I846" s="39">
        <v>0.6</v>
      </c>
      <c r="J846" s="39">
        <v>25.9</v>
      </c>
      <c r="K846" s="40">
        <v>1423.95</v>
      </c>
      <c r="L846" s="45" t="s">
        <v>1015</v>
      </c>
      <c r="M846" s="41" t="str">
        <f>IF(MasterFees[[#This Row],[GST Basis]]="Excl",MasterFees[[#This Row],[Fee as Printed]],IF(MasterFees[[#This Row],[GST Basis]]="Incl",MasterFees[[#This Row],[Fee as Printed]]/(1+GST_Rate),""))</f>
        <v/>
      </c>
      <c r="N846" s="41" t="str">
        <f>IF(MasterFees[[#This Row],[GST Basis]]="Incl",MasterFees[[#This Row],[Fee as Printed]],IF(MasterFees[[#This Row],[GST Basis]]="Excl",MasterFees[[#This Row],[Fee as Printed]]*(1+GST_Rate),""))</f>
        <v/>
      </c>
      <c r="O846" s="42">
        <f>IF(N(MasterFees[[#This Row],[Total Units]])=0,"",MasterFees[[#This Row],[Fee as Printed]]/MasterFees[[#This Row],[Total Units]])</f>
        <v>54.978764478764482</v>
      </c>
      <c r="P846" s="43"/>
      <c r="Q846" s="46" t="s">
        <v>1013</v>
      </c>
      <c r="R846" s="46" t="s">
        <v>1954</v>
      </c>
      <c r="S846" s="37"/>
    </row>
    <row r="847" spans="1:19" x14ac:dyDescent="0.2">
      <c r="A847" s="36"/>
      <c r="B847" s="38" t="str">
        <f>IF(MasterFees[[#This Row],[RVG Code]]="","",_xlfn.XLOOKUP(MasterFees[[#This Row],[RVG Code]],RVGCodes[Code],RVGCodes[Base Units],"Code not found"))</f>
        <v/>
      </c>
      <c r="C847" s="37" t="s">
        <v>839</v>
      </c>
      <c r="D847" s="44" t="s">
        <v>1108</v>
      </c>
      <c r="E847" s="44"/>
      <c r="F847" s="44" t="s">
        <v>1109</v>
      </c>
      <c r="G847" s="39">
        <v>10</v>
      </c>
      <c r="H847" s="39">
        <v>16.5</v>
      </c>
      <c r="I847" s="39">
        <v>0.5</v>
      </c>
      <c r="J847" s="39">
        <v>27</v>
      </c>
      <c r="K847" s="40">
        <v>1485</v>
      </c>
      <c r="L847" s="45" t="s">
        <v>1015</v>
      </c>
      <c r="M847" s="41" t="str">
        <f>IF(MasterFees[[#This Row],[GST Basis]]="Excl",MasterFees[[#This Row],[Fee as Printed]],IF(MasterFees[[#This Row],[GST Basis]]="Incl",MasterFees[[#This Row],[Fee as Printed]]/(1+GST_Rate),""))</f>
        <v/>
      </c>
      <c r="N847" s="41" t="str">
        <f>IF(MasterFees[[#This Row],[GST Basis]]="Incl",MasterFees[[#This Row],[Fee as Printed]],IF(MasterFees[[#This Row],[GST Basis]]="Excl",MasterFees[[#This Row],[Fee as Printed]]*(1+GST_Rate),""))</f>
        <v/>
      </c>
      <c r="O847" s="42">
        <f>IF(N(MasterFees[[#This Row],[Total Units]])=0,"",MasterFees[[#This Row],[Fee as Printed]]/MasterFees[[#This Row],[Total Units]])</f>
        <v>55</v>
      </c>
      <c r="P847" s="43"/>
      <c r="Q847" s="46" t="s">
        <v>1013</v>
      </c>
      <c r="R847" s="46" t="s">
        <v>1955</v>
      </c>
      <c r="S847" s="37"/>
    </row>
    <row r="848" spans="1:19" x14ac:dyDescent="0.2">
      <c r="A848" s="36"/>
      <c r="B848" s="38" t="str">
        <f>IF(MasterFees[[#This Row],[RVG Code]]="","",_xlfn.XLOOKUP(MasterFees[[#This Row],[RVG Code]],RVGCodes[Code],RVGCodes[Base Units],"Code not found"))</f>
        <v/>
      </c>
      <c r="C848" s="37" t="s">
        <v>840</v>
      </c>
      <c r="D848" s="44" t="s">
        <v>1108</v>
      </c>
      <c r="E848" s="44"/>
      <c r="F848" s="44" t="s">
        <v>1109</v>
      </c>
      <c r="G848" s="39">
        <v>9.9</v>
      </c>
      <c r="H848" s="39">
        <v>17.5</v>
      </c>
      <c r="I848" s="39">
        <v>0.5</v>
      </c>
      <c r="J848" s="39">
        <v>28</v>
      </c>
      <c r="K848" s="40">
        <v>1537.25</v>
      </c>
      <c r="L848" s="45" t="s">
        <v>1015</v>
      </c>
      <c r="M848" s="41" t="str">
        <f>IF(MasterFees[[#This Row],[GST Basis]]="Excl",MasterFees[[#This Row],[Fee as Printed]],IF(MasterFees[[#This Row],[GST Basis]]="Incl",MasterFees[[#This Row],[Fee as Printed]]/(1+GST_Rate),""))</f>
        <v/>
      </c>
      <c r="N848" s="41" t="str">
        <f>IF(MasterFees[[#This Row],[GST Basis]]="Incl",MasterFees[[#This Row],[Fee as Printed]],IF(MasterFees[[#This Row],[GST Basis]]="Excl",MasterFees[[#This Row],[Fee as Printed]]*(1+GST_Rate),""))</f>
        <v/>
      </c>
      <c r="O848" s="42">
        <f>IF(N(MasterFees[[#This Row],[Total Units]])=0,"",MasterFees[[#This Row],[Fee as Printed]]/MasterFees[[#This Row],[Total Units]])</f>
        <v>54.901785714285715</v>
      </c>
      <c r="P848" s="43"/>
      <c r="Q848" s="46" t="s">
        <v>1013</v>
      </c>
      <c r="R848" s="46" t="s">
        <v>1956</v>
      </c>
      <c r="S848" s="37"/>
    </row>
    <row r="849" spans="1:19" x14ac:dyDescent="0.2">
      <c r="A849" s="36"/>
      <c r="B849" s="38" t="str">
        <f>IF(MasterFees[[#This Row],[RVG Code]]="","",_xlfn.XLOOKUP(MasterFees[[#This Row],[RVG Code]],RVGCodes[Code],RVGCodes[Base Units],"Code not found"))</f>
        <v/>
      </c>
      <c r="C849" s="37" t="s">
        <v>841</v>
      </c>
      <c r="D849" s="44" t="s">
        <v>1108</v>
      </c>
      <c r="E849" s="44"/>
      <c r="F849" s="44" t="s">
        <v>1109</v>
      </c>
      <c r="G849" s="39">
        <v>9.8000000000000007</v>
      </c>
      <c r="H849" s="39">
        <v>15.1</v>
      </c>
      <c r="I849" s="39">
        <v>0.4</v>
      </c>
      <c r="J849" s="39">
        <v>25.4</v>
      </c>
      <c r="K849" s="40">
        <v>1394.8</v>
      </c>
      <c r="L849" s="45" t="s">
        <v>1015</v>
      </c>
      <c r="M849" s="41" t="str">
        <f>IF(MasterFees[[#This Row],[GST Basis]]="Excl",MasterFees[[#This Row],[Fee as Printed]],IF(MasterFees[[#This Row],[GST Basis]]="Incl",MasterFees[[#This Row],[Fee as Printed]]/(1+GST_Rate),""))</f>
        <v/>
      </c>
      <c r="N849" s="41" t="str">
        <f>IF(MasterFees[[#This Row],[GST Basis]]="Incl",MasterFees[[#This Row],[Fee as Printed]],IF(MasterFees[[#This Row],[GST Basis]]="Excl",MasterFees[[#This Row],[Fee as Printed]]*(1+GST_Rate),""))</f>
        <v/>
      </c>
      <c r="O849" s="42">
        <f>IF(N(MasterFees[[#This Row],[Total Units]])=0,"",MasterFees[[#This Row],[Fee as Printed]]/MasterFees[[#This Row],[Total Units]])</f>
        <v>54.913385826771652</v>
      </c>
      <c r="P849" s="43"/>
      <c r="Q849" s="46" t="s">
        <v>1013</v>
      </c>
      <c r="R849" s="46" t="s">
        <v>1957</v>
      </c>
      <c r="S849" s="37"/>
    </row>
    <row r="850" spans="1:19" x14ac:dyDescent="0.2">
      <c r="A850" s="36"/>
      <c r="B850" s="38" t="str">
        <f>IF(MasterFees[[#This Row],[RVG Code]]="","",_xlfn.XLOOKUP(MasterFees[[#This Row],[RVG Code]],RVGCodes[Code],RVGCodes[Base Units],"Code not found"))</f>
        <v/>
      </c>
      <c r="C850" s="37" t="s">
        <v>842</v>
      </c>
      <c r="D850" s="44" t="s">
        <v>1108</v>
      </c>
      <c r="E850" s="44"/>
      <c r="F850" s="44" t="s">
        <v>1109</v>
      </c>
      <c r="G850" s="39">
        <v>9.5</v>
      </c>
      <c r="H850" s="39">
        <v>15.5</v>
      </c>
      <c r="I850" s="39">
        <v>0.7</v>
      </c>
      <c r="J850" s="39">
        <v>25.8</v>
      </c>
      <c r="K850" s="40">
        <v>1418.45</v>
      </c>
      <c r="L850" s="45" t="s">
        <v>1015</v>
      </c>
      <c r="M850" s="41" t="str">
        <f>IF(MasterFees[[#This Row],[GST Basis]]="Excl",MasterFees[[#This Row],[Fee as Printed]],IF(MasterFees[[#This Row],[GST Basis]]="Incl",MasterFees[[#This Row],[Fee as Printed]]/(1+GST_Rate),""))</f>
        <v/>
      </c>
      <c r="N850" s="41" t="str">
        <f>IF(MasterFees[[#This Row],[GST Basis]]="Incl",MasterFees[[#This Row],[Fee as Printed]],IF(MasterFees[[#This Row],[GST Basis]]="Excl",MasterFees[[#This Row],[Fee as Printed]]*(1+GST_Rate),""))</f>
        <v/>
      </c>
      <c r="O850" s="42">
        <f>IF(N(MasterFees[[#This Row],[Total Units]])=0,"",MasterFees[[#This Row],[Fee as Printed]]/MasterFees[[#This Row],[Total Units]])</f>
        <v>54.978682170542633</v>
      </c>
      <c r="P850" s="43"/>
      <c r="Q850" s="46" t="s">
        <v>1013</v>
      </c>
      <c r="R850" s="46" t="s">
        <v>1958</v>
      </c>
      <c r="S850" s="37"/>
    </row>
    <row r="851" spans="1:19" x14ac:dyDescent="0.2">
      <c r="A851" s="36"/>
      <c r="B851" s="38" t="str">
        <f>IF(MasterFees[[#This Row],[RVG Code]]="","",_xlfn.XLOOKUP(MasterFees[[#This Row],[RVG Code]],RVGCodes[Code],RVGCodes[Base Units],"Code not found"))</f>
        <v/>
      </c>
      <c r="C851" s="37" t="s">
        <v>843</v>
      </c>
      <c r="D851" s="44" t="s">
        <v>1108</v>
      </c>
      <c r="E851" s="44"/>
      <c r="F851" s="44" t="s">
        <v>1109</v>
      </c>
      <c r="G851" s="39">
        <v>5.8</v>
      </c>
      <c r="H851" s="39">
        <v>6.1</v>
      </c>
      <c r="I851" s="39">
        <v>1</v>
      </c>
      <c r="J851" s="39">
        <v>12.9</v>
      </c>
      <c r="K851" s="40">
        <v>711.15</v>
      </c>
      <c r="L851" s="45" t="s">
        <v>1015</v>
      </c>
      <c r="M851" s="41" t="str">
        <f>IF(MasterFees[[#This Row],[GST Basis]]="Excl",MasterFees[[#This Row],[Fee as Printed]],IF(MasterFees[[#This Row],[GST Basis]]="Incl",MasterFees[[#This Row],[Fee as Printed]]/(1+GST_Rate),""))</f>
        <v/>
      </c>
      <c r="N851" s="41" t="str">
        <f>IF(MasterFees[[#This Row],[GST Basis]]="Incl",MasterFees[[#This Row],[Fee as Printed]],IF(MasterFees[[#This Row],[GST Basis]]="Excl",MasterFees[[#This Row],[Fee as Printed]]*(1+GST_Rate),""))</f>
        <v/>
      </c>
      <c r="O851" s="42">
        <f>IF(N(MasterFees[[#This Row],[Total Units]])=0,"",MasterFees[[#This Row],[Fee as Printed]]/MasterFees[[#This Row],[Total Units]])</f>
        <v>55.127906976744185</v>
      </c>
      <c r="P851" s="43"/>
      <c r="Q851" s="46" t="s">
        <v>1013</v>
      </c>
      <c r="R851" s="46" t="s">
        <v>1959</v>
      </c>
      <c r="S851" s="37"/>
    </row>
    <row r="852" spans="1:19" x14ac:dyDescent="0.2">
      <c r="A852" s="36"/>
      <c r="B852" s="38" t="str">
        <f>IF(MasterFees[[#This Row],[RVG Code]]="","",_xlfn.XLOOKUP(MasterFees[[#This Row],[RVG Code]],RVGCodes[Code],RVGCodes[Base Units],"Code not found"))</f>
        <v/>
      </c>
      <c r="C852" s="37" t="s">
        <v>844</v>
      </c>
      <c r="D852" s="44" t="s">
        <v>1108</v>
      </c>
      <c r="E852" s="44"/>
      <c r="F852" s="44" t="s">
        <v>1109</v>
      </c>
      <c r="G852" s="39">
        <v>4.5</v>
      </c>
      <c r="H852" s="39">
        <v>7</v>
      </c>
      <c r="I852" s="39">
        <v>3</v>
      </c>
      <c r="J852" s="39">
        <v>14.5</v>
      </c>
      <c r="K852" s="40">
        <v>797.5</v>
      </c>
      <c r="L852" s="45" t="s">
        <v>1015</v>
      </c>
      <c r="M852" s="41" t="str">
        <f>IF(MasterFees[[#This Row],[GST Basis]]="Excl",MasterFees[[#This Row],[Fee as Printed]],IF(MasterFees[[#This Row],[GST Basis]]="Incl",MasterFees[[#This Row],[Fee as Printed]]/(1+GST_Rate),""))</f>
        <v/>
      </c>
      <c r="N852" s="41" t="str">
        <f>IF(MasterFees[[#This Row],[GST Basis]]="Incl",MasterFees[[#This Row],[Fee as Printed]],IF(MasterFees[[#This Row],[GST Basis]]="Excl",MasterFees[[#This Row],[Fee as Printed]]*(1+GST_Rate),""))</f>
        <v/>
      </c>
      <c r="O852" s="42">
        <f>IF(N(MasterFees[[#This Row],[Total Units]])=0,"",MasterFees[[#This Row],[Fee as Printed]]/MasterFees[[#This Row],[Total Units]])</f>
        <v>55</v>
      </c>
      <c r="P852" s="43"/>
      <c r="Q852" s="46" t="s">
        <v>1013</v>
      </c>
      <c r="R852" s="46" t="s">
        <v>1960</v>
      </c>
      <c r="S852" s="37"/>
    </row>
    <row r="853" spans="1:19" x14ac:dyDescent="0.2">
      <c r="A853" s="36"/>
      <c r="B853" s="38" t="str">
        <f>IF(MasterFees[[#This Row],[RVG Code]]="","",_xlfn.XLOOKUP(MasterFees[[#This Row],[RVG Code]],RVGCodes[Code],RVGCodes[Base Units],"Code not found"))</f>
        <v/>
      </c>
      <c r="C853" s="37" t="s">
        <v>845</v>
      </c>
      <c r="D853" s="44" t="s">
        <v>1108</v>
      </c>
      <c r="E853" s="44"/>
      <c r="F853" s="44" t="s">
        <v>1109</v>
      </c>
      <c r="G853" s="39">
        <v>0</v>
      </c>
      <c r="H853" s="39">
        <v>0</v>
      </c>
      <c r="I853" s="39">
        <v>0</v>
      </c>
      <c r="J853" s="39">
        <v>0</v>
      </c>
      <c r="K853" s="40">
        <v>0</v>
      </c>
      <c r="L853" s="45" t="s">
        <v>1015</v>
      </c>
      <c r="M853" s="41" t="str">
        <f>IF(MasterFees[[#This Row],[GST Basis]]="Excl",MasterFees[[#This Row],[Fee as Printed]],IF(MasterFees[[#This Row],[GST Basis]]="Incl",MasterFees[[#This Row],[Fee as Printed]]/(1+GST_Rate),""))</f>
        <v/>
      </c>
      <c r="N853" s="41" t="str">
        <f>IF(MasterFees[[#This Row],[GST Basis]]="Incl",MasterFees[[#This Row],[Fee as Printed]],IF(MasterFees[[#This Row],[GST Basis]]="Excl",MasterFees[[#This Row],[Fee as Printed]]*(1+GST_Rate),""))</f>
        <v/>
      </c>
      <c r="O853" s="42" t="str">
        <f>IF(N(MasterFees[[#This Row],[Total Units]])=0,"",MasterFees[[#This Row],[Fee as Printed]]/MasterFees[[#This Row],[Total Units]])</f>
        <v/>
      </c>
      <c r="P853" s="43"/>
      <c r="Q853" s="46" t="s">
        <v>1013</v>
      </c>
      <c r="R853" s="46" t="s">
        <v>1961</v>
      </c>
      <c r="S853" s="37"/>
    </row>
    <row r="854" spans="1:19" x14ac:dyDescent="0.2">
      <c r="A854" s="36"/>
      <c r="B854" s="38" t="str">
        <f>IF(MasterFees[[#This Row],[RVG Code]]="","",_xlfn.XLOOKUP(MasterFees[[#This Row],[RVG Code]],RVGCodes[Code],RVGCodes[Base Units],"Code not found"))</f>
        <v/>
      </c>
      <c r="C854" s="37" t="s">
        <v>846</v>
      </c>
      <c r="D854" s="44" t="s">
        <v>1108</v>
      </c>
      <c r="E854" s="44"/>
      <c r="F854" s="44" t="s">
        <v>1109</v>
      </c>
      <c r="G854" s="39">
        <v>10</v>
      </c>
      <c r="H854" s="39">
        <v>12</v>
      </c>
      <c r="I854" s="39">
        <v>1</v>
      </c>
      <c r="J854" s="39">
        <v>23</v>
      </c>
      <c r="K854" s="40">
        <v>1265</v>
      </c>
      <c r="L854" s="45" t="s">
        <v>1015</v>
      </c>
      <c r="M854" s="41" t="str">
        <f>IF(MasterFees[[#This Row],[GST Basis]]="Excl",MasterFees[[#This Row],[Fee as Printed]],IF(MasterFees[[#This Row],[GST Basis]]="Incl",MasterFees[[#This Row],[Fee as Printed]]/(1+GST_Rate),""))</f>
        <v/>
      </c>
      <c r="N854" s="41" t="str">
        <f>IF(MasterFees[[#This Row],[GST Basis]]="Incl",MasterFees[[#This Row],[Fee as Printed]],IF(MasterFees[[#This Row],[GST Basis]]="Excl",MasterFees[[#This Row],[Fee as Printed]]*(1+GST_Rate),""))</f>
        <v/>
      </c>
      <c r="O854" s="42">
        <f>IF(N(MasterFees[[#This Row],[Total Units]])=0,"",MasterFees[[#This Row],[Fee as Printed]]/MasterFees[[#This Row],[Total Units]])</f>
        <v>55</v>
      </c>
      <c r="P854" s="43"/>
      <c r="Q854" s="46" t="s">
        <v>1013</v>
      </c>
      <c r="R854" s="46" t="s">
        <v>1962</v>
      </c>
      <c r="S854" s="37"/>
    </row>
    <row r="855" spans="1:19" x14ac:dyDescent="0.2">
      <c r="A855" s="36"/>
      <c r="B855" s="38" t="str">
        <f>IF(MasterFees[[#This Row],[RVG Code]]="","",_xlfn.XLOOKUP(MasterFees[[#This Row],[RVG Code]],RVGCodes[Code],RVGCodes[Base Units],"Code not found"))</f>
        <v/>
      </c>
      <c r="C855" s="37" t="s">
        <v>847</v>
      </c>
      <c r="D855" s="44" t="s">
        <v>1108</v>
      </c>
      <c r="E855" s="44"/>
      <c r="F855" s="44" t="s">
        <v>1109</v>
      </c>
      <c r="G855" s="39">
        <v>5</v>
      </c>
      <c r="H855" s="39">
        <v>6.5</v>
      </c>
      <c r="I855" s="39">
        <v>0</v>
      </c>
      <c r="J855" s="39">
        <v>11.5</v>
      </c>
      <c r="K855" s="40">
        <v>632.5</v>
      </c>
      <c r="L855" s="45" t="s">
        <v>1015</v>
      </c>
      <c r="M855" s="41" t="str">
        <f>IF(MasterFees[[#This Row],[GST Basis]]="Excl",MasterFees[[#This Row],[Fee as Printed]],IF(MasterFees[[#This Row],[GST Basis]]="Incl",MasterFees[[#This Row],[Fee as Printed]]/(1+GST_Rate),""))</f>
        <v/>
      </c>
      <c r="N855" s="41" t="str">
        <f>IF(MasterFees[[#This Row],[GST Basis]]="Incl",MasterFees[[#This Row],[Fee as Printed]],IF(MasterFees[[#This Row],[GST Basis]]="Excl",MasterFees[[#This Row],[Fee as Printed]]*(1+GST_Rate),""))</f>
        <v/>
      </c>
      <c r="O855" s="42">
        <f>IF(N(MasterFees[[#This Row],[Total Units]])=0,"",MasterFees[[#This Row],[Fee as Printed]]/MasterFees[[#This Row],[Total Units]])</f>
        <v>55</v>
      </c>
      <c r="P855" s="43"/>
      <c r="Q855" s="46" t="s">
        <v>1013</v>
      </c>
      <c r="R855" s="46" t="s">
        <v>1963</v>
      </c>
      <c r="S855" s="37"/>
    </row>
    <row r="856" spans="1:19" x14ac:dyDescent="0.2">
      <c r="A856" s="36"/>
      <c r="B856" s="38" t="str">
        <f>IF(MasterFees[[#This Row],[RVG Code]]="","",_xlfn.XLOOKUP(MasterFees[[#This Row],[RVG Code]],RVGCodes[Code],RVGCodes[Base Units],"Code not found"))</f>
        <v/>
      </c>
      <c r="C856" s="37" t="s">
        <v>848</v>
      </c>
      <c r="D856" s="44" t="s">
        <v>1108</v>
      </c>
      <c r="E856" s="44"/>
      <c r="F856" s="44" t="s">
        <v>1109</v>
      </c>
      <c r="G856" s="39">
        <v>4</v>
      </c>
      <c r="H856" s="39">
        <v>4</v>
      </c>
      <c r="I856" s="39">
        <v>0</v>
      </c>
      <c r="J856" s="39">
        <v>8</v>
      </c>
      <c r="K856" s="40">
        <v>440</v>
      </c>
      <c r="L856" s="45" t="s">
        <v>1015</v>
      </c>
      <c r="M856" s="41" t="str">
        <f>IF(MasterFees[[#This Row],[GST Basis]]="Excl",MasterFees[[#This Row],[Fee as Printed]],IF(MasterFees[[#This Row],[GST Basis]]="Incl",MasterFees[[#This Row],[Fee as Printed]]/(1+GST_Rate),""))</f>
        <v/>
      </c>
      <c r="N856" s="41" t="str">
        <f>IF(MasterFees[[#This Row],[GST Basis]]="Incl",MasterFees[[#This Row],[Fee as Printed]],IF(MasterFees[[#This Row],[GST Basis]]="Excl",MasterFees[[#This Row],[Fee as Printed]]*(1+GST_Rate),""))</f>
        <v/>
      </c>
      <c r="O856" s="42">
        <f>IF(N(MasterFees[[#This Row],[Total Units]])=0,"",MasterFees[[#This Row],[Fee as Printed]]/MasterFees[[#This Row],[Total Units]])</f>
        <v>55</v>
      </c>
      <c r="P856" s="43"/>
      <c r="Q856" s="46" t="s">
        <v>1013</v>
      </c>
      <c r="R856" s="46" t="s">
        <v>1964</v>
      </c>
      <c r="S856" s="37"/>
    </row>
    <row r="857" spans="1:19" x14ac:dyDescent="0.2">
      <c r="A857" s="36"/>
      <c r="B857" s="38" t="str">
        <f>IF(MasterFees[[#This Row],[RVG Code]]="","",_xlfn.XLOOKUP(MasterFees[[#This Row],[RVG Code]],RVGCodes[Code],RVGCodes[Base Units],"Code not found"))</f>
        <v/>
      </c>
      <c r="C857" s="37" t="s">
        <v>849</v>
      </c>
      <c r="D857" s="44" t="s">
        <v>1108</v>
      </c>
      <c r="E857" s="44"/>
      <c r="F857" s="44" t="s">
        <v>1109</v>
      </c>
      <c r="G857" s="39">
        <v>0</v>
      </c>
      <c r="H857" s="39">
        <v>6</v>
      </c>
      <c r="I857" s="39">
        <v>0</v>
      </c>
      <c r="J857" s="39">
        <v>6</v>
      </c>
      <c r="K857" s="40">
        <v>330</v>
      </c>
      <c r="L857" s="45" t="s">
        <v>1015</v>
      </c>
      <c r="M857" s="41" t="str">
        <f>IF(MasterFees[[#This Row],[GST Basis]]="Excl",MasterFees[[#This Row],[Fee as Printed]],IF(MasterFees[[#This Row],[GST Basis]]="Incl",MasterFees[[#This Row],[Fee as Printed]]/(1+GST_Rate),""))</f>
        <v/>
      </c>
      <c r="N857" s="41" t="str">
        <f>IF(MasterFees[[#This Row],[GST Basis]]="Incl",MasterFees[[#This Row],[Fee as Printed]],IF(MasterFees[[#This Row],[GST Basis]]="Excl",MasterFees[[#This Row],[Fee as Printed]]*(1+GST_Rate),""))</f>
        <v/>
      </c>
      <c r="O857" s="42">
        <f>IF(N(MasterFees[[#This Row],[Total Units]])=0,"",MasterFees[[#This Row],[Fee as Printed]]/MasterFees[[#This Row],[Total Units]])</f>
        <v>55</v>
      </c>
      <c r="P857" s="43"/>
      <c r="Q857" s="46" t="s">
        <v>1013</v>
      </c>
      <c r="R857" s="46" t="s">
        <v>1965</v>
      </c>
      <c r="S857" s="37"/>
    </row>
    <row r="858" spans="1:19" x14ac:dyDescent="0.2">
      <c r="A858" s="36"/>
      <c r="B858" s="38" t="str">
        <f>IF(MasterFees[[#This Row],[RVG Code]]="","",_xlfn.XLOOKUP(MasterFees[[#This Row],[RVG Code]],RVGCodes[Code],RVGCodes[Base Units],"Code not found"))</f>
        <v/>
      </c>
      <c r="C858" s="37" t="s">
        <v>850</v>
      </c>
      <c r="D858" s="44" t="s">
        <v>1108</v>
      </c>
      <c r="E858" s="44"/>
      <c r="F858" s="44" t="s">
        <v>1109</v>
      </c>
      <c r="G858" s="39">
        <v>0</v>
      </c>
      <c r="H858" s="39">
        <v>0</v>
      </c>
      <c r="I858" s="39">
        <v>0</v>
      </c>
      <c r="J858" s="39">
        <v>0</v>
      </c>
      <c r="K858" s="40">
        <v>0</v>
      </c>
      <c r="L858" s="45" t="s">
        <v>1015</v>
      </c>
      <c r="M858" s="41" t="str">
        <f>IF(MasterFees[[#This Row],[GST Basis]]="Excl",MasterFees[[#This Row],[Fee as Printed]],IF(MasterFees[[#This Row],[GST Basis]]="Incl",MasterFees[[#This Row],[Fee as Printed]]/(1+GST_Rate),""))</f>
        <v/>
      </c>
      <c r="N858" s="41" t="str">
        <f>IF(MasterFees[[#This Row],[GST Basis]]="Incl",MasterFees[[#This Row],[Fee as Printed]],IF(MasterFees[[#This Row],[GST Basis]]="Excl",MasterFees[[#This Row],[Fee as Printed]]*(1+GST_Rate),""))</f>
        <v/>
      </c>
      <c r="O858" s="42" t="str">
        <f>IF(N(MasterFees[[#This Row],[Total Units]])=0,"",MasterFees[[#This Row],[Fee as Printed]]/MasterFees[[#This Row],[Total Units]])</f>
        <v/>
      </c>
      <c r="P858" s="43"/>
      <c r="Q858" s="46" t="s">
        <v>1013</v>
      </c>
      <c r="R858" s="46" t="s">
        <v>1966</v>
      </c>
      <c r="S858" s="37"/>
    </row>
    <row r="859" spans="1:19" x14ac:dyDescent="0.2">
      <c r="A859" s="36"/>
      <c r="B859" s="38" t="str">
        <f>IF(MasterFees[[#This Row],[RVG Code]]="","",_xlfn.XLOOKUP(MasterFees[[#This Row],[RVG Code]],RVGCodes[Code],RVGCodes[Base Units],"Code not found"))</f>
        <v/>
      </c>
      <c r="C859" s="37" t="s">
        <v>851</v>
      </c>
      <c r="D859" s="44" t="s">
        <v>1108</v>
      </c>
      <c r="E859" s="44"/>
      <c r="F859" s="44" t="s">
        <v>1109</v>
      </c>
      <c r="G859" s="39">
        <v>3.4</v>
      </c>
      <c r="H859" s="39">
        <v>3.6</v>
      </c>
      <c r="I859" s="39">
        <v>0.2</v>
      </c>
      <c r="J859" s="39">
        <v>7.2</v>
      </c>
      <c r="K859" s="40">
        <v>396</v>
      </c>
      <c r="L859" s="45" t="s">
        <v>1015</v>
      </c>
      <c r="M859" s="41" t="str">
        <f>IF(MasterFees[[#This Row],[GST Basis]]="Excl",MasterFees[[#This Row],[Fee as Printed]],IF(MasterFees[[#This Row],[GST Basis]]="Incl",MasterFees[[#This Row],[Fee as Printed]]/(1+GST_Rate),""))</f>
        <v/>
      </c>
      <c r="N859" s="41" t="str">
        <f>IF(MasterFees[[#This Row],[GST Basis]]="Incl",MasterFees[[#This Row],[Fee as Printed]],IF(MasterFees[[#This Row],[GST Basis]]="Excl",MasterFees[[#This Row],[Fee as Printed]]*(1+GST_Rate),""))</f>
        <v/>
      </c>
      <c r="O859" s="42">
        <f>IF(N(MasterFees[[#This Row],[Total Units]])=0,"",MasterFees[[#This Row],[Fee as Printed]]/MasterFees[[#This Row],[Total Units]])</f>
        <v>55</v>
      </c>
      <c r="P859" s="43"/>
      <c r="Q859" s="46" t="s">
        <v>1013</v>
      </c>
      <c r="R859" s="46" t="s">
        <v>1967</v>
      </c>
      <c r="S859" s="37"/>
    </row>
    <row r="860" spans="1:19" x14ac:dyDescent="0.2">
      <c r="A860" s="36"/>
      <c r="B860" s="38" t="str">
        <f>IF(MasterFees[[#This Row],[RVG Code]]="","",_xlfn.XLOOKUP(MasterFees[[#This Row],[RVG Code]],RVGCodes[Code],RVGCodes[Base Units],"Code not found"))</f>
        <v/>
      </c>
      <c r="C860" s="37" t="s">
        <v>852</v>
      </c>
      <c r="D860" s="44" t="s">
        <v>1108</v>
      </c>
      <c r="E860" s="44"/>
      <c r="F860" s="44" t="s">
        <v>1109</v>
      </c>
      <c r="G860" s="39">
        <v>6.3</v>
      </c>
      <c r="H860" s="39">
        <v>6.3</v>
      </c>
      <c r="I860" s="39">
        <v>0</v>
      </c>
      <c r="J860" s="39">
        <v>12.7</v>
      </c>
      <c r="K860" s="40">
        <v>696.3</v>
      </c>
      <c r="L860" s="45" t="s">
        <v>1015</v>
      </c>
      <c r="M860" s="41" t="str">
        <f>IF(MasterFees[[#This Row],[GST Basis]]="Excl",MasterFees[[#This Row],[Fee as Printed]],IF(MasterFees[[#This Row],[GST Basis]]="Incl",MasterFees[[#This Row],[Fee as Printed]]/(1+GST_Rate),""))</f>
        <v/>
      </c>
      <c r="N860" s="41" t="str">
        <f>IF(MasterFees[[#This Row],[GST Basis]]="Incl",MasterFees[[#This Row],[Fee as Printed]],IF(MasterFees[[#This Row],[GST Basis]]="Excl",MasterFees[[#This Row],[Fee as Printed]]*(1+GST_Rate),""))</f>
        <v/>
      </c>
      <c r="O860" s="42">
        <f>IF(N(MasterFees[[#This Row],[Total Units]])=0,"",MasterFees[[#This Row],[Fee as Printed]]/MasterFees[[#This Row],[Total Units]])</f>
        <v>54.826771653543304</v>
      </c>
      <c r="P860" s="43"/>
      <c r="Q860" s="46" t="s">
        <v>1013</v>
      </c>
      <c r="R860" s="46" t="s">
        <v>1968</v>
      </c>
      <c r="S860" s="37"/>
    </row>
    <row r="861" spans="1:19" x14ac:dyDescent="0.2">
      <c r="A861" s="36"/>
      <c r="B861" s="38" t="str">
        <f>IF(MasterFees[[#This Row],[RVG Code]]="","",_xlfn.XLOOKUP(MasterFees[[#This Row],[RVG Code]],RVGCodes[Code],RVGCodes[Base Units],"Code not found"))</f>
        <v/>
      </c>
      <c r="C861" s="37" t="s">
        <v>853</v>
      </c>
      <c r="D861" s="44" t="s">
        <v>1108</v>
      </c>
      <c r="E861" s="44"/>
      <c r="F861" s="44" t="s">
        <v>1109</v>
      </c>
      <c r="G861" s="39">
        <v>5.3</v>
      </c>
      <c r="H861" s="39">
        <v>4.4000000000000004</v>
      </c>
      <c r="I861" s="39">
        <v>0.3</v>
      </c>
      <c r="J861" s="39">
        <v>10.1</v>
      </c>
      <c r="K861" s="40">
        <v>556.04999999999995</v>
      </c>
      <c r="L861" s="45" t="s">
        <v>1015</v>
      </c>
      <c r="M861" s="41" t="str">
        <f>IF(MasterFees[[#This Row],[GST Basis]]="Excl",MasterFees[[#This Row],[Fee as Printed]],IF(MasterFees[[#This Row],[GST Basis]]="Incl",MasterFees[[#This Row],[Fee as Printed]]/(1+GST_Rate),""))</f>
        <v/>
      </c>
      <c r="N861" s="41" t="str">
        <f>IF(MasterFees[[#This Row],[GST Basis]]="Incl",MasterFees[[#This Row],[Fee as Printed]],IF(MasterFees[[#This Row],[GST Basis]]="Excl",MasterFees[[#This Row],[Fee as Printed]]*(1+GST_Rate),""))</f>
        <v/>
      </c>
      <c r="O861" s="42">
        <f>IF(N(MasterFees[[#This Row],[Total Units]])=0,"",MasterFees[[#This Row],[Fee as Printed]]/MasterFees[[#This Row],[Total Units]])</f>
        <v>55.054455445544555</v>
      </c>
      <c r="P861" s="43"/>
      <c r="Q861" s="46" t="s">
        <v>1013</v>
      </c>
      <c r="R861" s="46" t="s">
        <v>1969</v>
      </c>
      <c r="S861" s="37"/>
    </row>
    <row r="862" spans="1:19" x14ac:dyDescent="0.2">
      <c r="A862" s="36"/>
      <c r="B862" s="38" t="str">
        <f>IF(MasterFees[[#This Row],[RVG Code]]="","",_xlfn.XLOOKUP(MasterFees[[#This Row],[RVG Code]],RVGCodes[Code],RVGCodes[Base Units],"Code not found"))</f>
        <v/>
      </c>
      <c r="C862" s="37" t="s">
        <v>854</v>
      </c>
      <c r="D862" s="44" t="s">
        <v>1108</v>
      </c>
      <c r="E862" s="44"/>
      <c r="F862" s="44" t="s">
        <v>1109</v>
      </c>
      <c r="G862" s="39">
        <v>5.3</v>
      </c>
      <c r="H862" s="39">
        <v>4.7</v>
      </c>
      <c r="I862" s="39">
        <v>0.3</v>
      </c>
      <c r="J862" s="39">
        <v>10.3</v>
      </c>
      <c r="K862" s="40">
        <v>563.75</v>
      </c>
      <c r="L862" s="45" t="s">
        <v>1015</v>
      </c>
      <c r="M862" s="41" t="str">
        <f>IF(MasterFees[[#This Row],[GST Basis]]="Excl",MasterFees[[#This Row],[Fee as Printed]],IF(MasterFees[[#This Row],[GST Basis]]="Incl",MasterFees[[#This Row],[Fee as Printed]]/(1+GST_Rate),""))</f>
        <v/>
      </c>
      <c r="N862" s="41" t="str">
        <f>IF(MasterFees[[#This Row],[GST Basis]]="Incl",MasterFees[[#This Row],[Fee as Printed]],IF(MasterFees[[#This Row],[GST Basis]]="Excl",MasterFees[[#This Row],[Fee as Printed]]*(1+GST_Rate),""))</f>
        <v/>
      </c>
      <c r="O862" s="42">
        <f>IF(N(MasterFees[[#This Row],[Total Units]])=0,"",MasterFees[[#This Row],[Fee as Printed]]/MasterFees[[#This Row],[Total Units]])</f>
        <v>54.73300970873786</v>
      </c>
      <c r="P862" s="43"/>
      <c r="Q862" s="46" t="s">
        <v>1013</v>
      </c>
      <c r="R862" s="46" t="s">
        <v>1970</v>
      </c>
      <c r="S862" s="37"/>
    </row>
    <row r="863" spans="1:19" x14ac:dyDescent="0.2">
      <c r="A863" s="36"/>
      <c r="B863" s="38" t="str">
        <f>IF(MasterFees[[#This Row],[RVG Code]]="","",_xlfn.XLOOKUP(MasterFees[[#This Row],[RVG Code]],RVGCodes[Code],RVGCodes[Base Units],"Code not found"))</f>
        <v/>
      </c>
      <c r="C863" s="37" t="s">
        <v>855</v>
      </c>
      <c r="D863" s="44" t="s">
        <v>1108</v>
      </c>
      <c r="E863" s="44"/>
      <c r="F863" s="44" t="s">
        <v>1109</v>
      </c>
      <c r="G863" s="39">
        <v>5.7</v>
      </c>
      <c r="H863" s="39">
        <v>6.2</v>
      </c>
      <c r="I863" s="39">
        <v>0.1</v>
      </c>
      <c r="J863" s="39">
        <v>12</v>
      </c>
      <c r="K863" s="40">
        <v>658.9</v>
      </c>
      <c r="L863" s="45" t="s">
        <v>1015</v>
      </c>
      <c r="M863" s="41" t="str">
        <f>IF(MasterFees[[#This Row],[GST Basis]]="Excl",MasterFees[[#This Row],[Fee as Printed]],IF(MasterFees[[#This Row],[GST Basis]]="Incl",MasterFees[[#This Row],[Fee as Printed]]/(1+GST_Rate),""))</f>
        <v/>
      </c>
      <c r="N863" s="41" t="str">
        <f>IF(MasterFees[[#This Row],[GST Basis]]="Incl",MasterFees[[#This Row],[Fee as Printed]],IF(MasterFees[[#This Row],[GST Basis]]="Excl",MasterFees[[#This Row],[Fee as Printed]]*(1+GST_Rate),""))</f>
        <v/>
      </c>
      <c r="O863" s="42">
        <f>IF(N(MasterFees[[#This Row],[Total Units]])=0,"",MasterFees[[#This Row],[Fee as Printed]]/MasterFees[[#This Row],[Total Units]])</f>
        <v>54.908333333333331</v>
      </c>
      <c r="P863" s="43"/>
      <c r="Q863" s="46" t="s">
        <v>1013</v>
      </c>
      <c r="R863" s="46" t="s">
        <v>1971</v>
      </c>
      <c r="S863" s="37"/>
    </row>
    <row r="864" spans="1:19" x14ac:dyDescent="0.2">
      <c r="A864" s="36"/>
      <c r="B864" s="38" t="str">
        <f>IF(MasterFees[[#This Row],[RVG Code]]="","",_xlfn.XLOOKUP(MasterFees[[#This Row],[RVG Code]],RVGCodes[Code],RVGCodes[Base Units],"Code not found"))</f>
        <v/>
      </c>
      <c r="C864" s="37" t="s">
        <v>856</v>
      </c>
      <c r="D864" s="44" t="s">
        <v>1108</v>
      </c>
      <c r="E864" s="44"/>
      <c r="F864" s="44" t="s">
        <v>1109</v>
      </c>
      <c r="G864" s="39">
        <v>5.5</v>
      </c>
      <c r="H864" s="39">
        <v>4.3</v>
      </c>
      <c r="I864" s="39">
        <v>0.2</v>
      </c>
      <c r="J864" s="39">
        <v>10</v>
      </c>
      <c r="K864" s="40">
        <v>549.45000000000005</v>
      </c>
      <c r="L864" s="45" t="s">
        <v>1015</v>
      </c>
      <c r="M864" s="41" t="str">
        <f>IF(MasterFees[[#This Row],[GST Basis]]="Excl",MasterFees[[#This Row],[Fee as Printed]],IF(MasterFees[[#This Row],[GST Basis]]="Incl",MasterFees[[#This Row],[Fee as Printed]]/(1+GST_Rate),""))</f>
        <v/>
      </c>
      <c r="N864" s="41" t="str">
        <f>IF(MasterFees[[#This Row],[GST Basis]]="Incl",MasterFees[[#This Row],[Fee as Printed]],IF(MasterFees[[#This Row],[GST Basis]]="Excl",MasterFees[[#This Row],[Fee as Printed]]*(1+GST_Rate),""))</f>
        <v/>
      </c>
      <c r="O864" s="42">
        <f>IF(N(MasterFees[[#This Row],[Total Units]])=0,"",MasterFees[[#This Row],[Fee as Printed]]/MasterFees[[#This Row],[Total Units]])</f>
        <v>54.945000000000007</v>
      </c>
      <c r="P864" s="43"/>
      <c r="Q864" s="46" t="s">
        <v>1013</v>
      </c>
      <c r="R864" s="46" t="s">
        <v>1972</v>
      </c>
      <c r="S864" s="37"/>
    </row>
    <row r="865" spans="1:19" x14ac:dyDescent="0.2">
      <c r="A865" s="36"/>
      <c r="B865" s="38" t="str">
        <f>IF(MasterFees[[#This Row],[RVG Code]]="","",_xlfn.XLOOKUP(MasterFees[[#This Row],[RVG Code]],RVGCodes[Code],RVGCodes[Base Units],"Code not found"))</f>
        <v/>
      </c>
      <c r="C865" s="37" t="s">
        <v>857</v>
      </c>
      <c r="D865" s="44" t="s">
        <v>1108</v>
      </c>
      <c r="E865" s="44"/>
      <c r="F865" s="44" t="s">
        <v>1109</v>
      </c>
      <c r="G865" s="39">
        <v>5.4</v>
      </c>
      <c r="H865" s="39">
        <v>4.5999999999999996</v>
      </c>
      <c r="I865" s="39">
        <v>0.4</v>
      </c>
      <c r="J865" s="39">
        <v>10.4</v>
      </c>
      <c r="K865" s="40">
        <v>574.20000000000005</v>
      </c>
      <c r="L865" s="45" t="s">
        <v>1015</v>
      </c>
      <c r="M865" s="41" t="str">
        <f>IF(MasterFees[[#This Row],[GST Basis]]="Excl",MasterFees[[#This Row],[Fee as Printed]],IF(MasterFees[[#This Row],[GST Basis]]="Incl",MasterFees[[#This Row],[Fee as Printed]]/(1+GST_Rate),""))</f>
        <v/>
      </c>
      <c r="N865" s="41" t="str">
        <f>IF(MasterFees[[#This Row],[GST Basis]]="Incl",MasterFees[[#This Row],[Fee as Printed]],IF(MasterFees[[#This Row],[GST Basis]]="Excl",MasterFees[[#This Row],[Fee as Printed]]*(1+GST_Rate),""))</f>
        <v/>
      </c>
      <c r="O865" s="42">
        <f>IF(N(MasterFees[[#This Row],[Total Units]])=0,"",MasterFees[[#This Row],[Fee as Printed]]/MasterFees[[#This Row],[Total Units]])</f>
        <v>55.211538461538467</v>
      </c>
      <c r="P865" s="43"/>
      <c r="Q865" s="46" t="s">
        <v>1013</v>
      </c>
      <c r="R865" s="46" t="s">
        <v>1973</v>
      </c>
      <c r="S865" s="37"/>
    </row>
    <row r="866" spans="1:19" x14ac:dyDescent="0.2">
      <c r="A866" s="36"/>
      <c r="B866" s="38" t="str">
        <f>IF(MasterFees[[#This Row],[RVG Code]]="","",_xlfn.XLOOKUP(MasterFees[[#This Row],[RVG Code]],RVGCodes[Code],RVGCodes[Base Units],"Code not found"))</f>
        <v/>
      </c>
      <c r="C866" s="37" t="s">
        <v>858</v>
      </c>
      <c r="D866" s="44" t="s">
        <v>1108</v>
      </c>
      <c r="E866" s="44"/>
      <c r="F866" s="44" t="s">
        <v>1109</v>
      </c>
      <c r="G866" s="39">
        <v>5.6</v>
      </c>
      <c r="H866" s="39">
        <v>5.0999999999999996</v>
      </c>
      <c r="I866" s="39">
        <v>0</v>
      </c>
      <c r="J866" s="39">
        <v>10.7</v>
      </c>
      <c r="K866" s="40">
        <v>588.5</v>
      </c>
      <c r="L866" s="45" t="s">
        <v>1015</v>
      </c>
      <c r="M866" s="41" t="str">
        <f>IF(MasterFees[[#This Row],[GST Basis]]="Excl",MasterFees[[#This Row],[Fee as Printed]],IF(MasterFees[[#This Row],[GST Basis]]="Incl",MasterFees[[#This Row],[Fee as Printed]]/(1+GST_Rate),""))</f>
        <v/>
      </c>
      <c r="N866" s="41" t="str">
        <f>IF(MasterFees[[#This Row],[GST Basis]]="Incl",MasterFees[[#This Row],[Fee as Printed]],IF(MasterFees[[#This Row],[GST Basis]]="Excl",MasterFees[[#This Row],[Fee as Printed]]*(1+GST_Rate),""))</f>
        <v/>
      </c>
      <c r="O866" s="42">
        <f>IF(N(MasterFees[[#This Row],[Total Units]])=0,"",MasterFees[[#This Row],[Fee as Printed]]/MasterFees[[#This Row],[Total Units]])</f>
        <v>55.000000000000007</v>
      </c>
      <c r="P866" s="43"/>
      <c r="Q866" s="46" t="s">
        <v>1013</v>
      </c>
      <c r="R866" s="46" t="s">
        <v>1974</v>
      </c>
      <c r="S866" s="37"/>
    </row>
    <row r="867" spans="1:19" x14ac:dyDescent="0.2">
      <c r="A867" s="36"/>
      <c r="B867" s="38" t="str">
        <f>IF(MasterFees[[#This Row],[RVG Code]]="","",_xlfn.XLOOKUP(MasterFees[[#This Row],[RVG Code]],RVGCodes[Code],RVGCodes[Base Units],"Code not found"))</f>
        <v/>
      </c>
      <c r="C867" s="37" t="s">
        <v>859</v>
      </c>
      <c r="D867" s="44" t="s">
        <v>1108</v>
      </c>
      <c r="E867" s="44"/>
      <c r="F867" s="44" t="s">
        <v>1109</v>
      </c>
      <c r="G867" s="39">
        <v>5</v>
      </c>
      <c r="H867" s="39">
        <v>6</v>
      </c>
      <c r="I867" s="39">
        <v>1</v>
      </c>
      <c r="J867" s="39">
        <v>12</v>
      </c>
      <c r="K867" s="40">
        <v>660</v>
      </c>
      <c r="L867" s="45" t="s">
        <v>1015</v>
      </c>
      <c r="M867" s="41" t="str">
        <f>IF(MasterFees[[#This Row],[GST Basis]]="Excl",MasterFees[[#This Row],[Fee as Printed]],IF(MasterFees[[#This Row],[GST Basis]]="Incl",MasterFees[[#This Row],[Fee as Printed]]/(1+GST_Rate),""))</f>
        <v/>
      </c>
      <c r="N867" s="41" t="str">
        <f>IF(MasterFees[[#This Row],[GST Basis]]="Incl",MasterFees[[#This Row],[Fee as Printed]],IF(MasterFees[[#This Row],[GST Basis]]="Excl",MasterFees[[#This Row],[Fee as Printed]]*(1+GST_Rate),""))</f>
        <v/>
      </c>
      <c r="O867" s="42">
        <f>IF(N(MasterFees[[#This Row],[Total Units]])=0,"",MasterFees[[#This Row],[Fee as Printed]]/MasterFees[[#This Row],[Total Units]])</f>
        <v>55</v>
      </c>
      <c r="P867" s="43"/>
      <c r="Q867" s="46" t="s">
        <v>1013</v>
      </c>
      <c r="R867" s="46" t="s">
        <v>1975</v>
      </c>
      <c r="S867" s="37"/>
    </row>
    <row r="868" spans="1:19" x14ac:dyDescent="0.2">
      <c r="A868" s="36"/>
      <c r="B868" s="38" t="str">
        <f>IF(MasterFees[[#This Row],[RVG Code]]="","",_xlfn.XLOOKUP(MasterFees[[#This Row],[RVG Code]],RVGCodes[Code],RVGCodes[Base Units],"Code not found"))</f>
        <v/>
      </c>
      <c r="C868" s="37" t="s">
        <v>860</v>
      </c>
      <c r="D868" s="44" t="s">
        <v>1108</v>
      </c>
      <c r="E868" s="44"/>
      <c r="F868" s="44" t="s">
        <v>1109</v>
      </c>
      <c r="G868" s="39">
        <v>5.5</v>
      </c>
      <c r="H868" s="39">
        <v>8</v>
      </c>
      <c r="I868" s="39">
        <v>1</v>
      </c>
      <c r="J868" s="39">
        <v>14.5</v>
      </c>
      <c r="K868" s="40">
        <v>797.5</v>
      </c>
      <c r="L868" s="45" t="s">
        <v>1015</v>
      </c>
      <c r="M868" s="41" t="str">
        <f>IF(MasterFees[[#This Row],[GST Basis]]="Excl",MasterFees[[#This Row],[Fee as Printed]],IF(MasterFees[[#This Row],[GST Basis]]="Incl",MasterFees[[#This Row],[Fee as Printed]]/(1+GST_Rate),""))</f>
        <v/>
      </c>
      <c r="N868" s="41" t="str">
        <f>IF(MasterFees[[#This Row],[GST Basis]]="Incl",MasterFees[[#This Row],[Fee as Printed]],IF(MasterFees[[#This Row],[GST Basis]]="Excl",MasterFees[[#This Row],[Fee as Printed]]*(1+GST_Rate),""))</f>
        <v/>
      </c>
      <c r="O868" s="42">
        <f>IF(N(MasterFees[[#This Row],[Total Units]])=0,"",MasterFees[[#This Row],[Fee as Printed]]/MasterFees[[#This Row],[Total Units]])</f>
        <v>55</v>
      </c>
      <c r="P868" s="43"/>
      <c r="Q868" s="46" t="s">
        <v>1013</v>
      </c>
      <c r="R868" s="46" t="s">
        <v>1976</v>
      </c>
      <c r="S868" s="37"/>
    </row>
    <row r="869" spans="1:19" x14ac:dyDescent="0.2">
      <c r="A869" s="36"/>
      <c r="B869" s="38" t="str">
        <f>IF(MasterFees[[#This Row],[RVG Code]]="","",_xlfn.XLOOKUP(MasterFees[[#This Row],[RVG Code]],RVGCodes[Code],RVGCodes[Base Units],"Code not found"))</f>
        <v/>
      </c>
      <c r="C869" s="37" t="s">
        <v>861</v>
      </c>
      <c r="D869" s="44" t="s">
        <v>1108</v>
      </c>
      <c r="E869" s="44"/>
      <c r="F869" s="44" t="s">
        <v>1109</v>
      </c>
      <c r="G869" s="39">
        <v>5.8</v>
      </c>
      <c r="H869" s="39">
        <v>7.7</v>
      </c>
      <c r="I869" s="39">
        <v>0.2</v>
      </c>
      <c r="J869" s="39">
        <v>13.7</v>
      </c>
      <c r="K869" s="40">
        <v>754.6</v>
      </c>
      <c r="L869" s="45" t="s">
        <v>1015</v>
      </c>
      <c r="M869" s="41" t="str">
        <f>IF(MasterFees[[#This Row],[GST Basis]]="Excl",MasterFees[[#This Row],[Fee as Printed]],IF(MasterFees[[#This Row],[GST Basis]]="Incl",MasterFees[[#This Row],[Fee as Printed]]/(1+GST_Rate),""))</f>
        <v/>
      </c>
      <c r="N869" s="41" t="str">
        <f>IF(MasterFees[[#This Row],[GST Basis]]="Incl",MasterFees[[#This Row],[Fee as Printed]],IF(MasterFees[[#This Row],[GST Basis]]="Excl",MasterFees[[#This Row],[Fee as Printed]]*(1+GST_Rate),""))</f>
        <v/>
      </c>
      <c r="O869" s="42">
        <f>IF(N(MasterFees[[#This Row],[Total Units]])=0,"",MasterFees[[#This Row],[Fee as Printed]]/MasterFees[[#This Row],[Total Units]])</f>
        <v>55.080291970802925</v>
      </c>
      <c r="P869" s="43"/>
      <c r="Q869" s="46" t="s">
        <v>1013</v>
      </c>
      <c r="R869" s="46" t="s">
        <v>1977</v>
      </c>
      <c r="S869" s="37"/>
    </row>
    <row r="870" spans="1:19" x14ac:dyDescent="0.2">
      <c r="A870" s="36"/>
      <c r="B870" s="38" t="str">
        <f>IF(MasterFees[[#This Row],[RVG Code]]="","",_xlfn.XLOOKUP(MasterFees[[#This Row],[RVG Code]],RVGCodes[Code],RVGCodes[Base Units],"Code not found"))</f>
        <v/>
      </c>
      <c r="C870" s="37" t="s">
        <v>862</v>
      </c>
      <c r="D870" s="44" t="s">
        <v>1108</v>
      </c>
      <c r="E870" s="44"/>
      <c r="F870" s="44" t="s">
        <v>1109</v>
      </c>
      <c r="G870" s="39">
        <v>4</v>
      </c>
      <c r="H870" s="39">
        <v>3</v>
      </c>
      <c r="I870" s="39">
        <v>0</v>
      </c>
      <c r="J870" s="39">
        <v>7</v>
      </c>
      <c r="K870" s="40">
        <v>385</v>
      </c>
      <c r="L870" s="45" t="s">
        <v>1015</v>
      </c>
      <c r="M870" s="41" t="str">
        <f>IF(MasterFees[[#This Row],[GST Basis]]="Excl",MasterFees[[#This Row],[Fee as Printed]],IF(MasterFees[[#This Row],[GST Basis]]="Incl",MasterFees[[#This Row],[Fee as Printed]]/(1+GST_Rate),""))</f>
        <v/>
      </c>
      <c r="N870" s="41" t="str">
        <f>IF(MasterFees[[#This Row],[GST Basis]]="Incl",MasterFees[[#This Row],[Fee as Printed]],IF(MasterFees[[#This Row],[GST Basis]]="Excl",MasterFees[[#This Row],[Fee as Printed]]*(1+GST_Rate),""))</f>
        <v/>
      </c>
      <c r="O870" s="42">
        <f>IF(N(MasterFees[[#This Row],[Total Units]])=0,"",MasterFees[[#This Row],[Fee as Printed]]/MasterFees[[#This Row],[Total Units]])</f>
        <v>55</v>
      </c>
      <c r="P870" s="43"/>
      <c r="Q870" s="46" t="s">
        <v>1013</v>
      </c>
      <c r="R870" s="46" t="s">
        <v>1978</v>
      </c>
      <c r="S870" s="37"/>
    </row>
    <row r="871" spans="1:19" x14ac:dyDescent="0.2">
      <c r="A871" s="36"/>
      <c r="B871" s="38" t="str">
        <f>IF(MasterFees[[#This Row],[RVG Code]]="","",_xlfn.XLOOKUP(MasterFees[[#This Row],[RVG Code]],RVGCodes[Code],RVGCodes[Base Units],"Code not found"))</f>
        <v/>
      </c>
      <c r="C871" s="37" t="s">
        <v>863</v>
      </c>
      <c r="D871" s="44" t="s">
        <v>1108</v>
      </c>
      <c r="E871" s="44"/>
      <c r="F871" s="44" t="s">
        <v>1109</v>
      </c>
      <c r="G871" s="39">
        <v>5.8</v>
      </c>
      <c r="H871" s="39">
        <v>5.0999999999999996</v>
      </c>
      <c r="I871" s="39">
        <v>0.7</v>
      </c>
      <c r="J871" s="39">
        <v>11.6</v>
      </c>
      <c r="K871" s="40">
        <v>638</v>
      </c>
      <c r="L871" s="45" t="s">
        <v>1015</v>
      </c>
      <c r="M871" s="41" t="str">
        <f>IF(MasterFees[[#This Row],[GST Basis]]="Excl",MasterFees[[#This Row],[Fee as Printed]],IF(MasterFees[[#This Row],[GST Basis]]="Incl",MasterFees[[#This Row],[Fee as Printed]]/(1+GST_Rate),""))</f>
        <v/>
      </c>
      <c r="N871" s="41" t="str">
        <f>IF(MasterFees[[#This Row],[GST Basis]]="Incl",MasterFees[[#This Row],[Fee as Printed]],IF(MasterFees[[#This Row],[GST Basis]]="Excl",MasterFees[[#This Row],[Fee as Printed]]*(1+GST_Rate),""))</f>
        <v/>
      </c>
      <c r="O871" s="42">
        <f>IF(N(MasterFees[[#This Row],[Total Units]])=0,"",MasterFees[[#This Row],[Fee as Printed]]/MasterFees[[#This Row],[Total Units]])</f>
        <v>55</v>
      </c>
      <c r="P871" s="43"/>
      <c r="Q871" s="46" t="s">
        <v>1013</v>
      </c>
      <c r="R871" s="46" t="s">
        <v>1979</v>
      </c>
      <c r="S871" s="37"/>
    </row>
    <row r="872" spans="1:19" x14ac:dyDescent="0.2">
      <c r="A872" s="36"/>
      <c r="B872" s="38" t="str">
        <f>IF(MasterFees[[#This Row],[RVG Code]]="","",_xlfn.XLOOKUP(MasterFees[[#This Row],[RVG Code]],RVGCodes[Code],RVGCodes[Base Units],"Code not found"))</f>
        <v/>
      </c>
      <c r="C872" s="37" t="s">
        <v>864</v>
      </c>
      <c r="D872" s="44" t="s">
        <v>1108</v>
      </c>
      <c r="E872" s="44"/>
      <c r="F872" s="44" t="s">
        <v>1109</v>
      </c>
      <c r="G872" s="39">
        <v>5.9</v>
      </c>
      <c r="H872" s="39">
        <v>6.9</v>
      </c>
      <c r="I872" s="39">
        <v>0.8</v>
      </c>
      <c r="J872" s="39">
        <v>13.6</v>
      </c>
      <c r="K872" s="40">
        <v>749.1</v>
      </c>
      <c r="L872" s="45" t="s">
        <v>1015</v>
      </c>
      <c r="M872" s="41" t="str">
        <f>IF(MasterFees[[#This Row],[GST Basis]]="Excl",MasterFees[[#This Row],[Fee as Printed]],IF(MasterFees[[#This Row],[GST Basis]]="Incl",MasterFees[[#This Row],[Fee as Printed]]/(1+GST_Rate),""))</f>
        <v/>
      </c>
      <c r="N872" s="41" t="str">
        <f>IF(MasterFees[[#This Row],[GST Basis]]="Incl",MasterFees[[#This Row],[Fee as Printed]],IF(MasterFees[[#This Row],[GST Basis]]="Excl",MasterFees[[#This Row],[Fee as Printed]]*(1+GST_Rate),""))</f>
        <v/>
      </c>
      <c r="O872" s="42">
        <f>IF(N(MasterFees[[#This Row],[Total Units]])=0,"",MasterFees[[#This Row],[Fee as Printed]]/MasterFees[[#This Row],[Total Units]])</f>
        <v>55.080882352941181</v>
      </c>
      <c r="P872" s="43"/>
      <c r="Q872" s="46" t="s">
        <v>1013</v>
      </c>
      <c r="R872" s="46" t="s">
        <v>1980</v>
      </c>
      <c r="S872" s="37"/>
    </row>
    <row r="873" spans="1:19" x14ac:dyDescent="0.2">
      <c r="A873" s="36"/>
      <c r="B873" s="38" t="str">
        <f>IF(MasterFees[[#This Row],[RVG Code]]="","",_xlfn.XLOOKUP(MasterFees[[#This Row],[RVG Code]],RVGCodes[Code],RVGCodes[Base Units],"Code not found"))</f>
        <v/>
      </c>
      <c r="C873" s="37" t="s">
        <v>865</v>
      </c>
      <c r="D873" s="44" t="s">
        <v>1108</v>
      </c>
      <c r="E873" s="44"/>
      <c r="F873" s="44" t="s">
        <v>1109</v>
      </c>
      <c r="G873" s="39">
        <v>4.4000000000000004</v>
      </c>
      <c r="H873" s="39">
        <v>3</v>
      </c>
      <c r="I873" s="39">
        <v>0.7</v>
      </c>
      <c r="J873" s="39">
        <v>8.1</v>
      </c>
      <c r="K873" s="40">
        <v>447.7</v>
      </c>
      <c r="L873" s="45" t="s">
        <v>1015</v>
      </c>
      <c r="M873" s="41" t="str">
        <f>IF(MasterFees[[#This Row],[GST Basis]]="Excl",MasterFees[[#This Row],[Fee as Printed]],IF(MasterFees[[#This Row],[GST Basis]]="Incl",MasterFees[[#This Row],[Fee as Printed]]/(1+GST_Rate),""))</f>
        <v/>
      </c>
      <c r="N873" s="41" t="str">
        <f>IF(MasterFees[[#This Row],[GST Basis]]="Incl",MasterFees[[#This Row],[Fee as Printed]],IF(MasterFees[[#This Row],[GST Basis]]="Excl",MasterFees[[#This Row],[Fee as Printed]]*(1+GST_Rate),""))</f>
        <v/>
      </c>
      <c r="O873" s="42">
        <f>IF(N(MasterFees[[#This Row],[Total Units]])=0,"",MasterFees[[#This Row],[Fee as Printed]]/MasterFees[[#This Row],[Total Units]])</f>
        <v>55.271604938271608</v>
      </c>
      <c r="P873" s="43"/>
      <c r="Q873" s="46" t="s">
        <v>1013</v>
      </c>
      <c r="R873" s="46" t="s">
        <v>1981</v>
      </c>
      <c r="S873" s="37"/>
    </row>
    <row r="874" spans="1:19" x14ac:dyDescent="0.2">
      <c r="A874" s="36"/>
      <c r="B874" s="38" t="str">
        <f>IF(MasterFees[[#This Row],[RVG Code]]="","",_xlfn.XLOOKUP(MasterFees[[#This Row],[RVG Code]],RVGCodes[Code],RVGCodes[Base Units],"Code not found"))</f>
        <v/>
      </c>
      <c r="C874" s="37" t="s">
        <v>866</v>
      </c>
      <c r="D874" s="44" t="s">
        <v>1108</v>
      </c>
      <c r="E874" s="44"/>
      <c r="F874" s="44" t="s">
        <v>1109</v>
      </c>
      <c r="G874" s="39">
        <v>0</v>
      </c>
      <c r="H874" s="39">
        <v>4</v>
      </c>
      <c r="I874" s="39">
        <v>0</v>
      </c>
      <c r="J874" s="39">
        <v>4</v>
      </c>
      <c r="K874" s="40">
        <v>220</v>
      </c>
      <c r="L874" s="45" t="s">
        <v>1015</v>
      </c>
      <c r="M874" s="41" t="str">
        <f>IF(MasterFees[[#This Row],[GST Basis]]="Excl",MasterFees[[#This Row],[Fee as Printed]],IF(MasterFees[[#This Row],[GST Basis]]="Incl",MasterFees[[#This Row],[Fee as Printed]]/(1+GST_Rate),""))</f>
        <v/>
      </c>
      <c r="N874" s="41" t="str">
        <f>IF(MasterFees[[#This Row],[GST Basis]]="Incl",MasterFees[[#This Row],[Fee as Printed]],IF(MasterFees[[#This Row],[GST Basis]]="Excl",MasterFees[[#This Row],[Fee as Printed]]*(1+GST_Rate),""))</f>
        <v/>
      </c>
      <c r="O874" s="42">
        <f>IF(N(MasterFees[[#This Row],[Total Units]])=0,"",MasterFees[[#This Row],[Fee as Printed]]/MasterFees[[#This Row],[Total Units]])</f>
        <v>55</v>
      </c>
      <c r="P874" s="43"/>
      <c r="Q874" s="46" t="s">
        <v>1013</v>
      </c>
      <c r="R874" s="46" t="s">
        <v>1982</v>
      </c>
      <c r="S874" s="37"/>
    </row>
    <row r="875" spans="1:19" x14ac:dyDescent="0.2">
      <c r="A875" s="36"/>
      <c r="B875" s="38" t="str">
        <f>IF(MasterFees[[#This Row],[RVG Code]]="","",_xlfn.XLOOKUP(MasterFees[[#This Row],[RVG Code]],RVGCodes[Code],RVGCodes[Base Units],"Code not found"))</f>
        <v/>
      </c>
      <c r="C875" s="37" t="s">
        <v>867</v>
      </c>
      <c r="D875" s="44" t="s">
        <v>1108</v>
      </c>
      <c r="E875" s="44"/>
      <c r="F875" s="44" t="s">
        <v>1109</v>
      </c>
      <c r="G875" s="39">
        <v>5</v>
      </c>
      <c r="H875" s="39">
        <v>3</v>
      </c>
      <c r="I875" s="39">
        <v>0</v>
      </c>
      <c r="J875" s="39">
        <v>8</v>
      </c>
      <c r="K875" s="40">
        <v>440</v>
      </c>
      <c r="L875" s="45" t="s">
        <v>1015</v>
      </c>
      <c r="M875" s="41" t="str">
        <f>IF(MasterFees[[#This Row],[GST Basis]]="Excl",MasterFees[[#This Row],[Fee as Printed]],IF(MasterFees[[#This Row],[GST Basis]]="Incl",MasterFees[[#This Row],[Fee as Printed]]/(1+GST_Rate),""))</f>
        <v/>
      </c>
      <c r="N875" s="41" t="str">
        <f>IF(MasterFees[[#This Row],[GST Basis]]="Incl",MasterFees[[#This Row],[Fee as Printed]],IF(MasterFees[[#This Row],[GST Basis]]="Excl",MasterFees[[#This Row],[Fee as Printed]]*(1+GST_Rate),""))</f>
        <v/>
      </c>
      <c r="O875" s="42">
        <f>IF(N(MasterFees[[#This Row],[Total Units]])=0,"",MasterFees[[#This Row],[Fee as Printed]]/MasterFees[[#This Row],[Total Units]])</f>
        <v>55</v>
      </c>
      <c r="P875" s="43"/>
      <c r="Q875" s="46" t="s">
        <v>1013</v>
      </c>
      <c r="R875" s="46" t="s">
        <v>1983</v>
      </c>
      <c r="S875" s="37"/>
    </row>
    <row r="876" spans="1:19" x14ac:dyDescent="0.2">
      <c r="A876" s="36"/>
      <c r="B876" s="38" t="str">
        <f>IF(MasterFees[[#This Row],[RVG Code]]="","",_xlfn.XLOOKUP(MasterFees[[#This Row],[RVG Code]],RVGCodes[Code],RVGCodes[Base Units],"Code not found"))</f>
        <v/>
      </c>
      <c r="C876" s="37" t="s">
        <v>868</v>
      </c>
      <c r="D876" s="44" t="s">
        <v>1108</v>
      </c>
      <c r="E876" s="44"/>
      <c r="F876" s="44" t="s">
        <v>1109</v>
      </c>
      <c r="G876" s="39">
        <v>9</v>
      </c>
      <c r="H876" s="39">
        <v>6.5</v>
      </c>
      <c r="I876" s="39">
        <v>2.5</v>
      </c>
      <c r="J876" s="39">
        <v>18</v>
      </c>
      <c r="K876" s="40">
        <v>990</v>
      </c>
      <c r="L876" s="45" t="s">
        <v>1015</v>
      </c>
      <c r="M876" s="41" t="str">
        <f>IF(MasterFees[[#This Row],[GST Basis]]="Excl",MasterFees[[#This Row],[Fee as Printed]],IF(MasterFees[[#This Row],[GST Basis]]="Incl",MasterFees[[#This Row],[Fee as Printed]]/(1+GST_Rate),""))</f>
        <v/>
      </c>
      <c r="N876" s="41" t="str">
        <f>IF(MasterFees[[#This Row],[GST Basis]]="Incl",MasterFees[[#This Row],[Fee as Printed]],IF(MasterFees[[#This Row],[GST Basis]]="Excl",MasterFees[[#This Row],[Fee as Printed]]*(1+GST_Rate),""))</f>
        <v/>
      </c>
      <c r="O876" s="42">
        <f>IF(N(MasterFees[[#This Row],[Total Units]])=0,"",MasterFees[[#This Row],[Fee as Printed]]/MasterFees[[#This Row],[Total Units]])</f>
        <v>55</v>
      </c>
      <c r="P876" s="43"/>
      <c r="Q876" s="46" t="s">
        <v>1013</v>
      </c>
      <c r="R876" s="46" t="s">
        <v>1984</v>
      </c>
      <c r="S876" s="37"/>
    </row>
    <row r="877" spans="1:19" x14ac:dyDescent="0.2">
      <c r="A877" s="36"/>
      <c r="B877" s="38" t="str">
        <f>IF(MasterFees[[#This Row],[RVG Code]]="","",_xlfn.XLOOKUP(MasterFees[[#This Row],[RVG Code]],RVGCodes[Code],RVGCodes[Base Units],"Code not found"))</f>
        <v/>
      </c>
      <c r="C877" s="37" t="s">
        <v>869</v>
      </c>
      <c r="D877" s="44" t="s">
        <v>1108</v>
      </c>
      <c r="E877" s="44"/>
      <c r="F877" s="44" t="s">
        <v>1109</v>
      </c>
      <c r="G877" s="39">
        <v>3.9</v>
      </c>
      <c r="H877" s="39">
        <v>2.6</v>
      </c>
      <c r="I877" s="39">
        <v>0.7</v>
      </c>
      <c r="J877" s="39">
        <v>7.2</v>
      </c>
      <c r="K877" s="40">
        <v>396.55</v>
      </c>
      <c r="L877" s="45" t="s">
        <v>1015</v>
      </c>
      <c r="M877" s="41" t="str">
        <f>IF(MasterFees[[#This Row],[GST Basis]]="Excl",MasterFees[[#This Row],[Fee as Printed]],IF(MasterFees[[#This Row],[GST Basis]]="Incl",MasterFees[[#This Row],[Fee as Printed]]/(1+GST_Rate),""))</f>
        <v/>
      </c>
      <c r="N877" s="41" t="str">
        <f>IF(MasterFees[[#This Row],[GST Basis]]="Incl",MasterFees[[#This Row],[Fee as Printed]],IF(MasterFees[[#This Row],[GST Basis]]="Excl",MasterFees[[#This Row],[Fee as Printed]]*(1+GST_Rate),""))</f>
        <v/>
      </c>
      <c r="O877" s="42">
        <f>IF(N(MasterFees[[#This Row],[Total Units]])=0,"",MasterFees[[#This Row],[Fee as Printed]]/MasterFees[[#This Row],[Total Units]])</f>
        <v>55.076388888888886</v>
      </c>
      <c r="P877" s="43"/>
      <c r="Q877" s="46" t="s">
        <v>1013</v>
      </c>
      <c r="R877" s="46" t="s">
        <v>1985</v>
      </c>
      <c r="S877" s="37"/>
    </row>
    <row r="878" spans="1:19" x14ac:dyDescent="0.2">
      <c r="A878" s="36"/>
      <c r="B878" s="38" t="str">
        <f>IF(MasterFees[[#This Row],[RVG Code]]="","",_xlfn.XLOOKUP(MasterFees[[#This Row],[RVG Code]],RVGCodes[Code],RVGCodes[Base Units],"Code not found"))</f>
        <v/>
      </c>
      <c r="C878" s="37" t="s">
        <v>870</v>
      </c>
      <c r="D878" s="44" t="s">
        <v>1108</v>
      </c>
      <c r="E878" s="44"/>
      <c r="F878" s="44" t="s">
        <v>1109</v>
      </c>
      <c r="G878" s="39">
        <v>0</v>
      </c>
      <c r="H878" s="39">
        <v>0</v>
      </c>
      <c r="I878" s="39">
        <v>0</v>
      </c>
      <c r="J878" s="39">
        <v>0</v>
      </c>
      <c r="K878" s="40">
        <v>0</v>
      </c>
      <c r="L878" s="45" t="s">
        <v>1015</v>
      </c>
      <c r="M878" s="41" t="str">
        <f>IF(MasterFees[[#This Row],[GST Basis]]="Excl",MasterFees[[#This Row],[Fee as Printed]],IF(MasterFees[[#This Row],[GST Basis]]="Incl",MasterFees[[#This Row],[Fee as Printed]]/(1+GST_Rate),""))</f>
        <v/>
      </c>
      <c r="N878" s="41" t="str">
        <f>IF(MasterFees[[#This Row],[GST Basis]]="Incl",MasterFees[[#This Row],[Fee as Printed]],IF(MasterFees[[#This Row],[GST Basis]]="Excl",MasterFees[[#This Row],[Fee as Printed]]*(1+GST_Rate),""))</f>
        <v/>
      </c>
      <c r="O878" s="42" t="str">
        <f>IF(N(MasterFees[[#This Row],[Total Units]])=0,"",MasterFees[[#This Row],[Fee as Printed]]/MasterFees[[#This Row],[Total Units]])</f>
        <v/>
      </c>
      <c r="P878" s="43"/>
      <c r="Q878" s="46" t="s">
        <v>1013</v>
      </c>
      <c r="R878" s="46" t="s">
        <v>1986</v>
      </c>
      <c r="S878" s="37"/>
    </row>
    <row r="879" spans="1:19" x14ac:dyDescent="0.2">
      <c r="A879" s="36"/>
      <c r="B879" s="38" t="str">
        <f>IF(MasterFees[[#This Row],[RVG Code]]="","",_xlfn.XLOOKUP(MasterFees[[#This Row],[RVG Code]],RVGCodes[Code],RVGCodes[Base Units],"Code not found"))</f>
        <v/>
      </c>
      <c r="C879" s="37" t="s">
        <v>871</v>
      </c>
      <c r="D879" s="44" t="s">
        <v>1108</v>
      </c>
      <c r="E879" s="44"/>
      <c r="F879" s="44" t="s">
        <v>1109</v>
      </c>
      <c r="G879" s="39">
        <v>5.0999999999999996</v>
      </c>
      <c r="H879" s="39">
        <v>4</v>
      </c>
      <c r="I879" s="39">
        <v>1.1000000000000001</v>
      </c>
      <c r="J879" s="39">
        <v>10.199999999999999</v>
      </c>
      <c r="K879" s="40">
        <v>558.25</v>
      </c>
      <c r="L879" s="45" t="s">
        <v>1015</v>
      </c>
      <c r="M879" s="41" t="str">
        <f>IF(MasterFees[[#This Row],[GST Basis]]="Excl",MasterFees[[#This Row],[Fee as Printed]],IF(MasterFees[[#This Row],[GST Basis]]="Incl",MasterFees[[#This Row],[Fee as Printed]]/(1+GST_Rate),""))</f>
        <v/>
      </c>
      <c r="N879" s="41" t="str">
        <f>IF(MasterFees[[#This Row],[GST Basis]]="Incl",MasterFees[[#This Row],[Fee as Printed]],IF(MasterFees[[#This Row],[GST Basis]]="Excl",MasterFees[[#This Row],[Fee as Printed]]*(1+GST_Rate),""))</f>
        <v/>
      </c>
      <c r="O879" s="42">
        <f>IF(N(MasterFees[[#This Row],[Total Units]])=0,"",MasterFees[[#This Row],[Fee as Printed]]/MasterFees[[#This Row],[Total Units]])</f>
        <v>54.730392156862749</v>
      </c>
      <c r="P879" s="43"/>
      <c r="Q879" s="46" t="s">
        <v>1013</v>
      </c>
      <c r="R879" s="46" t="s">
        <v>1987</v>
      </c>
      <c r="S879" s="37"/>
    </row>
    <row r="880" spans="1:19" x14ac:dyDescent="0.2">
      <c r="A880" s="36"/>
      <c r="B880" s="38" t="str">
        <f>IF(MasterFees[[#This Row],[RVG Code]]="","",_xlfn.XLOOKUP(MasterFees[[#This Row],[RVG Code]],RVGCodes[Code],RVGCodes[Base Units],"Code not found"))</f>
        <v/>
      </c>
      <c r="C880" s="37" t="s">
        <v>872</v>
      </c>
      <c r="D880" s="44" t="s">
        <v>1108</v>
      </c>
      <c r="E880" s="44"/>
      <c r="F880" s="44" t="s">
        <v>1109</v>
      </c>
      <c r="G880" s="39">
        <v>10</v>
      </c>
      <c r="H880" s="39">
        <v>5</v>
      </c>
      <c r="I880" s="39">
        <v>0</v>
      </c>
      <c r="J880" s="39">
        <v>15</v>
      </c>
      <c r="K880" s="40">
        <v>825</v>
      </c>
      <c r="L880" s="45" t="s">
        <v>1015</v>
      </c>
      <c r="M880" s="41" t="str">
        <f>IF(MasterFees[[#This Row],[GST Basis]]="Excl",MasterFees[[#This Row],[Fee as Printed]],IF(MasterFees[[#This Row],[GST Basis]]="Incl",MasterFees[[#This Row],[Fee as Printed]]/(1+GST_Rate),""))</f>
        <v/>
      </c>
      <c r="N880" s="41" t="str">
        <f>IF(MasterFees[[#This Row],[GST Basis]]="Incl",MasterFees[[#This Row],[Fee as Printed]],IF(MasterFees[[#This Row],[GST Basis]]="Excl",MasterFees[[#This Row],[Fee as Printed]]*(1+GST_Rate),""))</f>
        <v/>
      </c>
      <c r="O880" s="42">
        <f>IF(N(MasterFees[[#This Row],[Total Units]])=0,"",MasterFees[[#This Row],[Fee as Printed]]/MasterFees[[#This Row],[Total Units]])</f>
        <v>55</v>
      </c>
      <c r="P880" s="43"/>
      <c r="Q880" s="46" t="s">
        <v>1013</v>
      </c>
      <c r="R880" s="46" t="s">
        <v>1988</v>
      </c>
      <c r="S880" s="37"/>
    </row>
    <row r="881" spans="1:19" x14ac:dyDescent="0.2">
      <c r="A881" s="36"/>
      <c r="B881" s="38" t="str">
        <f>IF(MasterFees[[#This Row],[RVG Code]]="","",_xlfn.XLOOKUP(MasterFees[[#This Row],[RVG Code]],RVGCodes[Code],RVGCodes[Base Units],"Code not found"))</f>
        <v/>
      </c>
      <c r="C881" s="37" t="s">
        <v>873</v>
      </c>
      <c r="D881" s="44" t="s">
        <v>1108</v>
      </c>
      <c r="E881" s="44"/>
      <c r="F881" s="44" t="s">
        <v>1109</v>
      </c>
      <c r="G881" s="39">
        <v>5.0999999999999996</v>
      </c>
      <c r="H881" s="39">
        <v>5.9</v>
      </c>
      <c r="I881" s="39">
        <v>0.4</v>
      </c>
      <c r="J881" s="39">
        <v>11.3</v>
      </c>
      <c r="K881" s="40">
        <v>623.70000000000005</v>
      </c>
      <c r="L881" s="45" t="s">
        <v>1015</v>
      </c>
      <c r="M881" s="41" t="str">
        <f>IF(MasterFees[[#This Row],[GST Basis]]="Excl",MasterFees[[#This Row],[Fee as Printed]],IF(MasterFees[[#This Row],[GST Basis]]="Incl",MasterFees[[#This Row],[Fee as Printed]]/(1+GST_Rate),""))</f>
        <v/>
      </c>
      <c r="N881" s="41" t="str">
        <f>IF(MasterFees[[#This Row],[GST Basis]]="Incl",MasterFees[[#This Row],[Fee as Printed]],IF(MasterFees[[#This Row],[GST Basis]]="Excl",MasterFees[[#This Row],[Fee as Printed]]*(1+GST_Rate),""))</f>
        <v/>
      </c>
      <c r="O881" s="42">
        <f>IF(N(MasterFees[[#This Row],[Total Units]])=0,"",MasterFees[[#This Row],[Fee as Printed]]/MasterFees[[#This Row],[Total Units]])</f>
        <v>55.194690265486727</v>
      </c>
      <c r="P881" s="43"/>
      <c r="Q881" s="46" t="s">
        <v>1013</v>
      </c>
      <c r="R881" s="46" t="s">
        <v>1989</v>
      </c>
      <c r="S881" s="37"/>
    </row>
    <row r="882" spans="1:19" x14ac:dyDescent="0.2">
      <c r="A882" s="36"/>
      <c r="B882" s="38" t="str">
        <f>IF(MasterFees[[#This Row],[RVG Code]]="","",_xlfn.XLOOKUP(MasterFees[[#This Row],[RVG Code]],RVGCodes[Code],RVGCodes[Base Units],"Code not found"))</f>
        <v/>
      </c>
      <c r="C882" s="37" t="s">
        <v>874</v>
      </c>
      <c r="D882" s="44" t="s">
        <v>1108</v>
      </c>
      <c r="E882" s="44"/>
      <c r="F882" s="44" t="s">
        <v>1109</v>
      </c>
      <c r="G882" s="39">
        <v>4.2</v>
      </c>
      <c r="H882" s="39">
        <v>2</v>
      </c>
      <c r="I882" s="39">
        <v>0.2</v>
      </c>
      <c r="J882" s="39">
        <v>6.4</v>
      </c>
      <c r="K882" s="40">
        <v>352</v>
      </c>
      <c r="L882" s="45" t="s">
        <v>1015</v>
      </c>
      <c r="M882" s="41" t="str">
        <f>IF(MasterFees[[#This Row],[GST Basis]]="Excl",MasterFees[[#This Row],[Fee as Printed]],IF(MasterFees[[#This Row],[GST Basis]]="Incl",MasterFees[[#This Row],[Fee as Printed]]/(1+GST_Rate),""))</f>
        <v/>
      </c>
      <c r="N882" s="41" t="str">
        <f>IF(MasterFees[[#This Row],[GST Basis]]="Incl",MasterFees[[#This Row],[Fee as Printed]],IF(MasterFees[[#This Row],[GST Basis]]="Excl",MasterFees[[#This Row],[Fee as Printed]]*(1+GST_Rate),""))</f>
        <v/>
      </c>
      <c r="O882" s="42">
        <f>IF(N(MasterFees[[#This Row],[Total Units]])=0,"",MasterFees[[#This Row],[Fee as Printed]]/MasterFees[[#This Row],[Total Units]])</f>
        <v>55</v>
      </c>
      <c r="P882" s="43"/>
      <c r="Q882" s="46" t="s">
        <v>1013</v>
      </c>
      <c r="R882" s="46" t="s">
        <v>1990</v>
      </c>
      <c r="S882" s="37"/>
    </row>
    <row r="883" spans="1:19" x14ac:dyDescent="0.2">
      <c r="A883" s="36"/>
      <c r="B883" s="38" t="str">
        <f>IF(MasterFees[[#This Row],[RVG Code]]="","",_xlfn.XLOOKUP(MasterFees[[#This Row],[RVG Code]],RVGCodes[Code],RVGCodes[Base Units],"Code not found"))</f>
        <v/>
      </c>
      <c r="C883" s="37" t="s">
        <v>875</v>
      </c>
      <c r="D883" s="44" t="s">
        <v>1108</v>
      </c>
      <c r="E883" s="44"/>
      <c r="F883" s="44" t="s">
        <v>1109</v>
      </c>
      <c r="G883" s="39">
        <v>8</v>
      </c>
      <c r="H883" s="39">
        <v>7.3</v>
      </c>
      <c r="I883" s="39">
        <v>1.3</v>
      </c>
      <c r="J883" s="39">
        <v>16.600000000000001</v>
      </c>
      <c r="K883" s="40">
        <v>911.9</v>
      </c>
      <c r="L883" s="45" t="s">
        <v>1015</v>
      </c>
      <c r="M883" s="41" t="str">
        <f>IF(MasterFees[[#This Row],[GST Basis]]="Excl",MasterFees[[#This Row],[Fee as Printed]],IF(MasterFees[[#This Row],[GST Basis]]="Incl",MasterFees[[#This Row],[Fee as Printed]]/(1+GST_Rate),""))</f>
        <v/>
      </c>
      <c r="N883" s="41" t="str">
        <f>IF(MasterFees[[#This Row],[GST Basis]]="Incl",MasterFees[[#This Row],[Fee as Printed]],IF(MasterFees[[#This Row],[GST Basis]]="Excl",MasterFees[[#This Row],[Fee as Printed]]*(1+GST_Rate),""))</f>
        <v/>
      </c>
      <c r="O883" s="42">
        <f>IF(N(MasterFees[[#This Row],[Total Units]])=0,"",MasterFees[[#This Row],[Fee as Printed]]/MasterFees[[#This Row],[Total Units]])</f>
        <v>54.933734939759027</v>
      </c>
      <c r="P883" s="43"/>
      <c r="Q883" s="46" t="s">
        <v>1013</v>
      </c>
      <c r="R883" s="46" t="s">
        <v>1991</v>
      </c>
      <c r="S883" s="37"/>
    </row>
    <row r="884" spans="1:19" x14ac:dyDescent="0.2">
      <c r="A884" s="36"/>
      <c r="B884" s="38" t="str">
        <f>IF(MasterFees[[#This Row],[RVG Code]]="","",_xlfn.XLOOKUP(MasterFees[[#This Row],[RVG Code]],RVGCodes[Code],RVGCodes[Base Units],"Code not found"))</f>
        <v/>
      </c>
      <c r="C884" s="37" t="s">
        <v>876</v>
      </c>
      <c r="D884" s="44" t="s">
        <v>1108</v>
      </c>
      <c r="E884" s="44"/>
      <c r="F884" s="44" t="s">
        <v>1109</v>
      </c>
      <c r="G884" s="39">
        <v>6.7</v>
      </c>
      <c r="H884" s="39">
        <v>15.8</v>
      </c>
      <c r="I884" s="39">
        <v>1.2</v>
      </c>
      <c r="J884" s="39">
        <v>23.7</v>
      </c>
      <c r="K884" s="40">
        <v>1300.75</v>
      </c>
      <c r="L884" s="45" t="s">
        <v>1015</v>
      </c>
      <c r="M884" s="41" t="str">
        <f>IF(MasterFees[[#This Row],[GST Basis]]="Excl",MasterFees[[#This Row],[Fee as Printed]],IF(MasterFees[[#This Row],[GST Basis]]="Incl",MasterFees[[#This Row],[Fee as Printed]]/(1+GST_Rate),""))</f>
        <v/>
      </c>
      <c r="N884" s="41" t="str">
        <f>IF(MasterFees[[#This Row],[GST Basis]]="Incl",MasterFees[[#This Row],[Fee as Printed]],IF(MasterFees[[#This Row],[GST Basis]]="Excl",MasterFees[[#This Row],[Fee as Printed]]*(1+GST_Rate),""))</f>
        <v/>
      </c>
      <c r="O884" s="42">
        <f>IF(N(MasterFees[[#This Row],[Total Units]])=0,"",MasterFees[[#This Row],[Fee as Printed]]/MasterFees[[#This Row],[Total Units]])</f>
        <v>54.883966244725741</v>
      </c>
      <c r="P884" s="43"/>
      <c r="Q884" s="46" t="s">
        <v>1013</v>
      </c>
      <c r="R884" s="46" t="s">
        <v>1992</v>
      </c>
      <c r="S884" s="37"/>
    </row>
    <row r="885" spans="1:19" x14ac:dyDescent="0.2">
      <c r="A885" s="36"/>
      <c r="B885" s="38" t="str">
        <f>IF(MasterFees[[#This Row],[RVG Code]]="","",_xlfn.XLOOKUP(MasterFees[[#This Row],[RVG Code]],RVGCodes[Code],RVGCodes[Base Units],"Code not found"))</f>
        <v/>
      </c>
      <c r="C885" s="37" t="s">
        <v>877</v>
      </c>
      <c r="D885" s="44" t="s">
        <v>1108</v>
      </c>
      <c r="E885" s="44"/>
      <c r="F885" s="44" t="s">
        <v>1109</v>
      </c>
      <c r="G885" s="39">
        <v>10</v>
      </c>
      <c r="H885" s="39">
        <v>11.5</v>
      </c>
      <c r="I885" s="39">
        <v>1.5</v>
      </c>
      <c r="J885" s="39">
        <v>23</v>
      </c>
      <c r="K885" s="40">
        <v>1265</v>
      </c>
      <c r="L885" s="45" t="s">
        <v>1015</v>
      </c>
      <c r="M885" s="41" t="str">
        <f>IF(MasterFees[[#This Row],[GST Basis]]="Excl",MasterFees[[#This Row],[Fee as Printed]],IF(MasterFees[[#This Row],[GST Basis]]="Incl",MasterFees[[#This Row],[Fee as Printed]]/(1+GST_Rate),""))</f>
        <v/>
      </c>
      <c r="N885" s="41" t="str">
        <f>IF(MasterFees[[#This Row],[GST Basis]]="Incl",MasterFees[[#This Row],[Fee as Printed]],IF(MasterFees[[#This Row],[GST Basis]]="Excl",MasterFees[[#This Row],[Fee as Printed]]*(1+GST_Rate),""))</f>
        <v/>
      </c>
      <c r="O885" s="42">
        <f>IF(N(MasterFees[[#This Row],[Total Units]])=0,"",MasterFees[[#This Row],[Fee as Printed]]/MasterFees[[#This Row],[Total Units]])</f>
        <v>55</v>
      </c>
      <c r="P885" s="43"/>
      <c r="Q885" s="46" t="s">
        <v>1013</v>
      </c>
      <c r="R885" s="46" t="s">
        <v>1993</v>
      </c>
      <c r="S885" s="37"/>
    </row>
    <row r="886" spans="1:19" x14ac:dyDescent="0.2">
      <c r="A886" s="36"/>
      <c r="B886" s="38" t="str">
        <f>IF(MasterFees[[#This Row],[RVG Code]]="","",_xlfn.XLOOKUP(MasterFees[[#This Row],[RVG Code]],RVGCodes[Code],RVGCodes[Base Units],"Code not found"))</f>
        <v/>
      </c>
      <c r="C886" s="37" t="s">
        <v>878</v>
      </c>
      <c r="D886" s="44" t="s">
        <v>1108</v>
      </c>
      <c r="E886" s="44"/>
      <c r="F886" s="44" t="s">
        <v>1109</v>
      </c>
      <c r="G886" s="39">
        <v>8</v>
      </c>
      <c r="H886" s="39">
        <v>7</v>
      </c>
      <c r="I886" s="39">
        <v>1.5</v>
      </c>
      <c r="J886" s="39">
        <v>16.5</v>
      </c>
      <c r="K886" s="40">
        <v>907.5</v>
      </c>
      <c r="L886" s="45" t="s">
        <v>1015</v>
      </c>
      <c r="M886" s="41" t="str">
        <f>IF(MasterFees[[#This Row],[GST Basis]]="Excl",MasterFees[[#This Row],[Fee as Printed]],IF(MasterFees[[#This Row],[GST Basis]]="Incl",MasterFees[[#This Row],[Fee as Printed]]/(1+GST_Rate),""))</f>
        <v/>
      </c>
      <c r="N886" s="41" t="str">
        <f>IF(MasterFees[[#This Row],[GST Basis]]="Incl",MasterFees[[#This Row],[Fee as Printed]],IF(MasterFees[[#This Row],[GST Basis]]="Excl",MasterFees[[#This Row],[Fee as Printed]]*(1+GST_Rate),""))</f>
        <v/>
      </c>
      <c r="O886" s="42">
        <f>IF(N(MasterFees[[#This Row],[Total Units]])=0,"",MasterFees[[#This Row],[Fee as Printed]]/MasterFees[[#This Row],[Total Units]])</f>
        <v>55</v>
      </c>
      <c r="P886" s="43"/>
      <c r="Q886" s="46" t="s">
        <v>1013</v>
      </c>
      <c r="R886" s="46" t="s">
        <v>1994</v>
      </c>
      <c r="S886" s="37"/>
    </row>
    <row r="887" spans="1:19" x14ac:dyDescent="0.2">
      <c r="A887" s="36"/>
      <c r="B887" s="38" t="str">
        <f>IF(MasterFees[[#This Row],[RVG Code]]="","",_xlfn.XLOOKUP(MasterFees[[#This Row],[RVG Code]],RVGCodes[Code],RVGCodes[Base Units],"Code not found"))</f>
        <v/>
      </c>
      <c r="C887" s="37" t="s">
        <v>879</v>
      </c>
      <c r="D887" s="44" t="s">
        <v>1108</v>
      </c>
      <c r="E887" s="44"/>
      <c r="F887" s="44" t="s">
        <v>1109</v>
      </c>
      <c r="G887" s="39">
        <v>6</v>
      </c>
      <c r="H887" s="39">
        <v>3</v>
      </c>
      <c r="I887" s="39">
        <v>2</v>
      </c>
      <c r="J887" s="39">
        <v>11</v>
      </c>
      <c r="K887" s="40">
        <v>605</v>
      </c>
      <c r="L887" s="45" t="s">
        <v>1015</v>
      </c>
      <c r="M887" s="41" t="str">
        <f>IF(MasterFees[[#This Row],[GST Basis]]="Excl",MasterFees[[#This Row],[Fee as Printed]],IF(MasterFees[[#This Row],[GST Basis]]="Incl",MasterFees[[#This Row],[Fee as Printed]]/(1+GST_Rate),""))</f>
        <v/>
      </c>
      <c r="N887" s="41" t="str">
        <f>IF(MasterFees[[#This Row],[GST Basis]]="Incl",MasterFees[[#This Row],[Fee as Printed]],IF(MasterFees[[#This Row],[GST Basis]]="Excl",MasterFees[[#This Row],[Fee as Printed]]*(1+GST_Rate),""))</f>
        <v/>
      </c>
      <c r="O887" s="42">
        <f>IF(N(MasterFees[[#This Row],[Total Units]])=0,"",MasterFees[[#This Row],[Fee as Printed]]/MasterFees[[#This Row],[Total Units]])</f>
        <v>55</v>
      </c>
      <c r="P887" s="43"/>
      <c r="Q887" s="46" t="s">
        <v>1013</v>
      </c>
      <c r="R887" s="46" t="s">
        <v>1995</v>
      </c>
      <c r="S887" s="37"/>
    </row>
    <row r="888" spans="1:19" x14ac:dyDescent="0.2">
      <c r="A888" s="36"/>
      <c r="B888" s="38" t="str">
        <f>IF(MasterFees[[#This Row],[RVG Code]]="","",_xlfn.XLOOKUP(MasterFees[[#This Row],[RVG Code]],RVGCodes[Code],RVGCodes[Base Units],"Code not found"))</f>
        <v/>
      </c>
      <c r="C888" s="37" t="s">
        <v>880</v>
      </c>
      <c r="D888" s="44" t="s">
        <v>1108</v>
      </c>
      <c r="E888" s="44"/>
      <c r="F888" s="44" t="s">
        <v>1109</v>
      </c>
      <c r="G888" s="39">
        <v>4</v>
      </c>
      <c r="H888" s="39">
        <v>2</v>
      </c>
      <c r="I888" s="39">
        <v>0</v>
      </c>
      <c r="J888" s="39">
        <v>6</v>
      </c>
      <c r="K888" s="40">
        <v>330</v>
      </c>
      <c r="L888" s="45" t="s">
        <v>1015</v>
      </c>
      <c r="M888" s="41" t="str">
        <f>IF(MasterFees[[#This Row],[GST Basis]]="Excl",MasterFees[[#This Row],[Fee as Printed]],IF(MasterFees[[#This Row],[GST Basis]]="Incl",MasterFees[[#This Row],[Fee as Printed]]/(1+GST_Rate),""))</f>
        <v/>
      </c>
      <c r="N888" s="41" t="str">
        <f>IF(MasterFees[[#This Row],[GST Basis]]="Incl",MasterFees[[#This Row],[Fee as Printed]],IF(MasterFees[[#This Row],[GST Basis]]="Excl",MasterFees[[#This Row],[Fee as Printed]]*(1+GST_Rate),""))</f>
        <v/>
      </c>
      <c r="O888" s="42">
        <f>IF(N(MasterFees[[#This Row],[Total Units]])=0,"",MasterFees[[#This Row],[Fee as Printed]]/MasterFees[[#This Row],[Total Units]])</f>
        <v>55</v>
      </c>
      <c r="P888" s="43"/>
      <c r="Q888" s="46" t="s">
        <v>1013</v>
      </c>
      <c r="R888" s="46" t="s">
        <v>1996</v>
      </c>
      <c r="S888" s="37"/>
    </row>
    <row r="889" spans="1:19" x14ac:dyDescent="0.2">
      <c r="A889" s="36"/>
      <c r="B889" s="38" t="str">
        <f>IF(MasterFees[[#This Row],[RVG Code]]="","",_xlfn.XLOOKUP(MasterFees[[#This Row],[RVG Code]],RVGCodes[Code],RVGCodes[Base Units],"Code not found"))</f>
        <v/>
      </c>
      <c r="C889" s="37" t="s">
        <v>881</v>
      </c>
      <c r="D889" s="44" t="s">
        <v>1108</v>
      </c>
      <c r="E889" s="44"/>
      <c r="F889" s="44" t="s">
        <v>1109</v>
      </c>
      <c r="G889" s="39">
        <v>4.5999999999999996</v>
      </c>
      <c r="H889" s="39">
        <v>2.7</v>
      </c>
      <c r="I889" s="39">
        <v>0.4</v>
      </c>
      <c r="J889" s="39">
        <v>7.6</v>
      </c>
      <c r="K889" s="40">
        <v>420.2</v>
      </c>
      <c r="L889" s="45" t="s">
        <v>1015</v>
      </c>
      <c r="M889" s="41" t="str">
        <f>IF(MasterFees[[#This Row],[GST Basis]]="Excl",MasterFees[[#This Row],[Fee as Printed]],IF(MasterFees[[#This Row],[GST Basis]]="Incl",MasterFees[[#This Row],[Fee as Printed]]/(1+GST_Rate),""))</f>
        <v/>
      </c>
      <c r="N889" s="41" t="str">
        <f>IF(MasterFees[[#This Row],[GST Basis]]="Incl",MasterFees[[#This Row],[Fee as Printed]],IF(MasterFees[[#This Row],[GST Basis]]="Excl",MasterFees[[#This Row],[Fee as Printed]]*(1+GST_Rate),""))</f>
        <v/>
      </c>
      <c r="O889" s="42">
        <f>IF(N(MasterFees[[#This Row],[Total Units]])=0,"",MasterFees[[#This Row],[Fee as Printed]]/MasterFees[[#This Row],[Total Units]])</f>
        <v>55.289473684210527</v>
      </c>
      <c r="P889" s="43"/>
      <c r="Q889" s="46" t="s">
        <v>1013</v>
      </c>
      <c r="R889" s="46" t="s">
        <v>1997</v>
      </c>
      <c r="S889" s="37"/>
    </row>
    <row r="890" spans="1:19" x14ac:dyDescent="0.2">
      <c r="A890" s="36"/>
      <c r="B890" s="38" t="str">
        <f>IF(MasterFees[[#This Row],[RVG Code]]="","",_xlfn.XLOOKUP(MasterFees[[#This Row],[RVG Code]],RVGCodes[Code],RVGCodes[Base Units],"Code not found"))</f>
        <v/>
      </c>
      <c r="C890" s="37" t="s">
        <v>882</v>
      </c>
      <c r="D890" s="44" t="s">
        <v>1108</v>
      </c>
      <c r="E890" s="44"/>
      <c r="F890" s="44" t="s">
        <v>1109</v>
      </c>
      <c r="G890" s="39">
        <v>5</v>
      </c>
      <c r="H890" s="39">
        <v>2</v>
      </c>
      <c r="I890" s="39">
        <v>0</v>
      </c>
      <c r="J890" s="39">
        <v>7</v>
      </c>
      <c r="K890" s="40">
        <v>385</v>
      </c>
      <c r="L890" s="45" t="s">
        <v>1015</v>
      </c>
      <c r="M890" s="41" t="str">
        <f>IF(MasterFees[[#This Row],[GST Basis]]="Excl",MasterFees[[#This Row],[Fee as Printed]],IF(MasterFees[[#This Row],[GST Basis]]="Incl",MasterFees[[#This Row],[Fee as Printed]]/(1+GST_Rate),""))</f>
        <v/>
      </c>
      <c r="N890" s="41" t="str">
        <f>IF(MasterFees[[#This Row],[GST Basis]]="Incl",MasterFees[[#This Row],[Fee as Printed]],IF(MasterFees[[#This Row],[GST Basis]]="Excl",MasterFees[[#This Row],[Fee as Printed]]*(1+GST_Rate),""))</f>
        <v/>
      </c>
      <c r="O890" s="42">
        <f>IF(N(MasterFees[[#This Row],[Total Units]])=0,"",MasterFees[[#This Row],[Fee as Printed]]/MasterFees[[#This Row],[Total Units]])</f>
        <v>55</v>
      </c>
      <c r="P890" s="43"/>
      <c r="Q890" s="46" t="s">
        <v>1013</v>
      </c>
      <c r="R890" s="46" t="s">
        <v>1998</v>
      </c>
      <c r="S890" s="37"/>
    </row>
    <row r="891" spans="1:19" x14ac:dyDescent="0.2">
      <c r="A891" s="36"/>
      <c r="B891" s="38" t="str">
        <f>IF(MasterFees[[#This Row],[RVG Code]]="","",_xlfn.XLOOKUP(MasterFees[[#This Row],[RVG Code]],RVGCodes[Code],RVGCodes[Base Units],"Code not found"))</f>
        <v/>
      </c>
      <c r="C891" s="37" t="s">
        <v>883</v>
      </c>
      <c r="D891" s="44" t="s">
        <v>1108</v>
      </c>
      <c r="E891" s="44"/>
      <c r="F891" s="44" t="s">
        <v>1109</v>
      </c>
      <c r="G891" s="39">
        <v>5</v>
      </c>
      <c r="H891" s="39">
        <v>5</v>
      </c>
      <c r="I891" s="39">
        <v>0</v>
      </c>
      <c r="J891" s="39">
        <v>10</v>
      </c>
      <c r="K891" s="40">
        <v>550</v>
      </c>
      <c r="L891" s="45" t="s">
        <v>1015</v>
      </c>
      <c r="M891" s="41" t="str">
        <f>IF(MasterFees[[#This Row],[GST Basis]]="Excl",MasterFees[[#This Row],[Fee as Printed]],IF(MasterFees[[#This Row],[GST Basis]]="Incl",MasterFees[[#This Row],[Fee as Printed]]/(1+GST_Rate),""))</f>
        <v/>
      </c>
      <c r="N891" s="41" t="str">
        <f>IF(MasterFees[[#This Row],[GST Basis]]="Incl",MasterFees[[#This Row],[Fee as Printed]],IF(MasterFees[[#This Row],[GST Basis]]="Excl",MasterFees[[#This Row],[Fee as Printed]]*(1+GST_Rate),""))</f>
        <v/>
      </c>
      <c r="O891" s="42">
        <f>IF(N(MasterFees[[#This Row],[Total Units]])=0,"",MasterFees[[#This Row],[Fee as Printed]]/MasterFees[[#This Row],[Total Units]])</f>
        <v>55</v>
      </c>
      <c r="P891" s="43"/>
      <c r="Q891" s="46" t="s">
        <v>1013</v>
      </c>
      <c r="R891" s="46" t="s">
        <v>1999</v>
      </c>
      <c r="S891" s="37"/>
    </row>
    <row r="892" spans="1:19" x14ac:dyDescent="0.2">
      <c r="A892" s="36"/>
      <c r="B892" s="38" t="str">
        <f>IF(MasterFees[[#This Row],[RVG Code]]="","",_xlfn.XLOOKUP(MasterFees[[#This Row],[RVG Code]],RVGCodes[Code],RVGCodes[Base Units],"Code not found"))</f>
        <v/>
      </c>
      <c r="C892" s="37" t="s">
        <v>884</v>
      </c>
      <c r="D892" s="44" t="s">
        <v>1108</v>
      </c>
      <c r="E892" s="44"/>
      <c r="F892" s="44" t="s">
        <v>1109</v>
      </c>
      <c r="G892" s="39">
        <v>0</v>
      </c>
      <c r="H892" s="39">
        <v>4</v>
      </c>
      <c r="I892" s="39">
        <v>0</v>
      </c>
      <c r="J892" s="39">
        <v>4</v>
      </c>
      <c r="K892" s="40">
        <v>220</v>
      </c>
      <c r="L892" s="45" t="s">
        <v>1015</v>
      </c>
      <c r="M892" s="41" t="str">
        <f>IF(MasterFees[[#This Row],[GST Basis]]="Excl",MasterFees[[#This Row],[Fee as Printed]],IF(MasterFees[[#This Row],[GST Basis]]="Incl",MasterFees[[#This Row],[Fee as Printed]]/(1+GST_Rate),""))</f>
        <v/>
      </c>
      <c r="N892" s="41" t="str">
        <f>IF(MasterFees[[#This Row],[GST Basis]]="Incl",MasterFees[[#This Row],[Fee as Printed]],IF(MasterFees[[#This Row],[GST Basis]]="Excl",MasterFees[[#This Row],[Fee as Printed]]*(1+GST_Rate),""))</f>
        <v/>
      </c>
      <c r="O892" s="42">
        <f>IF(N(MasterFees[[#This Row],[Total Units]])=0,"",MasterFees[[#This Row],[Fee as Printed]]/MasterFees[[#This Row],[Total Units]])</f>
        <v>55</v>
      </c>
      <c r="P892" s="43"/>
      <c r="Q892" s="46" t="s">
        <v>1013</v>
      </c>
      <c r="R892" s="46" t="s">
        <v>2000</v>
      </c>
      <c r="S892" s="37"/>
    </row>
    <row r="893" spans="1:19" x14ac:dyDescent="0.2">
      <c r="A893" s="36"/>
      <c r="B893" s="38" t="str">
        <f>IF(MasterFees[[#This Row],[RVG Code]]="","",_xlfn.XLOOKUP(MasterFees[[#This Row],[RVG Code]],RVGCodes[Code],RVGCodes[Base Units],"Code not found"))</f>
        <v/>
      </c>
      <c r="C893" s="37" t="s">
        <v>885</v>
      </c>
      <c r="D893" s="44" t="s">
        <v>1108</v>
      </c>
      <c r="E893" s="44"/>
      <c r="F893" s="44" t="s">
        <v>1109</v>
      </c>
      <c r="G893" s="39">
        <v>0</v>
      </c>
      <c r="H893" s="39">
        <v>0</v>
      </c>
      <c r="I893" s="39">
        <v>0</v>
      </c>
      <c r="J893" s="39">
        <v>0</v>
      </c>
      <c r="K893" s="40">
        <v>0</v>
      </c>
      <c r="L893" s="45" t="s">
        <v>1015</v>
      </c>
      <c r="M893" s="41" t="str">
        <f>IF(MasterFees[[#This Row],[GST Basis]]="Excl",MasterFees[[#This Row],[Fee as Printed]],IF(MasterFees[[#This Row],[GST Basis]]="Incl",MasterFees[[#This Row],[Fee as Printed]]/(1+GST_Rate),""))</f>
        <v/>
      </c>
      <c r="N893" s="41" t="str">
        <f>IF(MasterFees[[#This Row],[GST Basis]]="Incl",MasterFees[[#This Row],[Fee as Printed]],IF(MasterFees[[#This Row],[GST Basis]]="Excl",MasterFees[[#This Row],[Fee as Printed]]*(1+GST_Rate),""))</f>
        <v/>
      </c>
      <c r="O893" s="42" t="str">
        <f>IF(N(MasterFees[[#This Row],[Total Units]])=0,"",MasterFees[[#This Row],[Fee as Printed]]/MasterFees[[#This Row],[Total Units]])</f>
        <v/>
      </c>
      <c r="P893" s="43"/>
      <c r="Q893" s="46" t="s">
        <v>1013</v>
      </c>
      <c r="R893" s="46" t="s">
        <v>2001</v>
      </c>
      <c r="S893" s="37"/>
    </row>
    <row r="894" spans="1:19" x14ac:dyDescent="0.2">
      <c r="A894" s="36"/>
      <c r="B894" s="38" t="str">
        <f>IF(MasterFees[[#This Row],[RVG Code]]="","",_xlfn.XLOOKUP(MasterFees[[#This Row],[RVG Code]],RVGCodes[Code],RVGCodes[Base Units],"Code not found"))</f>
        <v/>
      </c>
      <c r="C894" s="37" t="s">
        <v>886</v>
      </c>
      <c r="D894" s="44" t="s">
        <v>1108</v>
      </c>
      <c r="E894" s="44"/>
      <c r="F894" s="44" t="s">
        <v>1109</v>
      </c>
      <c r="G894" s="39">
        <v>3</v>
      </c>
      <c r="H894" s="39">
        <v>2.7</v>
      </c>
      <c r="I894" s="39">
        <v>0</v>
      </c>
      <c r="J894" s="39">
        <v>5.7</v>
      </c>
      <c r="K894" s="40">
        <v>311.3</v>
      </c>
      <c r="L894" s="45" t="s">
        <v>1015</v>
      </c>
      <c r="M894" s="41" t="str">
        <f>IF(MasterFees[[#This Row],[GST Basis]]="Excl",MasterFees[[#This Row],[Fee as Printed]],IF(MasterFees[[#This Row],[GST Basis]]="Incl",MasterFees[[#This Row],[Fee as Printed]]/(1+GST_Rate),""))</f>
        <v/>
      </c>
      <c r="N894" s="41" t="str">
        <f>IF(MasterFees[[#This Row],[GST Basis]]="Incl",MasterFees[[#This Row],[Fee as Printed]],IF(MasterFees[[#This Row],[GST Basis]]="Excl",MasterFees[[#This Row],[Fee as Printed]]*(1+GST_Rate),""))</f>
        <v/>
      </c>
      <c r="O894" s="42">
        <f>IF(N(MasterFees[[#This Row],[Total Units]])=0,"",MasterFees[[#This Row],[Fee as Printed]]/MasterFees[[#This Row],[Total Units]])</f>
        <v>54.614035087719301</v>
      </c>
      <c r="P894" s="43"/>
      <c r="Q894" s="46" t="s">
        <v>1013</v>
      </c>
      <c r="R894" s="46" t="s">
        <v>2002</v>
      </c>
      <c r="S894" s="37"/>
    </row>
    <row r="895" spans="1:19" x14ac:dyDescent="0.2">
      <c r="A895" s="36"/>
      <c r="B895" s="38" t="str">
        <f>IF(MasterFees[[#This Row],[RVG Code]]="","",_xlfn.XLOOKUP(MasterFees[[#This Row],[RVG Code]],RVGCodes[Code],RVGCodes[Base Units],"Code not found"))</f>
        <v/>
      </c>
      <c r="C895" s="37" t="s">
        <v>887</v>
      </c>
      <c r="D895" s="44" t="s">
        <v>1108</v>
      </c>
      <c r="E895" s="44"/>
      <c r="F895" s="44" t="s">
        <v>1109</v>
      </c>
      <c r="G895" s="39">
        <v>5</v>
      </c>
      <c r="H895" s="39">
        <v>2.5</v>
      </c>
      <c r="I895" s="39">
        <v>0</v>
      </c>
      <c r="J895" s="39">
        <v>7.5</v>
      </c>
      <c r="K895" s="40">
        <v>412.5</v>
      </c>
      <c r="L895" s="45" t="s">
        <v>1015</v>
      </c>
      <c r="M895" s="41" t="str">
        <f>IF(MasterFees[[#This Row],[GST Basis]]="Excl",MasterFees[[#This Row],[Fee as Printed]],IF(MasterFees[[#This Row],[GST Basis]]="Incl",MasterFees[[#This Row],[Fee as Printed]]/(1+GST_Rate),""))</f>
        <v/>
      </c>
      <c r="N895" s="41" t="str">
        <f>IF(MasterFees[[#This Row],[GST Basis]]="Incl",MasterFees[[#This Row],[Fee as Printed]],IF(MasterFees[[#This Row],[GST Basis]]="Excl",MasterFees[[#This Row],[Fee as Printed]]*(1+GST_Rate),""))</f>
        <v/>
      </c>
      <c r="O895" s="42">
        <f>IF(N(MasterFees[[#This Row],[Total Units]])=0,"",MasterFees[[#This Row],[Fee as Printed]]/MasterFees[[#This Row],[Total Units]])</f>
        <v>55</v>
      </c>
      <c r="P895" s="43"/>
      <c r="Q895" s="46" t="s">
        <v>1013</v>
      </c>
      <c r="R895" s="46" t="s">
        <v>2003</v>
      </c>
      <c r="S895" s="37"/>
    </row>
    <row r="896" spans="1:19" x14ac:dyDescent="0.2">
      <c r="A896" s="36"/>
      <c r="B896" s="38" t="str">
        <f>IF(MasterFees[[#This Row],[RVG Code]]="","",_xlfn.XLOOKUP(MasterFees[[#This Row],[RVG Code]],RVGCodes[Code],RVGCodes[Base Units],"Code not found"))</f>
        <v/>
      </c>
      <c r="C896" s="37" t="s">
        <v>888</v>
      </c>
      <c r="D896" s="44" t="s">
        <v>1108</v>
      </c>
      <c r="E896" s="44"/>
      <c r="F896" s="44" t="s">
        <v>1109</v>
      </c>
      <c r="G896" s="39">
        <v>8</v>
      </c>
      <c r="H896" s="39">
        <v>10</v>
      </c>
      <c r="I896" s="39">
        <v>1</v>
      </c>
      <c r="J896" s="39">
        <v>19</v>
      </c>
      <c r="K896" s="40">
        <v>1045</v>
      </c>
      <c r="L896" s="45" t="s">
        <v>1015</v>
      </c>
      <c r="M896" s="41" t="str">
        <f>IF(MasterFees[[#This Row],[GST Basis]]="Excl",MasterFees[[#This Row],[Fee as Printed]],IF(MasterFees[[#This Row],[GST Basis]]="Incl",MasterFees[[#This Row],[Fee as Printed]]/(1+GST_Rate),""))</f>
        <v/>
      </c>
      <c r="N896" s="41" t="str">
        <f>IF(MasterFees[[#This Row],[GST Basis]]="Incl",MasterFees[[#This Row],[Fee as Printed]],IF(MasterFees[[#This Row],[GST Basis]]="Excl",MasterFees[[#This Row],[Fee as Printed]]*(1+GST_Rate),""))</f>
        <v/>
      </c>
      <c r="O896" s="42">
        <f>IF(N(MasterFees[[#This Row],[Total Units]])=0,"",MasterFees[[#This Row],[Fee as Printed]]/MasterFees[[#This Row],[Total Units]])</f>
        <v>55</v>
      </c>
      <c r="P896" s="43"/>
      <c r="Q896" s="46" t="s">
        <v>1013</v>
      </c>
      <c r="R896" s="46" t="s">
        <v>2004</v>
      </c>
      <c r="S896" s="37"/>
    </row>
    <row r="897" spans="1:19" x14ac:dyDescent="0.2">
      <c r="A897" s="36"/>
      <c r="B897" s="38" t="str">
        <f>IF(MasterFees[[#This Row],[RVG Code]]="","",_xlfn.XLOOKUP(MasterFees[[#This Row],[RVG Code]],RVGCodes[Code],RVGCodes[Base Units],"Code not found"))</f>
        <v/>
      </c>
      <c r="C897" s="37" t="s">
        <v>889</v>
      </c>
      <c r="D897" s="44" t="s">
        <v>1108</v>
      </c>
      <c r="E897" s="44"/>
      <c r="F897" s="44" t="s">
        <v>1109</v>
      </c>
      <c r="G897" s="39">
        <v>0</v>
      </c>
      <c r="H897" s="39">
        <v>2</v>
      </c>
      <c r="I897" s="39">
        <v>0</v>
      </c>
      <c r="J897" s="39">
        <v>2</v>
      </c>
      <c r="K897" s="40">
        <v>110</v>
      </c>
      <c r="L897" s="45" t="s">
        <v>1015</v>
      </c>
      <c r="M897" s="41" t="str">
        <f>IF(MasterFees[[#This Row],[GST Basis]]="Excl",MasterFees[[#This Row],[Fee as Printed]],IF(MasterFees[[#This Row],[GST Basis]]="Incl",MasterFees[[#This Row],[Fee as Printed]]/(1+GST_Rate),""))</f>
        <v/>
      </c>
      <c r="N897" s="41" t="str">
        <f>IF(MasterFees[[#This Row],[GST Basis]]="Incl",MasterFees[[#This Row],[Fee as Printed]],IF(MasterFees[[#This Row],[GST Basis]]="Excl",MasterFees[[#This Row],[Fee as Printed]]*(1+GST_Rate),""))</f>
        <v/>
      </c>
      <c r="O897" s="42">
        <f>IF(N(MasterFees[[#This Row],[Total Units]])=0,"",MasterFees[[#This Row],[Fee as Printed]]/MasterFees[[#This Row],[Total Units]])</f>
        <v>55</v>
      </c>
      <c r="P897" s="43"/>
      <c r="Q897" s="46" t="s">
        <v>1013</v>
      </c>
      <c r="R897" s="46" t="s">
        <v>2005</v>
      </c>
      <c r="S897" s="37"/>
    </row>
    <row r="898" spans="1:19" x14ac:dyDescent="0.2">
      <c r="A898" s="36"/>
      <c r="B898" s="38" t="str">
        <f>IF(MasterFees[[#This Row],[RVG Code]]="","",_xlfn.XLOOKUP(MasterFees[[#This Row],[RVG Code]],RVGCodes[Code],RVGCodes[Base Units],"Code not found"))</f>
        <v/>
      </c>
      <c r="C898" s="37" t="s">
        <v>890</v>
      </c>
      <c r="D898" s="44" t="s">
        <v>1108</v>
      </c>
      <c r="E898" s="44"/>
      <c r="F898" s="44" t="s">
        <v>1109</v>
      </c>
      <c r="G898" s="39">
        <v>5</v>
      </c>
      <c r="H898" s="39">
        <v>2</v>
      </c>
      <c r="I898" s="39">
        <v>0</v>
      </c>
      <c r="J898" s="39">
        <v>7</v>
      </c>
      <c r="K898" s="40">
        <v>385</v>
      </c>
      <c r="L898" s="45" t="s">
        <v>1015</v>
      </c>
      <c r="M898" s="41" t="str">
        <f>IF(MasterFees[[#This Row],[GST Basis]]="Excl",MasterFees[[#This Row],[Fee as Printed]],IF(MasterFees[[#This Row],[GST Basis]]="Incl",MasterFees[[#This Row],[Fee as Printed]]/(1+GST_Rate),""))</f>
        <v/>
      </c>
      <c r="N898" s="41" t="str">
        <f>IF(MasterFees[[#This Row],[GST Basis]]="Incl",MasterFees[[#This Row],[Fee as Printed]],IF(MasterFees[[#This Row],[GST Basis]]="Excl",MasterFees[[#This Row],[Fee as Printed]]*(1+GST_Rate),""))</f>
        <v/>
      </c>
      <c r="O898" s="42">
        <f>IF(N(MasterFees[[#This Row],[Total Units]])=0,"",MasterFees[[#This Row],[Fee as Printed]]/MasterFees[[#This Row],[Total Units]])</f>
        <v>55</v>
      </c>
      <c r="P898" s="43"/>
      <c r="Q898" s="46" t="s">
        <v>1013</v>
      </c>
      <c r="R898" s="46" t="s">
        <v>2006</v>
      </c>
      <c r="S898" s="37"/>
    </row>
    <row r="899" spans="1:19" x14ac:dyDescent="0.2">
      <c r="A899" s="36"/>
      <c r="B899" s="38" t="str">
        <f>IF(MasterFees[[#This Row],[RVG Code]]="","",_xlfn.XLOOKUP(MasterFees[[#This Row],[RVG Code]],RVGCodes[Code],RVGCodes[Base Units],"Code not found"))</f>
        <v/>
      </c>
      <c r="C899" s="37" t="s">
        <v>891</v>
      </c>
      <c r="D899" s="44" t="s">
        <v>1108</v>
      </c>
      <c r="E899" s="44"/>
      <c r="F899" s="44" t="s">
        <v>1109</v>
      </c>
      <c r="G899" s="39">
        <v>2</v>
      </c>
      <c r="H899" s="39">
        <v>2</v>
      </c>
      <c r="I899" s="39">
        <v>1</v>
      </c>
      <c r="J899" s="39">
        <v>5</v>
      </c>
      <c r="K899" s="40">
        <v>275</v>
      </c>
      <c r="L899" s="45" t="s">
        <v>1015</v>
      </c>
      <c r="M899" s="41" t="str">
        <f>IF(MasterFees[[#This Row],[GST Basis]]="Excl",MasterFees[[#This Row],[Fee as Printed]],IF(MasterFees[[#This Row],[GST Basis]]="Incl",MasterFees[[#This Row],[Fee as Printed]]/(1+GST_Rate),""))</f>
        <v/>
      </c>
      <c r="N899" s="41" t="str">
        <f>IF(MasterFees[[#This Row],[GST Basis]]="Incl",MasterFees[[#This Row],[Fee as Printed]],IF(MasterFees[[#This Row],[GST Basis]]="Excl",MasterFees[[#This Row],[Fee as Printed]]*(1+GST_Rate),""))</f>
        <v/>
      </c>
      <c r="O899" s="42">
        <f>IF(N(MasterFees[[#This Row],[Total Units]])=0,"",MasterFees[[#This Row],[Fee as Printed]]/MasterFees[[#This Row],[Total Units]])</f>
        <v>55</v>
      </c>
      <c r="P899" s="43"/>
      <c r="Q899" s="46" t="s">
        <v>1013</v>
      </c>
      <c r="R899" s="46" t="s">
        <v>2007</v>
      </c>
      <c r="S899" s="37"/>
    </row>
    <row r="900" spans="1:19" x14ac:dyDescent="0.2">
      <c r="A900" s="36"/>
      <c r="B900" s="38" t="str">
        <f>IF(MasterFees[[#This Row],[RVG Code]]="","",_xlfn.XLOOKUP(MasterFees[[#This Row],[RVG Code]],RVGCodes[Code],RVGCodes[Base Units],"Code not found"))</f>
        <v/>
      </c>
      <c r="C900" s="37" t="s">
        <v>892</v>
      </c>
      <c r="D900" s="44" t="s">
        <v>1108</v>
      </c>
      <c r="E900" s="44"/>
      <c r="F900" s="44" t="s">
        <v>1109</v>
      </c>
      <c r="G900" s="39">
        <v>6</v>
      </c>
      <c r="H900" s="39">
        <v>4</v>
      </c>
      <c r="I900" s="39">
        <v>2</v>
      </c>
      <c r="J900" s="39">
        <v>12</v>
      </c>
      <c r="K900" s="40">
        <v>660</v>
      </c>
      <c r="L900" s="45" t="s">
        <v>1015</v>
      </c>
      <c r="M900" s="41" t="str">
        <f>IF(MasterFees[[#This Row],[GST Basis]]="Excl",MasterFees[[#This Row],[Fee as Printed]],IF(MasterFees[[#This Row],[GST Basis]]="Incl",MasterFees[[#This Row],[Fee as Printed]]/(1+GST_Rate),""))</f>
        <v/>
      </c>
      <c r="N900" s="41" t="str">
        <f>IF(MasterFees[[#This Row],[GST Basis]]="Incl",MasterFees[[#This Row],[Fee as Printed]],IF(MasterFees[[#This Row],[GST Basis]]="Excl",MasterFees[[#This Row],[Fee as Printed]]*(1+GST_Rate),""))</f>
        <v/>
      </c>
      <c r="O900" s="42">
        <f>IF(N(MasterFees[[#This Row],[Total Units]])=0,"",MasterFees[[#This Row],[Fee as Printed]]/MasterFees[[#This Row],[Total Units]])</f>
        <v>55</v>
      </c>
      <c r="P900" s="43"/>
      <c r="Q900" s="46" t="s">
        <v>1013</v>
      </c>
      <c r="R900" s="46" t="s">
        <v>2008</v>
      </c>
      <c r="S900" s="37"/>
    </row>
    <row r="901" spans="1:19" x14ac:dyDescent="0.2">
      <c r="A901" s="36"/>
      <c r="B901" s="38" t="str">
        <f>IF(MasterFees[[#This Row],[RVG Code]]="","",_xlfn.XLOOKUP(MasterFees[[#This Row],[RVG Code]],RVGCodes[Code],RVGCodes[Base Units],"Code not found"))</f>
        <v/>
      </c>
      <c r="C901" s="37" t="s">
        <v>893</v>
      </c>
      <c r="D901" s="44" t="s">
        <v>1108</v>
      </c>
      <c r="E901" s="44"/>
      <c r="F901" s="44" t="s">
        <v>1109</v>
      </c>
      <c r="G901" s="39">
        <v>6</v>
      </c>
      <c r="H901" s="39">
        <v>4</v>
      </c>
      <c r="I901" s="39">
        <v>0</v>
      </c>
      <c r="J901" s="39">
        <v>10</v>
      </c>
      <c r="K901" s="40">
        <v>550</v>
      </c>
      <c r="L901" s="45" t="s">
        <v>1015</v>
      </c>
      <c r="M901" s="41" t="str">
        <f>IF(MasterFees[[#This Row],[GST Basis]]="Excl",MasterFees[[#This Row],[Fee as Printed]],IF(MasterFees[[#This Row],[GST Basis]]="Incl",MasterFees[[#This Row],[Fee as Printed]]/(1+GST_Rate),""))</f>
        <v/>
      </c>
      <c r="N901" s="41" t="str">
        <f>IF(MasterFees[[#This Row],[GST Basis]]="Incl",MasterFees[[#This Row],[Fee as Printed]],IF(MasterFees[[#This Row],[GST Basis]]="Excl",MasterFees[[#This Row],[Fee as Printed]]*(1+GST_Rate),""))</f>
        <v/>
      </c>
      <c r="O901" s="42">
        <f>IF(N(MasterFees[[#This Row],[Total Units]])=0,"",MasterFees[[#This Row],[Fee as Printed]]/MasterFees[[#This Row],[Total Units]])</f>
        <v>55</v>
      </c>
      <c r="P901" s="43"/>
      <c r="Q901" s="46" t="s">
        <v>1013</v>
      </c>
      <c r="R901" s="46" t="s">
        <v>2009</v>
      </c>
      <c r="S901" s="37"/>
    </row>
    <row r="902" spans="1:19" x14ac:dyDescent="0.2">
      <c r="A902" s="36"/>
      <c r="B902" s="38" t="str">
        <f>IF(MasterFees[[#This Row],[RVG Code]]="","",_xlfn.XLOOKUP(MasterFees[[#This Row],[RVG Code]],RVGCodes[Code],RVGCodes[Base Units],"Code not found"))</f>
        <v/>
      </c>
      <c r="C902" s="37" t="s">
        <v>894</v>
      </c>
      <c r="D902" s="44" t="s">
        <v>1108</v>
      </c>
      <c r="E902" s="44"/>
      <c r="F902" s="44" t="s">
        <v>1109</v>
      </c>
      <c r="G902" s="39">
        <v>4.7</v>
      </c>
      <c r="H902" s="39">
        <v>3.8</v>
      </c>
      <c r="I902" s="39">
        <v>0.3</v>
      </c>
      <c r="J902" s="39">
        <v>8.8000000000000007</v>
      </c>
      <c r="K902" s="40">
        <v>484.55</v>
      </c>
      <c r="L902" s="45" t="s">
        <v>1015</v>
      </c>
      <c r="M902" s="41" t="str">
        <f>IF(MasterFees[[#This Row],[GST Basis]]="Excl",MasterFees[[#This Row],[Fee as Printed]],IF(MasterFees[[#This Row],[GST Basis]]="Incl",MasterFees[[#This Row],[Fee as Printed]]/(1+GST_Rate),""))</f>
        <v/>
      </c>
      <c r="N902" s="41" t="str">
        <f>IF(MasterFees[[#This Row],[GST Basis]]="Incl",MasterFees[[#This Row],[Fee as Printed]],IF(MasterFees[[#This Row],[GST Basis]]="Excl",MasterFees[[#This Row],[Fee as Printed]]*(1+GST_Rate),""))</f>
        <v/>
      </c>
      <c r="O902" s="42">
        <f>IF(N(MasterFees[[#This Row],[Total Units]])=0,"",MasterFees[[#This Row],[Fee as Printed]]/MasterFees[[#This Row],[Total Units]])</f>
        <v>55.0625</v>
      </c>
      <c r="P902" s="43"/>
      <c r="Q902" s="46" t="s">
        <v>1013</v>
      </c>
      <c r="R902" s="46" t="s">
        <v>2010</v>
      </c>
      <c r="S902" s="37"/>
    </row>
    <row r="903" spans="1:19" x14ac:dyDescent="0.2">
      <c r="A903" s="36"/>
      <c r="B903" s="38" t="str">
        <f>IF(MasterFees[[#This Row],[RVG Code]]="","",_xlfn.XLOOKUP(MasterFees[[#This Row],[RVG Code]],RVGCodes[Code],RVGCodes[Base Units],"Code not found"))</f>
        <v/>
      </c>
      <c r="C903" s="37" t="s">
        <v>895</v>
      </c>
      <c r="D903" s="44" t="s">
        <v>1108</v>
      </c>
      <c r="E903" s="44"/>
      <c r="F903" s="44" t="s">
        <v>1109</v>
      </c>
      <c r="G903" s="39">
        <v>3.9</v>
      </c>
      <c r="H903" s="39">
        <v>3.9</v>
      </c>
      <c r="I903" s="39">
        <v>1.1000000000000001</v>
      </c>
      <c r="J903" s="39">
        <v>8.9</v>
      </c>
      <c r="K903" s="40">
        <v>487.3</v>
      </c>
      <c r="L903" s="45" t="s">
        <v>1015</v>
      </c>
      <c r="M903" s="41" t="str">
        <f>IF(MasterFees[[#This Row],[GST Basis]]="Excl",MasterFees[[#This Row],[Fee as Printed]],IF(MasterFees[[#This Row],[GST Basis]]="Incl",MasterFees[[#This Row],[Fee as Printed]]/(1+GST_Rate),""))</f>
        <v/>
      </c>
      <c r="N903" s="41" t="str">
        <f>IF(MasterFees[[#This Row],[GST Basis]]="Incl",MasterFees[[#This Row],[Fee as Printed]],IF(MasterFees[[#This Row],[GST Basis]]="Excl",MasterFees[[#This Row],[Fee as Printed]]*(1+GST_Rate),""))</f>
        <v/>
      </c>
      <c r="O903" s="42">
        <f>IF(N(MasterFees[[#This Row],[Total Units]])=0,"",MasterFees[[#This Row],[Fee as Printed]]/MasterFees[[#This Row],[Total Units]])</f>
        <v>54.752808988764045</v>
      </c>
      <c r="P903" s="43"/>
      <c r="Q903" s="46" t="s">
        <v>1013</v>
      </c>
      <c r="R903" s="46" t="s">
        <v>2011</v>
      </c>
      <c r="S903" s="37"/>
    </row>
    <row r="904" spans="1:19" x14ac:dyDescent="0.2">
      <c r="A904" s="36"/>
      <c r="B904" s="38" t="str">
        <f>IF(MasterFees[[#This Row],[RVG Code]]="","",_xlfn.XLOOKUP(MasterFees[[#This Row],[RVG Code]],RVGCodes[Code],RVGCodes[Base Units],"Code not found"))</f>
        <v/>
      </c>
      <c r="C904" s="37" t="s">
        <v>896</v>
      </c>
      <c r="D904" s="44" t="s">
        <v>1108</v>
      </c>
      <c r="E904" s="44"/>
      <c r="F904" s="44" t="s">
        <v>1109</v>
      </c>
      <c r="G904" s="39">
        <v>6.2</v>
      </c>
      <c r="H904" s="39">
        <v>5.6</v>
      </c>
      <c r="I904" s="39">
        <v>0.7</v>
      </c>
      <c r="J904" s="39">
        <v>12.5</v>
      </c>
      <c r="K904" s="40">
        <v>686.4</v>
      </c>
      <c r="L904" s="45" t="s">
        <v>1015</v>
      </c>
      <c r="M904" s="41" t="str">
        <f>IF(MasterFees[[#This Row],[GST Basis]]="Excl",MasterFees[[#This Row],[Fee as Printed]],IF(MasterFees[[#This Row],[GST Basis]]="Incl",MasterFees[[#This Row],[Fee as Printed]]/(1+GST_Rate),""))</f>
        <v/>
      </c>
      <c r="N904" s="41" t="str">
        <f>IF(MasterFees[[#This Row],[GST Basis]]="Incl",MasterFees[[#This Row],[Fee as Printed]],IF(MasterFees[[#This Row],[GST Basis]]="Excl",MasterFees[[#This Row],[Fee as Printed]]*(1+GST_Rate),""))</f>
        <v/>
      </c>
      <c r="O904" s="42">
        <f>IF(N(MasterFees[[#This Row],[Total Units]])=0,"",MasterFees[[#This Row],[Fee as Printed]]/MasterFees[[#This Row],[Total Units]])</f>
        <v>54.911999999999999</v>
      </c>
      <c r="P904" s="43"/>
      <c r="Q904" s="46" t="s">
        <v>1013</v>
      </c>
      <c r="R904" s="46" t="s">
        <v>2012</v>
      </c>
      <c r="S904" s="37"/>
    </row>
    <row r="905" spans="1:19" x14ac:dyDescent="0.2">
      <c r="A905" s="36"/>
      <c r="B905" s="38" t="str">
        <f>IF(MasterFees[[#This Row],[RVG Code]]="","",_xlfn.XLOOKUP(MasterFees[[#This Row],[RVG Code]],RVGCodes[Code],RVGCodes[Base Units],"Code not found"))</f>
        <v/>
      </c>
      <c r="C905" s="37" t="s">
        <v>897</v>
      </c>
      <c r="D905" s="44" t="s">
        <v>1108</v>
      </c>
      <c r="E905" s="44"/>
      <c r="F905" s="44" t="s">
        <v>1109</v>
      </c>
      <c r="G905" s="39">
        <v>4.5</v>
      </c>
      <c r="H905" s="39">
        <v>4.8</v>
      </c>
      <c r="I905" s="39">
        <v>0.7</v>
      </c>
      <c r="J905" s="39">
        <v>10.1</v>
      </c>
      <c r="K905" s="40">
        <v>553.29999999999995</v>
      </c>
      <c r="L905" s="45" t="s">
        <v>1015</v>
      </c>
      <c r="M905" s="41" t="str">
        <f>IF(MasterFees[[#This Row],[GST Basis]]="Excl",MasterFees[[#This Row],[Fee as Printed]],IF(MasterFees[[#This Row],[GST Basis]]="Incl",MasterFees[[#This Row],[Fee as Printed]]/(1+GST_Rate),""))</f>
        <v/>
      </c>
      <c r="N905" s="41" t="str">
        <f>IF(MasterFees[[#This Row],[GST Basis]]="Incl",MasterFees[[#This Row],[Fee as Printed]],IF(MasterFees[[#This Row],[GST Basis]]="Excl",MasterFees[[#This Row],[Fee as Printed]]*(1+GST_Rate),""))</f>
        <v/>
      </c>
      <c r="O905" s="42">
        <f>IF(N(MasterFees[[#This Row],[Total Units]])=0,"",MasterFees[[#This Row],[Fee as Printed]]/MasterFees[[#This Row],[Total Units]])</f>
        <v>54.78217821782178</v>
      </c>
      <c r="P905" s="43"/>
      <c r="Q905" s="46" t="s">
        <v>1013</v>
      </c>
      <c r="R905" s="46" t="s">
        <v>2013</v>
      </c>
      <c r="S905" s="37"/>
    </row>
    <row r="906" spans="1:19" x14ac:dyDescent="0.2">
      <c r="A906" s="36"/>
      <c r="B906" s="38" t="str">
        <f>IF(MasterFees[[#This Row],[RVG Code]]="","",_xlfn.XLOOKUP(MasterFees[[#This Row],[RVG Code]],RVGCodes[Code],RVGCodes[Base Units],"Code not found"))</f>
        <v/>
      </c>
      <c r="C906" s="37" t="s">
        <v>898</v>
      </c>
      <c r="D906" s="44" t="s">
        <v>1108</v>
      </c>
      <c r="E906" s="44"/>
      <c r="F906" s="44" t="s">
        <v>1109</v>
      </c>
      <c r="G906" s="39">
        <v>6</v>
      </c>
      <c r="H906" s="39">
        <v>4.8</v>
      </c>
      <c r="I906" s="39">
        <v>0.6</v>
      </c>
      <c r="J906" s="39">
        <v>11.4</v>
      </c>
      <c r="K906" s="40">
        <v>627</v>
      </c>
      <c r="L906" s="45" t="s">
        <v>1015</v>
      </c>
      <c r="M906" s="41" t="str">
        <f>IF(MasterFees[[#This Row],[GST Basis]]="Excl",MasterFees[[#This Row],[Fee as Printed]],IF(MasterFees[[#This Row],[GST Basis]]="Incl",MasterFees[[#This Row],[Fee as Printed]]/(1+GST_Rate),""))</f>
        <v/>
      </c>
      <c r="N906" s="41" t="str">
        <f>IF(MasterFees[[#This Row],[GST Basis]]="Incl",MasterFees[[#This Row],[Fee as Printed]],IF(MasterFees[[#This Row],[GST Basis]]="Excl",MasterFees[[#This Row],[Fee as Printed]]*(1+GST_Rate),""))</f>
        <v/>
      </c>
      <c r="O906" s="42">
        <f>IF(N(MasterFees[[#This Row],[Total Units]])=0,"",MasterFees[[#This Row],[Fee as Printed]]/MasterFees[[#This Row],[Total Units]])</f>
        <v>55</v>
      </c>
      <c r="P906" s="43"/>
      <c r="Q906" s="46" t="s">
        <v>1013</v>
      </c>
      <c r="R906" s="46" t="s">
        <v>2014</v>
      </c>
      <c r="S906" s="37"/>
    </row>
    <row r="907" spans="1:19" x14ac:dyDescent="0.2">
      <c r="A907" s="36"/>
      <c r="B907" s="38" t="str">
        <f>IF(MasterFees[[#This Row],[RVG Code]]="","",_xlfn.XLOOKUP(MasterFees[[#This Row],[RVG Code]],RVGCodes[Code],RVGCodes[Base Units],"Code not found"))</f>
        <v/>
      </c>
      <c r="C907" s="37" t="s">
        <v>899</v>
      </c>
      <c r="D907" s="44" t="s">
        <v>1108</v>
      </c>
      <c r="E907" s="44"/>
      <c r="F907" s="44" t="s">
        <v>1109</v>
      </c>
      <c r="G907" s="39">
        <v>4</v>
      </c>
      <c r="H907" s="39">
        <v>4</v>
      </c>
      <c r="I907" s="39">
        <v>4</v>
      </c>
      <c r="J907" s="39">
        <v>12</v>
      </c>
      <c r="K907" s="40">
        <v>660</v>
      </c>
      <c r="L907" s="45" t="s">
        <v>1015</v>
      </c>
      <c r="M907" s="41" t="str">
        <f>IF(MasterFees[[#This Row],[GST Basis]]="Excl",MasterFees[[#This Row],[Fee as Printed]],IF(MasterFees[[#This Row],[GST Basis]]="Incl",MasterFees[[#This Row],[Fee as Printed]]/(1+GST_Rate),""))</f>
        <v/>
      </c>
      <c r="N907" s="41" t="str">
        <f>IF(MasterFees[[#This Row],[GST Basis]]="Incl",MasterFees[[#This Row],[Fee as Printed]],IF(MasterFees[[#This Row],[GST Basis]]="Excl",MasterFees[[#This Row],[Fee as Printed]]*(1+GST_Rate),""))</f>
        <v/>
      </c>
      <c r="O907" s="42">
        <f>IF(N(MasterFees[[#This Row],[Total Units]])=0,"",MasterFees[[#This Row],[Fee as Printed]]/MasterFees[[#This Row],[Total Units]])</f>
        <v>55</v>
      </c>
      <c r="P907" s="43"/>
      <c r="Q907" s="46" t="s">
        <v>1013</v>
      </c>
      <c r="R907" s="46" t="s">
        <v>2015</v>
      </c>
      <c r="S907" s="37"/>
    </row>
    <row r="908" spans="1:19" x14ac:dyDescent="0.2">
      <c r="A908" s="36"/>
      <c r="B908" s="38" t="str">
        <f>IF(MasterFees[[#This Row],[RVG Code]]="","",_xlfn.XLOOKUP(MasterFees[[#This Row],[RVG Code]],RVGCodes[Code],RVGCodes[Base Units],"Code not found"))</f>
        <v/>
      </c>
      <c r="C908" s="37" t="s">
        <v>900</v>
      </c>
      <c r="D908" s="44" t="s">
        <v>1108</v>
      </c>
      <c r="E908" s="44"/>
      <c r="F908" s="44" t="s">
        <v>1109</v>
      </c>
      <c r="G908" s="39">
        <v>9</v>
      </c>
      <c r="H908" s="39">
        <v>11</v>
      </c>
      <c r="I908" s="39">
        <v>2.5</v>
      </c>
      <c r="J908" s="39">
        <v>22.5</v>
      </c>
      <c r="K908" s="40">
        <v>1237.5</v>
      </c>
      <c r="L908" s="45" t="s">
        <v>1015</v>
      </c>
      <c r="M908" s="41" t="str">
        <f>IF(MasterFees[[#This Row],[GST Basis]]="Excl",MasterFees[[#This Row],[Fee as Printed]],IF(MasterFees[[#This Row],[GST Basis]]="Incl",MasterFees[[#This Row],[Fee as Printed]]/(1+GST_Rate),""))</f>
        <v/>
      </c>
      <c r="N908" s="41" t="str">
        <f>IF(MasterFees[[#This Row],[GST Basis]]="Incl",MasterFees[[#This Row],[Fee as Printed]],IF(MasterFees[[#This Row],[GST Basis]]="Excl",MasterFees[[#This Row],[Fee as Printed]]*(1+GST_Rate),""))</f>
        <v/>
      </c>
      <c r="O908" s="42">
        <f>IF(N(MasterFees[[#This Row],[Total Units]])=0,"",MasterFees[[#This Row],[Fee as Printed]]/MasterFees[[#This Row],[Total Units]])</f>
        <v>55</v>
      </c>
      <c r="P908" s="43"/>
      <c r="Q908" s="46" t="s">
        <v>1013</v>
      </c>
      <c r="R908" s="46" t="s">
        <v>2016</v>
      </c>
      <c r="S908" s="37"/>
    </row>
    <row r="909" spans="1:19" x14ac:dyDescent="0.2">
      <c r="A909" s="36"/>
      <c r="B909" s="38" t="str">
        <f>IF(MasterFees[[#This Row],[RVG Code]]="","",_xlfn.XLOOKUP(MasterFees[[#This Row],[RVG Code]],RVGCodes[Code],RVGCodes[Base Units],"Code not found"))</f>
        <v/>
      </c>
      <c r="C909" s="37" t="s">
        <v>901</v>
      </c>
      <c r="D909" s="44" t="s">
        <v>1108</v>
      </c>
      <c r="E909" s="44"/>
      <c r="F909" s="44" t="s">
        <v>1109</v>
      </c>
      <c r="G909" s="39">
        <v>4.5</v>
      </c>
      <c r="H909" s="39">
        <v>3.3</v>
      </c>
      <c r="I909" s="39">
        <v>0</v>
      </c>
      <c r="J909" s="39">
        <v>7.8</v>
      </c>
      <c r="K909" s="40">
        <v>426.25</v>
      </c>
      <c r="L909" s="45" t="s">
        <v>1015</v>
      </c>
      <c r="M909" s="41" t="str">
        <f>IF(MasterFees[[#This Row],[GST Basis]]="Excl",MasterFees[[#This Row],[Fee as Printed]],IF(MasterFees[[#This Row],[GST Basis]]="Incl",MasterFees[[#This Row],[Fee as Printed]]/(1+GST_Rate),""))</f>
        <v/>
      </c>
      <c r="N909" s="41" t="str">
        <f>IF(MasterFees[[#This Row],[GST Basis]]="Incl",MasterFees[[#This Row],[Fee as Printed]],IF(MasterFees[[#This Row],[GST Basis]]="Excl",MasterFees[[#This Row],[Fee as Printed]]*(1+GST_Rate),""))</f>
        <v/>
      </c>
      <c r="O909" s="42">
        <f>IF(N(MasterFees[[#This Row],[Total Units]])=0,"",MasterFees[[#This Row],[Fee as Printed]]/MasterFees[[#This Row],[Total Units]])</f>
        <v>54.647435897435898</v>
      </c>
      <c r="P909" s="43"/>
      <c r="Q909" s="46" t="s">
        <v>1013</v>
      </c>
      <c r="R909" s="46" t="s">
        <v>2017</v>
      </c>
      <c r="S909" s="37"/>
    </row>
    <row r="910" spans="1:19" x14ac:dyDescent="0.2">
      <c r="A910" s="36"/>
      <c r="B910" s="38" t="str">
        <f>IF(MasterFees[[#This Row],[RVG Code]]="","",_xlfn.XLOOKUP(MasterFees[[#This Row],[RVG Code]],RVGCodes[Code],RVGCodes[Base Units],"Code not found"))</f>
        <v/>
      </c>
      <c r="C910" s="37" t="s">
        <v>902</v>
      </c>
      <c r="D910" s="44" t="s">
        <v>1108</v>
      </c>
      <c r="E910" s="44"/>
      <c r="F910" s="44" t="s">
        <v>1109</v>
      </c>
      <c r="G910" s="39">
        <v>5</v>
      </c>
      <c r="H910" s="39">
        <v>4.3</v>
      </c>
      <c r="I910" s="39">
        <v>0</v>
      </c>
      <c r="J910" s="39">
        <v>9.3000000000000007</v>
      </c>
      <c r="K910" s="40">
        <v>513.15</v>
      </c>
      <c r="L910" s="45" t="s">
        <v>1015</v>
      </c>
      <c r="M910" s="41" t="str">
        <f>IF(MasterFees[[#This Row],[GST Basis]]="Excl",MasterFees[[#This Row],[Fee as Printed]],IF(MasterFees[[#This Row],[GST Basis]]="Incl",MasterFees[[#This Row],[Fee as Printed]]/(1+GST_Rate),""))</f>
        <v/>
      </c>
      <c r="N910" s="41" t="str">
        <f>IF(MasterFees[[#This Row],[GST Basis]]="Incl",MasterFees[[#This Row],[Fee as Printed]],IF(MasterFees[[#This Row],[GST Basis]]="Excl",MasterFees[[#This Row],[Fee as Printed]]*(1+GST_Rate),""))</f>
        <v/>
      </c>
      <c r="O910" s="42">
        <f>IF(N(MasterFees[[#This Row],[Total Units]])=0,"",MasterFees[[#This Row],[Fee as Printed]]/MasterFees[[#This Row],[Total Units]])</f>
        <v>55.177419354838705</v>
      </c>
      <c r="P910" s="43"/>
      <c r="Q910" s="46" t="s">
        <v>1013</v>
      </c>
      <c r="R910" s="46" t="s">
        <v>2018</v>
      </c>
      <c r="S910" s="37"/>
    </row>
    <row r="911" spans="1:19" x14ac:dyDescent="0.2">
      <c r="A911" s="36"/>
      <c r="B911" s="38" t="str">
        <f>IF(MasterFees[[#This Row],[RVG Code]]="","",_xlfn.XLOOKUP(MasterFees[[#This Row],[RVG Code]],RVGCodes[Code],RVGCodes[Base Units],"Code not found"))</f>
        <v/>
      </c>
      <c r="C911" s="37" t="s">
        <v>903</v>
      </c>
      <c r="D911" s="44" t="s">
        <v>1108</v>
      </c>
      <c r="E911" s="44"/>
      <c r="F911" s="44" t="s">
        <v>1109</v>
      </c>
      <c r="G911" s="39">
        <v>5</v>
      </c>
      <c r="H911" s="39">
        <v>4</v>
      </c>
      <c r="I911" s="39">
        <v>0</v>
      </c>
      <c r="J911" s="39">
        <v>9</v>
      </c>
      <c r="K911" s="40">
        <v>495</v>
      </c>
      <c r="L911" s="45" t="s">
        <v>1015</v>
      </c>
      <c r="M911" s="41" t="str">
        <f>IF(MasterFees[[#This Row],[GST Basis]]="Excl",MasterFees[[#This Row],[Fee as Printed]],IF(MasterFees[[#This Row],[GST Basis]]="Incl",MasterFees[[#This Row],[Fee as Printed]]/(1+GST_Rate),""))</f>
        <v/>
      </c>
      <c r="N911" s="41" t="str">
        <f>IF(MasterFees[[#This Row],[GST Basis]]="Incl",MasterFees[[#This Row],[Fee as Printed]],IF(MasterFees[[#This Row],[GST Basis]]="Excl",MasterFees[[#This Row],[Fee as Printed]]*(1+GST_Rate),""))</f>
        <v/>
      </c>
      <c r="O911" s="42">
        <f>IF(N(MasterFees[[#This Row],[Total Units]])=0,"",MasterFees[[#This Row],[Fee as Printed]]/MasterFees[[#This Row],[Total Units]])</f>
        <v>55</v>
      </c>
      <c r="P911" s="43"/>
      <c r="Q911" s="46" t="s">
        <v>1013</v>
      </c>
      <c r="R911" s="46" t="s">
        <v>2019</v>
      </c>
      <c r="S911" s="37"/>
    </row>
    <row r="912" spans="1:19" x14ac:dyDescent="0.2">
      <c r="A912" s="36"/>
      <c r="B912" s="38" t="str">
        <f>IF(MasterFees[[#This Row],[RVG Code]]="","",_xlfn.XLOOKUP(MasterFees[[#This Row],[RVG Code]],RVGCodes[Code],RVGCodes[Base Units],"Code not found"))</f>
        <v/>
      </c>
      <c r="C912" s="37" t="s">
        <v>904</v>
      </c>
      <c r="D912" s="44" t="s">
        <v>1108</v>
      </c>
      <c r="E912" s="44"/>
      <c r="F912" s="44" t="s">
        <v>1109</v>
      </c>
      <c r="G912" s="39">
        <v>8</v>
      </c>
      <c r="H912" s="39">
        <v>7</v>
      </c>
      <c r="I912" s="39">
        <v>0</v>
      </c>
      <c r="J912" s="39">
        <v>15</v>
      </c>
      <c r="K912" s="40">
        <v>825</v>
      </c>
      <c r="L912" s="45" t="s">
        <v>1015</v>
      </c>
      <c r="M912" s="41" t="str">
        <f>IF(MasterFees[[#This Row],[GST Basis]]="Excl",MasterFees[[#This Row],[Fee as Printed]],IF(MasterFees[[#This Row],[GST Basis]]="Incl",MasterFees[[#This Row],[Fee as Printed]]/(1+GST_Rate),""))</f>
        <v/>
      </c>
      <c r="N912" s="41" t="str">
        <f>IF(MasterFees[[#This Row],[GST Basis]]="Incl",MasterFees[[#This Row],[Fee as Printed]],IF(MasterFees[[#This Row],[GST Basis]]="Excl",MasterFees[[#This Row],[Fee as Printed]]*(1+GST_Rate),""))</f>
        <v/>
      </c>
      <c r="O912" s="42">
        <f>IF(N(MasterFees[[#This Row],[Total Units]])=0,"",MasterFees[[#This Row],[Fee as Printed]]/MasterFees[[#This Row],[Total Units]])</f>
        <v>55</v>
      </c>
      <c r="P912" s="43"/>
      <c r="Q912" s="46" t="s">
        <v>1013</v>
      </c>
      <c r="R912" s="46" t="s">
        <v>2020</v>
      </c>
      <c r="S912" s="37"/>
    </row>
    <row r="913" spans="1:19" x14ac:dyDescent="0.2">
      <c r="A913" s="36"/>
      <c r="B913" s="38" t="str">
        <f>IF(MasterFees[[#This Row],[RVG Code]]="","",_xlfn.XLOOKUP(MasterFees[[#This Row],[RVG Code]],RVGCodes[Code],RVGCodes[Base Units],"Code not found"))</f>
        <v/>
      </c>
      <c r="C913" s="37" t="s">
        <v>905</v>
      </c>
      <c r="D913" s="44" t="s">
        <v>1108</v>
      </c>
      <c r="E913" s="44"/>
      <c r="F913" s="44" t="s">
        <v>1109</v>
      </c>
      <c r="G913" s="39">
        <v>0</v>
      </c>
      <c r="H913" s="39">
        <v>3</v>
      </c>
      <c r="I913" s="39">
        <v>0</v>
      </c>
      <c r="J913" s="39">
        <v>3</v>
      </c>
      <c r="K913" s="40">
        <v>165</v>
      </c>
      <c r="L913" s="45" t="s">
        <v>1015</v>
      </c>
      <c r="M913" s="41" t="str">
        <f>IF(MasterFees[[#This Row],[GST Basis]]="Excl",MasterFees[[#This Row],[Fee as Printed]],IF(MasterFees[[#This Row],[GST Basis]]="Incl",MasterFees[[#This Row],[Fee as Printed]]/(1+GST_Rate),""))</f>
        <v/>
      </c>
      <c r="N913" s="41" t="str">
        <f>IF(MasterFees[[#This Row],[GST Basis]]="Incl",MasterFees[[#This Row],[Fee as Printed]],IF(MasterFees[[#This Row],[GST Basis]]="Excl",MasterFees[[#This Row],[Fee as Printed]]*(1+GST_Rate),""))</f>
        <v/>
      </c>
      <c r="O913" s="42">
        <f>IF(N(MasterFees[[#This Row],[Total Units]])=0,"",MasterFees[[#This Row],[Fee as Printed]]/MasterFees[[#This Row],[Total Units]])</f>
        <v>55</v>
      </c>
      <c r="P913" s="43"/>
      <c r="Q913" s="46" t="s">
        <v>1013</v>
      </c>
      <c r="R913" s="46" t="s">
        <v>2021</v>
      </c>
      <c r="S913" s="37"/>
    </row>
    <row r="914" spans="1:19" x14ac:dyDescent="0.2">
      <c r="A914" s="36"/>
      <c r="B914" s="38" t="str">
        <f>IF(MasterFees[[#This Row],[RVG Code]]="","",_xlfn.XLOOKUP(MasterFees[[#This Row],[RVG Code]],RVGCodes[Code],RVGCodes[Base Units],"Code not found"))</f>
        <v/>
      </c>
      <c r="C914" s="37" t="s">
        <v>906</v>
      </c>
      <c r="D914" s="44" t="s">
        <v>1108</v>
      </c>
      <c r="E914" s="44"/>
      <c r="F914" s="44" t="s">
        <v>1109</v>
      </c>
      <c r="G914" s="39">
        <v>5</v>
      </c>
      <c r="H914" s="39">
        <v>2</v>
      </c>
      <c r="I914" s="39">
        <v>0</v>
      </c>
      <c r="J914" s="39">
        <v>7</v>
      </c>
      <c r="K914" s="40">
        <v>385</v>
      </c>
      <c r="L914" s="45" t="s">
        <v>1015</v>
      </c>
      <c r="M914" s="41" t="str">
        <f>IF(MasterFees[[#This Row],[GST Basis]]="Excl",MasterFees[[#This Row],[Fee as Printed]],IF(MasterFees[[#This Row],[GST Basis]]="Incl",MasterFees[[#This Row],[Fee as Printed]]/(1+GST_Rate),""))</f>
        <v/>
      </c>
      <c r="N914" s="41" t="str">
        <f>IF(MasterFees[[#This Row],[GST Basis]]="Incl",MasterFees[[#This Row],[Fee as Printed]],IF(MasterFees[[#This Row],[GST Basis]]="Excl",MasterFees[[#This Row],[Fee as Printed]]*(1+GST_Rate),""))</f>
        <v/>
      </c>
      <c r="O914" s="42">
        <f>IF(N(MasterFees[[#This Row],[Total Units]])=0,"",MasterFees[[#This Row],[Fee as Printed]]/MasterFees[[#This Row],[Total Units]])</f>
        <v>55</v>
      </c>
      <c r="P914" s="43"/>
      <c r="Q914" s="46" t="s">
        <v>1013</v>
      </c>
      <c r="R914" s="46" t="s">
        <v>2022</v>
      </c>
      <c r="S914" s="37"/>
    </row>
    <row r="915" spans="1:19" x14ac:dyDescent="0.2">
      <c r="A915" s="36"/>
      <c r="B915" s="38" t="str">
        <f>IF(MasterFees[[#This Row],[RVG Code]]="","",_xlfn.XLOOKUP(MasterFees[[#This Row],[RVG Code]],RVGCodes[Code],RVGCodes[Base Units],"Code not found"))</f>
        <v/>
      </c>
      <c r="C915" s="37" t="s">
        <v>907</v>
      </c>
      <c r="D915" s="44" t="s">
        <v>1108</v>
      </c>
      <c r="E915" s="44"/>
      <c r="F915" s="44" t="s">
        <v>1109</v>
      </c>
      <c r="G915" s="39">
        <v>8</v>
      </c>
      <c r="H915" s="39">
        <v>28</v>
      </c>
      <c r="I915" s="39">
        <v>0</v>
      </c>
      <c r="J915" s="39">
        <v>36</v>
      </c>
      <c r="K915" s="40">
        <v>1980</v>
      </c>
      <c r="L915" s="45" t="s">
        <v>1015</v>
      </c>
      <c r="M915" s="41" t="str">
        <f>IF(MasterFees[[#This Row],[GST Basis]]="Excl",MasterFees[[#This Row],[Fee as Printed]],IF(MasterFees[[#This Row],[GST Basis]]="Incl",MasterFees[[#This Row],[Fee as Printed]]/(1+GST_Rate),""))</f>
        <v/>
      </c>
      <c r="N915" s="41" t="str">
        <f>IF(MasterFees[[#This Row],[GST Basis]]="Incl",MasterFees[[#This Row],[Fee as Printed]],IF(MasterFees[[#This Row],[GST Basis]]="Excl",MasterFees[[#This Row],[Fee as Printed]]*(1+GST_Rate),""))</f>
        <v/>
      </c>
      <c r="O915" s="42">
        <f>IF(N(MasterFees[[#This Row],[Total Units]])=0,"",MasterFees[[#This Row],[Fee as Printed]]/MasterFees[[#This Row],[Total Units]])</f>
        <v>55</v>
      </c>
      <c r="P915" s="43"/>
      <c r="Q915" s="46" t="s">
        <v>1013</v>
      </c>
      <c r="R915" s="46" t="s">
        <v>2023</v>
      </c>
      <c r="S915" s="37"/>
    </row>
    <row r="916" spans="1:19" x14ac:dyDescent="0.2">
      <c r="A916" s="36"/>
      <c r="B916" s="38" t="str">
        <f>IF(MasterFees[[#This Row],[RVG Code]]="","",_xlfn.XLOOKUP(MasterFees[[#This Row],[RVG Code]],RVGCodes[Code],RVGCodes[Base Units],"Code not found"))</f>
        <v/>
      </c>
      <c r="C916" s="37" t="s">
        <v>908</v>
      </c>
      <c r="D916" s="44" t="s">
        <v>1108</v>
      </c>
      <c r="E916" s="44"/>
      <c r="F916" s="44" t="s">
        <v>1109</v>
      </c>
      <c r="G916" s="39">
        <v>5.2</v>
      </c>
      <c r="H916" s="39">
        <v>5.8</v>
      </c>
      <c r="I916" s="39">
        <v>1</v>
      </c>
      <c r="J916" s="39">
        <v>12</v>
      </c>
      <c r="K916" s="40">
        <v>660</v>
      </c>
      <c r="L916" s="45" t="s">
        <v>1015</v>
      </c>
      <c r="M916" s="41" t="str">
        <f>IF(MasterFees[[#This Row],[GST Basis]]="Excl",MasterFees[[#This Row],[Fee as Printed]],IF(MasterFees[[#This Row],[GST Basis]]="Incl",MasterFees[[#This Row],[Fee as Printed]]/(1+GST_Rate),""))</f>
        <v/>
      </c>
      <c r="N916" s="41" t="str">
        <f>IF(MasterFees[[#This Row],[GST Basis]]="Incl",MasterFees[[#This Row],[Fee as Printed]],IF(MasterFees[[#This Row],[GST Basis]]="Excl",MasterFees[[#This Row],[Fee as Printed]]*(1+GST_Rate),""))</f>
        <v/>
      </c>
      <c r="O916" s="42">
        <f>IF(N(MasterFees[[#This Row],[Total Units]])=0,"",MasterFees[[#This Row],[Fee as Printed]]/MasterFees[[#This Row],[Total Units]])</f>
        <v>55</v>
      </c>
      <c r="P916" s="43"/>
      <c r="Q916" s="46" t="s">
        <v>1013</v>
      </c>
      <c r="R916" s="46" t="s">
        <v>2024</v>
      </c>
      <c r="S916" s="37"/>
    </row>
    <row r="917" spans="1:19" x14ac:dyDescent="0.2">
      <c r="A917" s="36"/>
      <c r="B917" s="38" t="str">
        <f>IF(MasterFees[[#This Row],[RVG Code]]="","",_xlfn.XLOOKUP(MasterFees[[#This Row],[RVG Code]],RVGCodes[Code],RVGCodes[Base Units],"Code not found"))</f>
        <v/>
      </c>
      <c r="C917" s="37" t="s">
        <v>909</v>
      </c>
      <c r="D917" s="44" t="s">
        <v>1108</v>
      </c>
      <c r="E917" s="44"/>
      <c r="F917" s="44" t="s">
        <v>1109</v>
      </c>
      <c r="G917" s="39">
        <v>4</v>
      </c>
      <c r="H917" s="39">
        <v>2</v>
      </c>
      <c r="I917" s="39">
        <v>0.2</v>
      </c>
      <c r="J917" s="39">
        <v>6.2</v>
      </c>
      <c r="K917" s="40">
        <v>338.8</v>
      </c>
      <c r="L917" s="45" t="s">
        <v>1015</v>
      </c>
      <c r="M917" s="41" t="str">
        <f>IF(MasterFees[[#This Row],[GST Basis]]="Excl",MasterFees[[#This Row],[Fee as Printed]],IF(MasterFees[[#This Row],[GST Basis]]="Incl",MasterFees[[#This Row],[Fee as Printed]]/(1+GST_Rate),""))</f>
        <v/>
      </c>
      <c r="N917" s="41" t="str">
        <f>IF(MasterFees[[#This Row],[GST Basis]]="Incl",MasterFees[[#This Row],[Fee as Printed]],IF(MasterFees[[#This Row],[GST Basis]]="Excl",MasterFees[[#This Row],[Fee as Printed]]*(1+GST_Rate),""))</f>
        <v/>
      </c>
      <c r="O917" s="42">
        <f>IF(N(MasterFees[[#This Row],[Total Units]])=0,"",MasterFees[[#This Row],[Fee as Printed]]/MasterFees[[#This Row],[Total Units]])</f>
        <v>54.645161290322584</v>
      </c>
      <c r="P917" s="43"/>
      <c r="Q917" s="46" t="s">
        <v>1013</v>
      </c>
      <c r="R917" s="46" t="s">
        <v>2025</v>
      </c>
      <c r="S917" s="37"/>
    </row>
    <row r="918" spans="1:19" x14ac:dyDescent="0.2">
      <c r="A918" s="36"/>
      <c r="B918" s="38" t="str">
        <f>IF(MasterFees[[#This Row],[RVG Code]]="","",_xlfn.XLOOKUP(MasterFees[[#This Row],[RVG Code]],RVGCodes[Code],RVGCodes[Base Units],"Code not found"))</f>
        <v/>
      </c>
      <c r="C918" s="37" t="s">
        <v>910</v>
      </c>
      <c r="D918" s="44" t="s">
        <v>1108</v>
      </c>
      <c r="E918" s="44"/>
      <c r="F918" s="44" t="s">
        <v>1109</v>
      </c>
      <c r="G918" s="39">
        <v>4</v>
      </c>
      <c r="H918" s="39">
        <v>7</v>
      </c>
      <c r="I918" s="39">
        <v>0.5</v>
      </c>
      <c r="J918" s="39">
        <v>11.5</v>
      </c>
      <c r="K918" s="40">
        <v>632.5</v>
      </c>
      <c r="L918" s="45" t="s">
        <v>1015</v>
      </c>
      <c r="M918" s="41" t="str">
        <f>IF(MasterFees[[#This Row],[GST Basis]]="Excl",MasterFees[[#This Row],[Fee as Printed]],IF(MasterFees[[#This Row],[GST Basis]]="Incl",MasterFees[[#This Row],[Fee as Printed]]/(1+GST_Rate),""))</f>
        <v/>
      </c>
      <c r="N918" s="41" t="str">
        <f>IF(MasterFees[[#This Row],[GST Basis]]="Incl",MasterFees[[#This Row],[Fee as Printed]],IF(MasterFees[[#This Row],[GST Basis]]="Excl",MasterFees[[#This Row],[Fee as Printed]]*(1+GST_Rate),""))</f>
        <v/>
      </c>
      <c r="O918" s="42">
        <f>IF(N(MasterFees[[#This Row],[Total Units]])=0,"",MasterFees[[#This Row],[Fee as Printed]]/MasterFees[[#This Row],[Total Units]])</f>
        <v>55</v>
      </c>
      <c r="P918" s="43"/>
      <c r="Q918" s="46" t="s">
        <v>1013</v>
      </c>
      <c r="R918" s="46" t="s">
        <v>2026</v>
      </c>
      <c r="S918" s="37"/>
    </row>
    <row r="919" spans="1:19" x14ac:dyDescent="0.2">
      <c r="A919" s="36"/>
      <c r="B919" s="38" t="str">
        <f>IF(MasterFees[[#This Row],[RVG Code]]="","",_xlfn.XLOOKUP(MasterFees[[#This Row],[RVG Code]],RVGCodes[Code],RVGCodes[Base Units],"Code not found"))</f>
        <v/>
      </c>
      <c r="C919" s="37" t="s">
        <v>911</v>
      </c>
      <c r="D919" s="44" t="s">
        <v>1108</v>
      </c>
      <c r="E919" s="44"/>
      <c r="F919" s="44" t="s">
        <v>1109</v>
      </c>
      <c r="G919" s="39">
        <v>0</v>
      </c>
      <c r="H919" s="39">
        <v>2</v>
      </c>
      <c r="I919" s="39">
        <v>0</v>
      </c>
      <c r="J919" s="39">
        <v>2</v>
      </c>
      <c r="K919" s="40">
        <v>110</v>
      </c>
      <c r="L919" s="45" t="s">
        <v>1015</v>
      </c>
      <c r="M919" s="41" t="str">
        <f>IF(MasterFees[[#This Row],[GST Basis]]="Excl",MasterFees[[#This Row],[Fee as Printed]],IF(MasterFees[[#This Row],[GST Basis]]="Incl",MasterFees[[#This Row],[Fee as Printed]]/(1+GST_Rate),""))</f>
        <v/>
      </c>
      <c r="N919" s="41" t="str">
        <f>IF(MasterFees[[#This Row],[GST Basis]]="Incl",MasterFees[[#This Row],[Fee as Printed]],IF(MasterFees[[#This Row],[GST Basis]]="Excl",MasterFees[[#This Row],[Fee as Printed]]*(1+GST_Rate),""))</f>
        <v/>
      </c>
      <c r="O919" s="42">
        <f>IF(N(MasterFees[[#This Row],[Total Units]])=0,"",MasterFees[[#This Row],[Fee as Printed]]/MasterFees[[#This Row],[Total Units]])</f>
        <v>55</v>
      </c>
      <c r="P919" s="43"/>
      <c r="Q919" s="46" t="s">
        <v>1013</v>
      </c>
      <c r="R919" s="46" t="s">
        <v>2027</v>
      </c>
      <c r="S919" s="37"/>
    </row>
    <row r="920" spans="1:19" x14ac:dyDescent="0.2">
      <c r="A920" s="36"/>
      <c r="B920" s="38" t="str">
        <f>IF(MasterFees[[#This Row],[RVG Code]]="","",_xlfn.XLOOKUP(MasterFees[[#This Row],[RVG Code]],RVGCodes[Code],RVGCodes[Base Units],"Code not found"))</f>
        <v/>
      </c>
      <c r="C920" s="37" t="s">
        <v>912</v>
      </c>
      <c r="D920" s="44" t="s">
        <v>1108</v>
      </c>
      <c r="E920" s="44"/>
      <c r="F920" s="44" t="s">
        <v>1109</v>
      </c>
      <c r="G920" s="39">
        <v>12.9</v>
      </c>
      <c r="H920" s="39">
        <v>9.4</v>
      </c>
      <c r="I920" s="39">
        <v>1.3</v>
      </c>
      <c r="J920" s="39">
        <v>23.6</v>
      </c>
      <c r="K920" s="40">
        <v>1295.25</v>
      </c>
      <c r="L920" s="45" t="s">
        <v>1015</v>
      </c>
      <c r="M920" s="41" t="str">
        <f>IF(MasterFees[[#This Row],[GST Basis]]="Excl",MasterFees[[#This Row],[Fee as Printed]],IF(MasterFees[[#This Row],[GST Basis]]="Incl",MasterFees[[#This Row],[Fee as Printed]]/(1+GST_Rate),""))</f>
        <v/>
      </c>
      <c r="N920" s="41" t="str">
        <f>IF(MasterFees[[#This Row],[GST Basis]]="Incl",MasterFees[[#This Row],[Fee as Printed]],IF(MasterFees[[#This Row],[GST Basis]]="Excl",MasterFees[[#This Row],[Fee as Printed]]*(1+GST_Rate),""))</f>
        <v/>
      </c>
      <c r="O920" s="42">
        <f>IF(N(MasterFees[[#This Row],[Total Units]])=0,"",MasterFees[[#This Row],[Fee as Printed]]/MasterFees[[#This Row],[Total Units]])</f>
        <v>54.883474576271183</v>
      </c>
      <c r="P920" s="43"/>
      <c r="Q920" s="46" t="s">
        <v>1013</v>
      </c>
      <c r="R920" s="46" t="s">
        <v>2028</v>
      </c>
      <c r="S920" s="37"/>
    </row>
    <row r="921" spans="1:19" x14ac:dyDescent="0.2">
      <c r="A921" s="36"/>
      <c r="B921" s="38" t="str">
        <f>IF(MasterFees[[#This Row],[RVG Code]]="","",_xlfn.XLOOKUP(MasterFees[[#This Row],[RVG Code]],RVGCodes[Code],RVGCodes[Base Units],"Code not found"))</f>
        <v/>
      </c>
      <c r="C921" s="37" t="s">
        <v>913</v>
      </c>
      <c r="D921" s="44" t="s">
        <v>1108</v>
      </c>
      <c r="E921" s="44"/>
      <c r="F921" s="44" t="s">
        <v>1109</v>
      </c>
      <c r="G921" s="39">
        <v>5.9</v>
      </c>
      <c r="H921" s="39">
        <v>8.8000000000000007</v>
      </c>
      <c r="I921" s="39">
        <v>0.6</v>
      </c>
      <c r="J921" s="39">
        <v>15.3</v>
      </c>
      <c r="K921" s="40">
        <v>839.3</v>
      </c>
      <c r="L921" s="45" t="s">
        <v>1015</v>
      </c>
      <c r="M921" s="41" t="str">
        <f>IF(MasterFees[[#This Row],[GST Basis]]="Excl",MasterFees[[#This Row],[Fee as Printed]],IF(MasterFees[[#This Row],[GST Basis]]="Incl",MasterFees[[#This Row],[Fee as Printed]]/(1+GST_Rate),""))</f>
        <v/>
      </c>
      <c r="N921" s="41" t="str">
        <f>IF(MasterFees[[#This Row],[GST Basis]]="Incl",MasterFees[[#This Row],[Fee as Printed]],IF(MasterFees[[#This Row],[GST Basis]]="Excl",MasterFees[[#This Row],[Fee as Printed]]*(1+GST_Rate),""))</f>
        <v/>
      </c>
      <c r="O921" s="42">
        <f>IF(N(MasterFees[[#This Row],[Total Units]])=0,"",MasterFees[[#This Row],[Fee as Printed]]/MasterFees[[#This Row],[Total Units]])</f>
        <v>54.856209150326791</v>
      </c>
      <c r="P921" s="43"/>
      <c r="Q921" s="46" t="s">
        <v>1013</v>
      </c>
      <c r="R921" s="46" t="s">
        <v>2029</v>
      </c>
      <c r="S921" s="37"/>
    </row>
    <row r="922" spans="1:19" x14ac:dyDescent="0.2">
      <c r="A922" s="36"/>
      <c r="B922" s="38" t="str">
        <f>IF(MasterFees[[#This Row],[RVG Code]]="","",_xlfn.XLOOKUP(MasterFees[[#This Row],[RVG Code]],RVGCodes[Code],RVGCodes[Base Units],"Code not found"))</f>
        <v/>
      </c>
      <c r="C922" s="37" t="s">
        <v>914</v>
      </c>
      <c r="D922" s="44" t="s">
        <v>1108</v>
      </c>
      <c r="E922" s="44"/>
      <c r="F922" s="44" t="s">
        <v>1109</v>
      </c>
      <c r="G922" s="39">
        <v>6</v>
      </c>
      <c r="H922" s="39">
        <v>11.1</v>
      </c>
      <c r="I922" s="39">
        <v>1.1000000000000001</v>
      </c>
      <c r="J922" s="39">
        <v>18.2</v>
      </c>
      <c r="K922" s="40">
        <v>1001.55</v>
      </c>
      <c r="L922" s="45" t="s">
        <v>1015</v>
      </c>
      <c r="M922" s="41" t="str">
        <f>IF(MasterFees[[#This Row],[GST Basis]]="Excl",MasterFees[[#This Row],[Fee as Printed]],IF(MasterFees[[#This Row],[GST Basis]]="Incl",MasterFees[[#This Row],[Fee as Printed]]/(1+GST_Rate),""))</f>
        <v/>
      </c>
      <c r="N922" s="41" t="str">
        <f>IF(MasterFees[[#This Row],[GST Basis]]="Incl",MasterFees[[#This Row],[Fee as Printed]],IF(MasterFees[[#This Row],[GST Basis]]="Excl",MasterFees[[#This Row],[Fee as Printed]]*(1+GST_Rate),""))</f>
        <v/>
      </c>
      <c r="O922" s="42">
        <f>IF(N(MasterFees[[#This Row],[Total Units]])=0,"",MasterFees[[#This Row],[Fee as Printed]]/MasterFees[[#This Row],[Total Units]])</f>
        <v>55.030219780219781</v>
      </c>
      <c r="P922" s="43"/>
      <c r="Q922" s="46" t="s">
        <v>1013</v>
      </c>
      <c r="R922" s="46" t="s">
        <v>2030</v>
      </c>
      <c r="S922" s="37"/>
    </row>
    <row r="923" spans="1:19" x14ac:dyDescent="0.2">
      <c r="A923" s="36"/>
      <c r="B923" s="38" t="str">
        <f>IF(MasterFees[[#This Row],[RVG Code]]="","",_xlfn.XLOOKUP(MasterFees[[#This Row],[RVG Code]],RVGCodes[Code],RVGCodes[Base Units],"Code not found"))</f>
        <v/>
      </c>
      <c r="C923" s="37" t="s">
        <v>915</v>
      </c>
      <c r="D923" s="44" t="s">
        <v>1108</v>
      </c>
      <c r="E923" s="44"/>
      <c r="F923" s="44" t="s">
        <v>1109</v>
      </c>
      <c r="G923" s="39">
        <v>6</v>
      </c>
      <c r="H923" s="39">
        <v>6.2</v>
      </c>
      <c r="I923" s="39">
        <v>0.2</v>
      </c>
      <c r="J923" s="39">
        <v>12.4</v>
      </c>
      <c r="K923" s="40">
        <v>684.2</v>
      </c>
      <c r="L923" s="45" t="s">
        <v>1015</v>
      </c>
      <c r="M923" s="41" t="str">
        <f>IF(MasterFees[[#This Row],[GST Basis]]="Excl",MasterFees[[#This Row],[Fee as Printed]],IF(MasterFees[[#This Row],[GST Basis]]="Incl",MasterFees[[#This Row],[Fee as Printed]]/(1+GST_Rate),""))</f>
        <v/>
      </c>
      <c r="N923" s="41" t="str">
        <f>IF(MasterFees[[#This Row],[GST Basis]]="Incl",MasterFees[[#This Row],[Fee as Printed]],IF(MasterFees[[#This Row],[GST Basis]]="Excl",MasterFees[[#This Row],[Fee as Printed]]*(1+GST_Rate),""))</f>
        <v/>
      </c>
      <c r="O923" s="42">
        <f>IF(N(MasterFees[[#This Row],[Total Units]])=0,"",MasterFees[[#This Row],[Fee as Printed]]/MasterFees[[#This Row],[Total Units]])</f>
        <v>55.177419354838712</v>
      </c>
      <c r="P923" s="43"/>
      <c r="Q923" s="46" t="s">
        <v>1013</v>
      </c>
      <c r="R923" s="46" t="s">
        <v>2031</v>
      </c>
      <c r="S923" s="37"/>
    </row>
    <row r="924" spans="1:19" x14ac:dyDescent="0.2">
      <c r="A924" s="36"/>
      <c r="B924" s="38" t="str">
        <f>IF(MasterFees[[#This Row],[RVG Code]]="","",_xlfn.XLOOKUP(MasterFees[[#This Row],[RVG Code]],RVGCodes[Code],RVGCodes[Base Units],"Code not found"))</f>
        <v/>
      </c>
      <c r="C924" s="37" t="s">
        <v>916</v>
      </c>
      <c r="D924" s="44" t="s">
        <v>1108</v>
      </c>
      <c r="E924" s="44"/>
      <c r="F924" s="44" t="s">
        <v>1109</v>
      </c>
      <c r="G924" s="39">
        <v>0</v>
      </c>
      <c r="H924" s="39">
        <v>0</v>
      </c>
      <c r="I924" s="39">
        <v>0</v>
      </c>
      <c r="J924" s="39">
        <v>0</v>
      </c>
      <c r="K924" s="40">
        <v>0</v>
      </c>
      <c r="L924" s="45" t="s">
        <v>1015</v>
      </c>
      <c r="M924" s="41" t="str">
        <f>IF(MasterFees[[#This Row],[GST Basis]]="Excl",MasterFees[[#This Row],[Fee as Printed]],IF(MasterFees[[#This Row],[GST Basis]]="Incl",MasterFees[[#This Row],[Fee as Printed]]/(1+GST_Rate),""))</f>
        <v/>
      </c>
      <c r="N924" s="41" t="str">
        <f>IF(MasterFees[[#This Row],[GST Basis]]="Incl",MasterFees[[#This Row],[Fee as Printed]],IF(MasterFees[[#This Row],[GST Basis]]="Excl",MasterFees[[#This Row],[Fee as Printed]]*(1+GST_Rate),""))</f>
        <v/>
      </c>
      <c r="O924" s="42" t="str">
        <f>IF(N(MasterFees[[#This Row],[Total Units]])=0,"",MasterFees[[#This Row],[Fee as Printed]]/MasterFees[[#This Row],[Total Units]])</f>
        <v/>
      </c>
      <c r="P924" s="43"/>
      <c r="Q924" s="46" t="s">
        <v>1013</v>
      </c>
      <c r="R924" s="46" t="s">
        <v>2032</v>
      </c>
      <c r="S924" s="37"/>
    </row>
    <row r="925" spans="1:19" x14ac:dyDescent="0.2">
      <c r="A925" s="36"/>
      <c r="B925" s="38" t="str">
        <f>IF(MasterFees[[#This Row],[RVG Code]]="","",_xlfn.XLOOKUP(MasterFees[[#This Row],[RVG Code]],RVGCodes[Code],RVGCodes[Base Units],"Code not found"))</f>
        <v/>
      </c>
      <c r="C925" s="37" t="s">
        <v>917</v>
      </c>
      <c r="D925" s="44" t="s">
        <v>1108</v>
      </c>
      <c r="E925" s="44"/>
      <c r="F925" s="44" t="s">
        <v>1109</v>
      </c>
      <c r="G925" s="39">
        <v>4.4000000000000004</v>
      </c>
      <c r="H925" s="39">
        <v>2.2999999999999998</v>
      </c>
      <c r="I925" s="39">
        <v>0.3</v>
      </c>
      <c r="J925" s="39">
        <v>6.9</v>
      </c>
      <c r="K925" s="40">
        <v>381.15</v>
      </c>
      <c r="L925" s="45" t="s">
        <v>1015</v>
      </c>
      <c r="M925" s="41" t="str">
        <f>IF(MasterFees[[#This Row],[GST Basis]]="Excl",MasterFees[[#This Row],[Fee as Printed]],IF(MasterFees[[#This Row],[GST Basis]]="Incl",MasterFees[[#This Row],[Fee as Printed]]/(1+GST_Rate),""))</f>
        <v/>
      </c>
      <c r="N925" s="41" t="str">
        <f>IF(MasterFees[[#This Row],[GST Basis]]="Incl",MasterFees[[#This Row],[Fee as Printed]],IF(MasterFees[[#This Row],[GST Basis]]="Excl",MasterFees[[#This Row],[Fee as Printed]]*(1+GST_Rate),""))</f>
        <v/>
      </c>
      <c r="O925" s="42">
        <f>IF(N(MasterFees[[#This Row],[Total Units]])=0,"",MasterFees[[#This Row],[Fee as Printed]]/MasterFees[[#This Row],[Total Units]])</f>
        <v>55.239130434782602</v>
      </c>
      <c r="P925" s="43"/>
      <c r="Q925" s="46" t="s">
        <v>1013</v>
      </c>
      <c r="R925" s="46" t="s">
        <v>2033</v>
      </c>
      <c r="S925" s="37"/>
    </row>
    <row r="926" spans="1:19" x14ac:dyDescent="0.2">
      <c r="A926" s="36"/>
      <c r="B926" s="38" t="str">
        <f>IF(MasterFees[[#This Row],[RVG Code]]="","",_xlfn.XLOOKUP(MasterFees[[#This Row],[RVG Code]],RVGCodes[Code],RVGCodes[Base Units],"Code not found"))</f>
        <v/>
      </c>
      <c r="C926" s="37" t="s">
        <v>918</v>
      </c>
      <c r="D926" s="44" t="s">
        <v>1108</v>
      </c>
      <c r="E926" s="44"/>
      <c r="F926" s="44" t="s">
        <v>1109</v>
      </c>
      <c r="G926" s="39">
        <v>4.9000000000000004</v>
      </c>
      <c r="H926" s="39">
        <v>3.1</v>
      </c>
      <c r="I926" s="39">
        <v>0.2</v>
      </c>
      <c r="J926" s="39">
        <v>8.1999999999999993</v>
      </c>
      <c r="K926" s="40">
        <v>450.45</v>
      </c>
      <c r="L926" s="45" t="s">
        <v>1015</v>
      </c>
      <c r="M926" s="41" t="str">
        <f>IF(MasterFees[[#This Row],[GST Basis]]="Excl",MasterFees[[#This Row],[Fee as Printed]],IF(MasterFees[[#This Row],[GST Basis]]="Incl",MasterFees[[#This Row],[Fee as Printed]]/(1+GST_Rate),""))</f>
        <v/>
      </c>
      <c r="N926" s="41" t="str">
        <f>IF(MasterFees[[#This Row],[GST Basis]]="Incl",MasterFees[[#This Row],[Fee as Printed]],IF(MasterFees[[#This Row],[GST Basis]]="Excl",MasterFees[[#This Row],[Fee as Printed]]*(1+GST_Rate),""))</f>
        <v/>
      </c>
      <c r="O926" s="42">
        <f>IF(N(MasterFees[[#This Row],[Total Units]])=0,"",MasterFees[[#This Row],[Fee as Printed]]/MasterFees[[#This Row],[Total Units]])</f>
        <v>54.932926829268297</v>
      </c>
      <c r="P926" s="43"/>
      <c r="Q926" s="46" t="s">
        <v>1013</v>
      </c>
      <c r="R926" s="46" t="s">
        <v>2034</v>
      </c>
      <c r="S926" s="37"/>
    </row>
    <row r="927" spans="1:19" x14ac:dyDescent="0.2">
      <c r="A927" s="36"/>
      <c r="B927" s="38" t="str">
        <f>IF(MasterFees[[#This Row],[RVG Code]]="","",_xlfn.XLOOKUP(MasterFees[[#This Row],[RVG Code]],RVGCodes[Code],RVGCodes[Base Units],"Code not found"))</f>
        <v/>
      </c>
      <c r="C927" s="37" t="s">
        <v>919</v>
      </c>
      <c r="D927" s="44" t="s">
        <v>1108</v>
      </c>
      <c r="E927" s="44"/>
      <c r="F927" s="44" t="s">
        <v>1109</v>
      </c>
      <c r="G927" s="39">
        <v>4.9000000000000004</v>
      </c>
      <c r="H927" s="39">
        <v>3.1</v>
      </c>
      <c r="I927" s="39">
        <v>0.2</v>
      </c>
      <c r="J927" s="39">
        <v>8.1999999999999993</v>
      </c>
      <c r="K927" s="40">
        <v>449.35</v>
      </c>
      <c r="L927" s="45" t="s">
        <v>1015</v>
      </c>
      <c r="M927" s="41" t="str">
        <f>IF(MasterFees[[#This Row],[GST Basis]]="Excl",MasterFees[[#This Row],[Fee as Printed]],IF(MasterFees[[#This Row],[GST Basis]]="Incl",MasterFees[[#This Row],[Fee as Printed]]/(1+GST_Rate),""))</f>
        <v/>
      </c>
      <c r="N927" s="41" t="str">
        <f>IF(MasterFees[[#This Row],[GST Basis]]="Incl",MasterFees[[#This Row],[Fee as Printed]],IF(MasterFees[[#This Row],[GST Basis]]="Excl",MasterFees[[#This Row],[Fee as Printed]]*(1+GST_Rate),""))</f>
        <v/>
      </c>
      <c r="O927" s="42">
        <f>IF(N(MasterFees[[#This Row],[Total Units]])=0,"",MasterFees[[#This Row],[Fee as Printed]]/MasterFees[[#This Row],[Total Units]])</f>
        <v>54.798780487804883</v>
      </c>
      <c r="P927" s="43"/>
      <c r="Q927" s="46" t="s">
        <v>1013</v>
      </c>
      <c r="R927" s="46" t="s">
        <v>2035</v>
      </c>
      <c r="S927" s="37"/>
    </row>
    <row r="928" spans="1:19" x14ac:dyDescent="0.2">
      <c r="A928" s="36"/>
      <c r="B928" s="38" t="str">
        <f>IF(MasterFees[[#This Row],[RVG Code]]="","",_xlfn.XLOOKUP(MasterFees[[#This Row],[RVG Code]],RVGCodes[Code],RVGCodes[Base Units],"Code not found"))</f>
        <v/>
      </c>
      <c r="C928" s="37" t="s">
        <v>920</v>
      </c>
      <c r="D928" s="44" t="s">
        <v>1108</v>
      </c>
      <c r="E928" s="44"/>
      <c r="F928" s="44" t="s">
        <v>1109</v>
      </c>
      <c r="G928" s="39">
        <v>5</v>
      </c>
      <c r="H928" s="39">
        <v>2</v>
      </c>
      <c r="I928" s="39">
        <v>0</v>
      </c>
      <c r="J928" s="39">
        <v>7</v>
      </c>
      <c r="K928" s="40">
        <v>385</v>
      </c>
      <c r="L928" s="45" t="s">
        <v>1015</v>
      </c>
      <c r="M928" s="41" t="str">
        <f>IF(MasterFees[[#This Row],[GST Basis]]="Excl",MasterFees[[#This Row],[Fee as Printed]],IF(MasterFees[[#This Row],[GST Basis]]="Incl",MasterFees[[#This Row],[Fee as Printed]]/(1+GST_Rate),""))</f>
        <v/>
      </c>
      <c r="N928" s="41" t="str">
        <f>IF(MasterFees[[#This Row],[GST Basis]]="Incl",MasterFees[[#This Row],[Fee as Printed]],IF(MasterFees[[#This Row],[GST Basis]]="Excl",MasterFees[[#This Row],[Fee as Printed]]*(1+GST_Rate),""))</f>
        <v/>
      </c>
      <c r="O928" s="42">
        <f>IF(N(MasterFees[[#This Row],[Total Units]])=0,"",MasterFees[[#This Row],[Fee as Printed]]/MasterFees[[#This Row],[Total Units]])</f>
        <v>55</v>
      </c>
      <c r="P928" s="43"/>
      <c r="Q928" s="46" t="s">
        <v>1013</v>
      </c>
      <c r="R928" s="46" t="s">
        <v>2036</v>
      </c>
      <c r="S928" s="37"/>
    </row>
    <row r="929" spans="1:19" x14ac:dyDescent="0.2">
      <c r="A929" s="36"/>
      <c r="B929" s="38" t="str">
        <f>IF(MasterFees[[#This Row],[RVG Code]]="","",_xlfn.XLOOKUP(MasterFees[[#This Row],[RVG Code]],RVGCodes[Code],RVGCodes[Base Units],"Code not found"))</f>
        <v/>
      </c>
      <c r="C929" s="37" t="s">
        <v>921</v>
      </c>
      <c r="D929" s="44" t="s">
        <v>1108</v>
      </c>
      <c r="E929" s="44"/>
      <c r="F929" s="44" t="s">
        <v>1109</v>
      </c>
      <c r="G929" s="39">
        <v>0</v>
      </c>
      <c r="H929" s="39">
        <v>0</v>
      </c>
      <c r="I929" s="39">
        <v>0</v>
      </c>
      <c r="J929" s="39">
        <v>0</v>
      </c>
      <c r="K929" s="40">
        <v>0</v>
      </c>
      <c r="L929" s="45" t="s">
        <v>1015</v>
      </c>
      <c r="M929" s="41" t="str">
        <f>IF(MasterFees[[#This Row],[GST Basis]]="Excl",MasterFees[[#This Row],[Fee as Printed]],IF(MasterFees[[#This Row],[GST Basis]]="Incl",MasterFees[[#This Row],[Fee as Printed]]/(1+GST_Rate),""))</f>
        <v/>
      </c>
      <c r="N929" s="41" t="str">
        <f>IF(MasterFees[[#This Row],[GST Basis]]="Incl",MasterFees[[#This Row],[Fee as Printed]],IF(MasterFees[[#This Row],[GST Basis]]="Excl",MasterFees[[#This Row],[Fee as Printed]]*(1+GST_Rate),""))</f>
        <v/>
      </c>
      <c r="O929" s="42" t="str">
        <f>IF(N(MasterFees[[#This Row],[Total Units]])=0,"",MasterFees[[#This Row],[Fee as Printed]]/MasterFees[[#This Row],[Total Units]])</f>
        <v/>
      </c>
      <c r="P929" s="43"/>
      <c r="Q929" s="46" t="s">
        <v>1013</v>
      </c>
      <c r="R929" s="46" t="s">
        <v>2037</v>
      </c>
      <c r="S929" s="37"/>
    </row>
    <row r="930" spans="1:19" x14ac:dyDescent="0.2">
      <c r="A930" s="36"/>
      <c r="B930" s="38" t="str">
        <f>IF(MasterFees[[#This Row],[RVG Code]]="","",_xlfn.XLOOKUP(MasterFees[[#This Row],[RVG Code]],RVGCodes[Code],RVGCodes[Base Units],"Code not found"))</f>
        <v/>
      </c>
      <c r="C930" s="37" t="s">
        <v>922</v>
      </c>
      <c r="D930" s="44" t="s">
        <v>1108</v>
      </c>
      <c r="E930" s="44"/>
      <c r="F930" s="44" t="s">
        <v>1109</v>
      </c>
      <c r="G930" s="39">
        <v>7.9</v>
      </c>
      <c r="H930" s="39">
        <v>7.4</v>
      </c>
      <c r="I930" s="39">
        <v>2.1</v>
      </c>
      <c r="J930" s="39">
        <v>17.399999999999999</v>
      </c>
      <c r="K930" s="40">
        <v>958.65</v>
      </c>
      <c r="L930" s="45" t="s">
        <v>1015</v>
      </c>
      <c r="M930" s="41" t="str">
        <f>IF(MasterFees[[#This Row],[GST Basis]]="Excl",MasterFees[[#This Row],[Fee as Printed]],IF(MasterFees[[#This Row],[GST Basis]]="Incl",MasterFees[[#This Row],[Fee as Printed]]/(1+GST_Rate),""))</f>
        <v/>
      </c>
      <c r="N930" s="41" t="str">
        <f>IF(MasterFees[[#This Row],[GST Basis]]="Incl",MasterFees[[#This Row],[Fee as Printed]],IF(MasterFees[[#This Row],[GST Basis]]="Excl",MasterFees[[#This Row],[Fee as Printed]]*(1+GST_Rate),""))</f>
        <v/>
      </c>
      <c r="O930" s="42">
        <f>IF(N(MasterFees[[#This Row],[Total Units]])=0,"",MasterFees[[#This Row],[Fee as Printed]]/MasterFees[[#This Row],[Total Units]])</f>
        <v>55.094827586206897</v>
      </c>
      <c r="P930" s="43"/>
      <c r="Q930" s="46" t="s">
        <v>1013</v>
      </c>
      <c r="R930" s="46" t="s">
        <v>2038</v>
      </c>
      <c r="S930" s="37"/>
    </row>
    <row r="931" spans="1:19" x14ac:dyDescent="0.2">
      <c r="A931" s="36"/>
      <c r="B931" s="38" t="str">
        <f>IF(MasterFees[[#This Row],[RVG Code]]="","",_xlfn.XLOOKUP(MasterFees[[#This Row],[RVG Code]],RVGCodes[Code],RVGCodes[Base Units],"Code not found"))</f>
        <v/>
      </c>
      <c r="C931" s="37" t="s">
        <v>923</v>
      </c>
      <c r="D931" s="44" t="s">
        <v>1108</v>
      </c>
      <c r="E931" s="44"/>
      <c r="F931" s="44" t="s">
        <v>1109</v>
      </c>
      <c r="G931" s="39">
        <v>7.9</v>
      </c>
      <c r="H931" s="39">
        <v>7.5</v>
      </c>
      <c r="I931" s="39">
        <v>1.4</v>
      </c>
      <c r="J931" s="39">
        <v>16.8</v>
      </c>
      <c r="K931" s="40">
        <v>925.1</v>
      </c>
      <c r="L931" s="45" t="s">
        <v>1015</v>
      </c>
      <c r="M931" s="41" t="str">
        <f>IF(MasterFees[[#This Row],[GST Basis]]="Excl",MasterFees[[#This Row],[Fee as Printed]],IF(MasterFees[[#This Row],[GST Basis]]="Incl",MasterFees[[#This Row],[Fee as Printed]]/(1+GST_Rate),""))</f>
        <v/>
      </c>
      <c r="N931" s="41" t="str">
        <f>IF(MasterFees[[#This Row],[GST Basis]]="Incl",MasterFees[[#This Row],[Fee as Printed]],IF(MasterFees[[#This Row],[GST Basis]]="Excl",MasterFees[[#This Row],[Fee as Printed]]*(1+GST_Rate),""))</f>
        <v/>
      </c>
      <c r="O931" s="42">
        <f>IF(N(MasterFees[[#This Row],[Total Units]])=0,"",MasterFees[[#This Row],[Fee as Printed]]/MasterFees[[#This Row],[Total Units]])</f>
        <v>55.06547619047619</v>
      </c>
      <c r="P931" s="43"/>
      <c r="Q931" s="46" t="s">
        <v>1013</v>
      </c>
      <c r="R931" s="46" t="s">
        <v>2039</v>
      </c>
      <c r="S931" s="37"/>
    </row>
    <row r="932" spans="1:19" x14ac:dyDescent="0.2">
      <c r="A932" s="36"/>
      <c r="B932" s="38" t="str">
        <f>IF(MasterFees[[#This Row],[RVG Code]]="","",_xlfn.XLOOKUP(MasterFees[[#This Row],[RVG Code]],RVGCodes[Code],RVGCodes[Base Units],"Code not found"))</f>
        <v/>
      </c>
      <c r="C932" s="37" t="s">
        <v>924</v>
      </c>
      <c r="D932" s="44" t="s">
        <v>1108</v>
      </c>
      <c r="E932" s="44"/>
      <c r="F932" s="44" t="s">
        <v>1109</v>
      </c>
      <c r="G932" s="39">
        <v>10</v>
      </c>
      <c r="H932" s="39">
        <v>10</v>
      </c>
      <c r="I932" s="39">
        <v>1</v>
      </c>
      <c r="J932" s="39">
        <v>21</v>
      </c>
      <c r="K932" s="40">
        <v>1155</v>
      </c>
      <c r="L932" s="45" t="s">
        <v>1015</v>
      </c>
      <c r="M932" s="41" t="str">
        <f>IF(MasterFees[[#This Row],[GST Basis]]="Excl",MasterFees[[#This Row],[Fee as Printed]],IF(MasterFees[[#This Row],[GST Basis]]="Incl",MasterFees[[#This Row],[Fee as Printed]]/(1+GST_Rate),""))</f>
        <v/>
      </c>
      <c r="N932" s="41" t="str">
        <f>IF(MasterFees[[#This Row],[GST Basis]]="Incl",MasterFees[[#This Row],[Fee as Printed]],IF(MasterFees[[#This Row],[GST Basis]]="Excl",MasterFees[[#This Row],[Fee as Printed]]*(1+GST_Rate),""))</f>
        <v/>
      </c>
      <c r="O932" s="42">
        <f>IF(N(MasterFees[[#This Row],[Total Units]])=0,"",MasterFees[[#This Row],[Fee as Printed]]/MasterFees[[#This Row],[Total Units]])</f>
        <v>55</v>
      </c>
      <c r="P932" s="43"/>
      <c r="Q932" s="46" t="s">
        <v>1013</v>
      </c>
      <c r="R932" s="46" t="s">
        <v>2040</v>
      </c>
      <c r="S932" s="37"/>
    </row>
    <row r="933" spans="1:19" x14ac:dyDescent="0.2">
      <c r="A933" s="36"/>
      <c r="B933" s="38" t="str">
        <f>IF(MasterFees[[#This Row],[RVG Code]]="","",_xlfn.XLOOKUP(MasterFees[[#This Row],[RVG Code]],RVGCodes[Code],RVGCodes[Base Units],"Code not found"))</f>
        <v/>
      </c>
      <c r="C933" s="37" t="s">
        <v>925</v>
      </c>
      <c r="D933" s="44" t="s">
        <v>1108</v>
      </c>
      <c r="E933" s="44"/>
      <c r="F933" s="44" t="s">
        <v>1109</v>
      </c>
      <c r="G933" s="39">
        <v>7.9</v>
      </c>
      <c r="H933" s="39">
        <v>7.7</v>
      </c>
      <c r="I933" s="39">
        <v>1.8</v>
      </c>
      <c r="J933" s="39">
        <v>17.399999999999999</v>
      </c>
      <c r="K933" s="40">
        <v>957</v>
      </c>
      <c r="L933" s="45" t="s">
        <v>1015</v>
      </c>
      <c r="M933" s="41" t="str">
        <f>IF(MasterFees[[#This Row],[GST Basis]]="Excl",MasterFees[[#This Row],[Fee as Printed]],IF(MasterFees[[#This Row],[GST Basis]]="Incl",MasterFees[[#This Row],[Fee as Printed]]/(1+GST_Rate),""))</f>
        <v/>
      </c>
      <c r="N933" s="41" t="str">
        <f>IF(MasterFees[[#This Row],[GST Basis]]="Incl",MasterFees[[#This Row],[Fee as Printed]],IF(MasterFees[[#This Row],[GST Basis]]="Excl",MasterFees[[#This Row],[Fee as Printed]]*(1+GST_Rate),""))</f>
        <v/>
      </c>
      <c r="O933" s="42">
        <f>IF(N(MasterFees[[#This Row],[Total Units]])=0,"",MasterFees[[#This Row],[Fee as Printed]]/MasterFees[[#This Row],[Total Units]])</f>
        <v>55.000000000000007</v>
      </c>
      <c r="P933" s="43"/>
      <c r="Q933" s="46" t="s">
        <v>1013</v>
      </c>
      <c r="R933" s="46" t="s">
        <v>2041</v>
      </c>
      <c r="S933" s="37"/>
    </row>
    <row r="934" spans="1:19" x14ac:dyDescent="0.2">
      <c r="A934" s="36"/>
      <c r="B934" s="38" t="str">
        <f>IF(MasterFees[[#This Row],[RVG Code]]="","",_xlfn.XLOOKUP(MasterFees[[#This Row],[RVG Code]],RVGCodes[Code],RVGCodes[Base Units],"Code not found"))</f>
        <v/>
      </c>
      <c r="C934" s="37" t="s">
        <v>926</v>
      </c>
      <c r="D934" s="44" t="s">
        <v>1108</v>
      </c>
      <c r="E934" s="44"/>
      <c r="F934" s="44" t="s">
        <v>1109</v>
      </c>
      <c r="G934" s="39">
        <v>8</v>
      </c>
      <c r="H934" s="39">
        <v>12.3</v>
      </c>
      <c r="I934" s="39">
        <v>2.4</v>
      </c>
      <c r="J934" s="39">
        <v>22.7</v>
      </c>
      <c r="K934" s="40">
        <v>1248.5</v>
      </c>
      <c r="L934" s="45" t="s">
        <v>1015</v>
      </c>
      <c r="M934" s="41" t="str">
        <f>IF(MasterFees[[#This Row],[GST Basis]]="Excl",MasterFees[[#This Row],[Fee as Printed]],IF(MasterFees[[#This Row],[GST Basis]]="Incl",MasterFees[[#This Row],[Fee as Printed]]/(1+GST_Rate),""))</f>
        <v/>
      </c>
      <c r="N934" s="41" t="str">
        <f>IF(MasterFees[[#This Row],[GST Basis]]="Incl",MasterFees[[#This Row],[Fee as Printed]],IF(MasterFees[[#This Row],[GST Basis]]="Excl",MasterFees[[#This Row],[Fee as Printed]]*(1+GST_Rate),""))</f>
        <v/>
      </c>
      <c r="O934" s="42">
        <f>IF(N(MasterFees[[#This Row],[Total Units]])=0,"",MasterFees[[#This Row],[Fee as Printed]]/MasterFees[[#This Row],[Total Units]])</f>
        <v>55</v>
      </c>
      <c r="P934" s="43"/>
      <c r="Q934" s="46" t="s">
        <v>1013</v>
      </c>
      <c r="R934" s="46" t="s">
        <v>2042</v>
      </c>
      <c r="S934" s="37"/>
    </row>
    <row r="935" spans="1:19" x14ac:dyDescent="0.2">
      <c r="A935" s="36"/>
      <c r="B935" s="38" t="str">
        <f>IF(MasterFees[[#This Row],[RVG Code]]="","",_xlfn.XLOOKUP(MasterFees[[#This Row],[RVG Code]],RVGCodes[Code],RVGCodes[Base Units],"Code not found"))</f>
        <v/>
      </c>
      <c r="C935" s="37" t="s">
        <v>927</v>
      </c>
      <c r="D935" s="44" t="s">
        <v>1108</v>
      </c>
      <c r="E935" s="44"/>
      <c r="F935" s="44" t="s">
        <v>1109</v>
      </c>
      <c r="G935" s="39">
        <v>8.1</v>
      </c>
      <c r="H935" s="39">
        <v>10.3</v>
      </c>
      <c r="I935" s="39">
        <v>1.9</v>
      </c>
      <c r="J935" s="39">
        <v>20.3</v>
      </c>
      <c r="K935" s="40">
        <v>1115.4000000000001</v>
      </c>
      <c r="L935" s="45" t="s">
        <v>1015</v>
      </c>
      <c r="M935" s="41" t="str">
        <f>IF(MasterFees[[#This Row],[GST Basis]]="Excl",MasterFees[[#This Row],[Fee as Printed]],IF(MasterFees[[#This Row],[GST Basis]]="Incl",MasterFees[[#This Row],[Fee as Printed]]/(1+GST_Rate),""))</f>
        <v/>
      </c>
      <c r="N935" s="41" t="str">
        <f>IF(MasterFees[[#This Row],[GST Basis]]="Incl",MasterFees[[#This Row],[Fee as Printed]],IF(MasterFees[[#This Row],[GST Basis]]="Excl",MasterFees[[#This Row],[Fee as Printed]]*(1+GST_Rate),""))</f>
        <v/>
      </c>
      <c r="O935" s="42">
        <f>IF(N(MasterFees[[#This Row],[Total Units]])=0,"",MasterFees[[#This Row],[Fee as Printed]]/MasterFees[[#This Row],[Total Units]])</f>
        <v>54.945812807881779</v>
      </c>
      <c r="P935" s="43"/>
      <c r="Q935" s="46" t="s">
        <v>1013</v>
      </c>
      <c r="R935" s="46" t="s">
        <v>2043</v>
      </c>
      <c r="S935" s="37"/>
    </row>
    <row r="936" spans="1:19" x14ac:dyDescent="0.2">
      <c r="A936" s="36"/>
      <c r="B936" s="38" t="str">
        <f>IF(MasterFees[[#This Row],[RVG Code]]="","",_xlfn.XLOOKUP(MasterFees[[#This Row],[RVG Code]],RVGCodes[Code],RVGCodes[Base Units],"Code not found"))</f>
        <v/>
      </c>
      <c r="C936" s="37" t="s">
        <v>928</v>
      </c>
      <c r="D936" s="44" t="s">
        <v>1108</v>
      </c>
      <c r="E936" s="44"/>
      <c r="F936" s="44" t="s">
        <v>1109</v>
      </c>
      <c r="G936" s="39">
        <v>8</v>
      </c>
      <c r="H936" s="39">
        <v>7.8</v>
      </c>
      <c r="I936" s="39">
        <v>0.5</v>
      </c>
      <c r="J936" s="39">
        <v>16.3</v>
      </c>
      <c r="K936" s="40">
        <v>894.85</v>
      </c>
      <c r="L936" s="45" t="s">
        <v>1015</v>
      </c>
      <c r="M936" s="41" t="str">
        <f>IF(MasterFees[[#This Row],[GST Basis]]="Excl",MasterFees[[#This Row],[Fee as Printed]],IF(MasterFees[[#This Row],[GST Basis]]="Incl",MasterFees[[#This Row],[Fee as Printed]]/(1+GST_Rate),""))</f>
        <v/>
      </c>
      <c r="N936" s="41" t="str">
        <f>IF(MasterFees[[#This Row],[GST Basis]]="Incl",MasterFees[[#This Row],[Fee as Printed]],IF(MasterFees[[#This Row],[GST Basis]]="Excl",MasterFees[[#This Row],[Fee as Printed]]*(1+GST_Rate),""))</f>
        <v/>
      </c>
      <c r="O936" s="42">
        <f>IF(N(MasterFees[[#This Row],[Total Units]])=0,"",MasterFees[[#This Row],[Fee as Printed]]/MasterFees[[#This Row],[Total Units]])</f>
        <v>54.898773006134967</v>
      </c>
      <c r="P936" s="43"/>
      <c r="Q936" s="46" t="s">
        <v>1013</v>
      </c>
      <c r="R936" s="46" t="s">
        <v>2044</v>
      </c>
      <c r="S936" s="37"/>
    </row>
    <row r="937" spans="1:19" x14ac:dyDescent="0.2">
      <c r="A937" s="36"/>
      <c r="B937" s="38" t="str">
        <f>IF(MasterFees[[#This Row],[RVG Code]]="","",_xlfn.XLOOKUP(MasterFees[[#This Row],[RVG Code]],RVGCodes[Code],RVGCodes[Base Units],"Code not found"))</f>
        <v/>
      </c>
      <c r="C937" s="37" t="s">
        <v>929</v>
      </c>
      <c r="D937" s="44" t="s">
        <v>1108</v>
      </c>
      <c r="E937" s="44"/>
      <c r="F937" s="44" t="s">
        <v>1109</v>
      </c>
      <c r="G937" s="39">
        <v>8</v>
      </c>
      <c r="H937" s="39">
        <v>13</v>
      </c>
      <c r="I937" s="39">
        <v>2</v>
      </c>
      <c r="J937" s="39">
        <v>23</v>
      </c>
      <c r="K937" s="40">
        <v>1265</v>
      </c>
      <c r="L937" s="45" t="s">
        <v>1015</v>
      </c>
      <c r="M937" s="41" t="str">
        <f>IF(MasterFees[[#This Row],[GST Basis]]="Excl",MasterFees[[#This Row],[Fee as Printed]],IF(MasterFees[[#This Row],[GST Basis]]="Incl",MasterFees[[#This Row],[Fee as Printed]]/(1+GST_Rate),""))</f>
        <v/>
      </c>
      <c r="N937" s="41" t="str">
        <f>IF(MasterFees[[#This Row],[GST Basis]]="Incl",MasterFees[[#This Row],[Fee as Printed]],IF(MasterFees[[#This Row],[GST Basis]]="Excl",MasterFees[[#This Row],[Fee as Printed]]*(1+GST_Rate),""))</f>
        <v/>
      </c>
      <c r="O937" s="42">
        <f>IF(N(MasterFees[[#This Row],[Total Units]])=0,"",MasterFees[[#This Row],[Fee as Printed]]/MasterFees[[#This Row],[Total Units]])</f>
        <v>55</v>
      </c>
      <c r="P937" s="43"/>
      <c r="Q937" s="46" t="s">
        <v>1013</v>
      </c>
      <c r="R937" s="46" t="s">
        <v>2045</v>
      </c>
      <c r="S937" s="37"/>
    </row>
    <row r="938" spans="1:19" x14ac:dyDescent="0.2">
      <c r="A938" s="36"/>
      <c r="B938" s="38" t="str">
        <f>IF(MasterFees[[#This Row],[RVG Code]]="","",_xlfn.XLOOKUP(MasterFees[[#This Row],[RVG Code]],RVGCodes[Code],RVGCodes[Base Units],"Code not found"))</f>
        <v/>
      </c>
      <c r="C938" s="37" t="s">
        <v>930</v>
      </c>
      <c r="D938" s="44" t="s">
        <v>1108</v>
      </c>
      <c r="E938" s="44"/>
      <c r="F938" s="44" t="s">
        <v>1109</v>
      </c>
      <c r="G938" s="39">
        <v>6</v>
      </c>
      <c r="H938" s="39">
        <v>5</v>
      </c>
      <c r="I938" s="39">
        <v>4</v>
      </c>
      <c r="J938" s="39">
        <v>15</v>
      </c>
      <c r="K938" s="40">
        <v>825</v>
      </c>
      <c r="L938" s="45" t="s">
        <v>1015</v>
      </c>
      <c r="M938" s="41" t="str">
        <f>IF(MasterFees[[#This Row],[GST Basis]]="Excl",MasterFees[[#This Row],[Fee as Printed]],IF(MasterFees[[#This Row],[GST Basis]]="Incl",MasterFees[[#This Row],[Fee as Printed]]/(1+GST_Rate),""))</f>
        <v/>
      </c>
      <c r="N938" s="41" t="str">
        <f>IF(MasterFees[[#This Row],[GST Basis]]="Incl",MasterFees[[#This Row],[Fee as Printed]],IF(MasterFees[[#This Row],[GST Basis]]="Excl",MasterFees[[#This Row],[Fee as Printed]]*(1+GST_Rate),""))</f>
        <v/>
      </c>
      <c r="O938" s="42">
        <f>IF(N(MasterFees[[#This Row],[Total Units]])=0,"",MasterFees[[#This Row],[Fee as Printed]]/MasterFees[[#This Row],[Total Units]])</f>
        <v>55</v>
      </c>
      <c r="P938" s="43"/>
      <c r="Q938" s="46" t="s">
        <v>1013</v>
      </c>
      <c r="R938" s="46" t="s">
        <v>2046</v>
      </c>
      <c r="S938" s="37"/>
    </row>
    <row r="939" spans="1:19" x14ac:dyDescent="0.2">
      <c r="A939" s="36"/>
      <c r="B939" s="38" t="str">
        <f>IF(MasterFees[[#This Row],[RVG Code]]="","",_xlfn.XLOOKUP(MasterFees[[#This Row],[RVG Code]],RVGCodes[Code],RVGCodes[Base Units],"Code not found"))</f>
        <v/>
      </c>
      <c r="C939" s="37" t="s">
        <v>931</v>
      </c>
      <c r="D939" s="44" t="s">
        <v>1108</v>
      </c>
      <c r="E939" s="44"/>
      <c r="F939" s="44" t="s">
        <v>1109</v>
      </c>
      <c r="G939" s="39">
        <v>6.1</v>
      </c>
      <c r="H939" s="39">
        <v>11.9</v>
      </c>
      <c r="I939" s="39">
        <v>0.8</v>
      </c>
      <c r="J939" s="39">
        <v>18.7</v>
      </c>
      <c r="K939" s="40">
        <v>1028.5</v>
      </c>
      <c r="L939" s="45" t="s">
        <v>1015</v>
      </c>
      <c r="M939" s="41" t="str">
        <f>IF(MasterFees[[#This Row],[GST Basis]]="Excl",MasterFees[[#This Row],[Fee as Printed]],IF(MasterFees[[#This Row],[GST Basis]]="Incl",MasterFees[[#This Row],[Fee as Printed]]/(1+GST_Rate),""))</f>
        <v/>
      </c>
      <c r="N939" s="41" t="str">
        <f>IF(MasterFees[[#This Row],[GST Basis]]="Incl",MasterFees[[#This Row],[Fee as Printed]],IF(MasterFees[[#This Row],[GST Basis]]="Excl",MasterFees[[#This Row],[Fee as Printed]]*(1+GST_Rate),""))</f>
        <v/>
      </c>
      <c r="O939" s="42">
        <f>IF(N(MasterFees[[#This Row],[Total Units]])=0,"",MasterFees[[#This Row],[Fee as Printed]]/MasterFees[[#This Row],[Total Units]])</f>
        <v>55</v>
      </c>
      <c r="P939" s="43"/>
      <c r="Q939" s="46" t="s">
        <v>1013</v>
      </c>
      <c r="R939" s="46" t="s">
        <v>2047</v>
      </c>
      <c r="S939" s="37"/>
    </row>
    <row r="940" spans="1:19" x14ac:dyDescent="0.2">
      <c r="A940" s="36"/>
      <c r="B940" s="38" t="str">
        <f>IF(MasterFees[[#This Row],[RVG Code]]="","",_xlfn.XLOOKUP(MasterFees[[#This Row],[RVG Code]],RVGCodes[Code],RVGCodes[Base Units],"Code not found"))</f>
        <v/>
      </c>
      <c r="C940" s="37" t="s">
        <v>932</v>
      </c>
      <c r="D940" s="44" t="s">
        <v>1108</v>
      </c>
      <c r="E940" s="44"/>
      <c r="F940" s="44" t="s">
        <v>1109</v>
      </c>
      <c r="G940" s="39">
        <v>5</v>
      </c>
      <c r="H940" s="39">
        <v>5.6</v>
      </c>
      <c r="I940" s="39">
        <v>1.6</v>
      </c>
      <c r="J940" s="39">
        <v>12.1</v>
      </c>
      <c r="K940" s="40">
        <v>666.05</v>
      </c>
      <c r="L940" s="45" t="s">
        <v>1015</v>
      </c>
      <c r="M940" s="41" t="str">
        <f>IF(MasterFees[[#This Row],[GST Basis]]="Excl",MasterFees[[#This Row],[Fee as Printed]],IF(MasterFees[[#This Row],[GST Basis]]="Incl",MasterFees[[#This Row],[Fee as Printed]]/(1+GST_Rate),""))</f>
        <v/>
      </c>
      <c r="N940" s="41" t="str">
        <f>IF(MasterFees[[#This Row],[GST Basis]]="Incl",MasterFees[[#This Row],[Fee as Printed]],IF(MasterFees[[#This Row],[GST Basis]]="Excl",MasterFees[[#This Row],[Fee as Printed]]*(1+GST_Rate),""))</f>
        <v/>
      </c>
      <c r="O940" s="42">
        <f>IF(N(MasterFees[[#This Row],[Total Units]])=0,"",MasterFees[[#This Row],[Fee as Printed]]/MasterFees[[#This Row],[Total Units]])</f>
        <v>55.045454545454547</v>
      </c>
      <c r="P940" s="43"/>
      <c r="Q940" s="46" t="s">
        <v>1013</v>
      </c>
      <c r="R940" s="46" t="s">
        <v>2048</v>
      </c>
      <c r="S940" s="37"/>
    </row>
    <row r="941" spans="1:19" x14ac:dyDescent="0.2">
      <c r="A941" s="36"/>
      <c r="B941" s="38" t="str">
        <f>IF(MasterFees[[#This Row],[RVG Code]]="","",_xlfn.XLOOKUP(MasterFees[[#This Row],[RVG Code]],RVGCodes[Code],RVGCodes[Base Units],"Code not found"))</f>
        <v/>
      </c>
      <c r="C941" s="37" t="s">
        <v>933</v>
      </c>
      <c r="D941" s="44" t="s">
        <v>1108</v>
      </c>
      <c r="E941" s="44"/>
      <c r="F941" s="44" t="s">
        <v>1109</v>
      </c>
      <c r="G941" s="39">
        <v>4.0999999999999996</v>
      </c>
      <c r="H941" s="39">
        <v>2.5</v>
      </c>
      <c r="I941" s="39">
        <v>0.6</v>
      </c>
      <c r="J941" s="39">
        <v>7.2</v>
      </c>
      <c r="K941" s="40">
        <v>395.45</v>
      </c>
      <c r="L941" s="45" t="s">
        <v>1015</v>
      </c>
      <c r="M941" s="41" t="str">
        <f>IF(MasterFees[[#This Row],[GST Basis]]="Excl",MasterFees[[#This Row],[Fee as Printed]],IF(MasterFees[[#This Row],[GST Basis]]="Incl",MasterFees[[#This Row],[Fee as Printed]]/(1+GST_Rate),""))</f>
        <v/>
      </c>
      <c r="N941" s="41" t="str">
        <f>IF(MasterFees[[#This Row],[GST Basis]]="Incl",MasterFees[[#This Row],[Fee as Printed]],IF(MasterFees[[#This Row],[GST Basis]]="Excl",MasterFees[[#This Row],[Fee as Printed]]*(1+GST_Rate),""))</f>
        <v/>
      </c>
      <c r="O941" s="42">
        <f>IF(N(MasterFees[[#This Row],[Total Units]])=0,"",MasterFees[[#This Row],[Fee as Printed]]/MasterFees[[#This Row],[Total Units]])</f>
        <v>54.923611111111107</v>
      </c>
      <c r="P941" s="43"/>
      <c r="Q941" s="46" t="s">
        <v>1013</v>
      </c>
      <c r="R941" s="46" t="s">
        <v>2049</v>
      </c>
      <c r="S941" s="37"/>
    </row>
    <row r="942" spans="1:19" x14ac:dyDescent="0.2">
      <c r="A942" s="36"/>
      <c r="B942" s="38" t="str">
        <f>IF(MasterFees[[#This Row],[RVG Code]]="","",_xlfn.XLOOKUP(MasterFees[[#This Row],[RVG Code]],RVGCodes[Code],RVGCodes[Base Units],"Code not found"))</f>
        <v/>
      </c>
      <c r="C942" s="37" t="s">
        <v>934</v>
      </c>
      <c r="D942" s="44" t="s">
        <v>1108</v>
      </c>
      <c r="E942" s="44"/>
      <c r="F942" s="44" t="s">
        <v>1109</v>
      </c>
      <c r="G942" s="39">
        <v>4.0999999999999996</v>
      </c>
      <c r="H942" s="39">
        <v>2.6</v>
      </c>
      <c r="I942" s="39">
        <v>0.8</v>
      </c>
      <c r="J942" s="39">
        <v>7.5</v>
      </c>
      <c r="K942" s="40">
        <v>414.15</v>
      </c>
      <c r="L942" s="45" t="s">
        <v>1015</v>
      </c>
      <c r="M942" s="41" t="str">
        <f>IF(MasterFees[[#This Row],[GST Basis]]="Excl",MasterFees[[#This Row],[Fee as Printed]],IF(MasterFees[[#This Row],[GST Basis]]="Incl",MasterFees[[#This Row],[Fee as Printed]]/(1+GST_Rate),""))</f>
        <v/>
      </c>
      <c r="N942" s="41" t="str">
        <f>IF(MasterFees[[#This Row],[GST Basis]]="Incl",MasterFees[[#This Row],[Fee as Printed]],IF(MasterFees[[#This Row],[GST Basis]]="Excl",MasterFees[[#This Row],[Fee as Printed]]*(1+GST_Rate),""))</f>
        <v/>
      </c>
      <c r="O942" s="42">
        <f>IF(N(MasterFees[[#This Row],[Total Units]])=0,"",MasterFees[[#This Row],[Fee as Printed]]/MasterFees[[#This Row],[Total Units]])</f>
        <v>55.22</v>
      </c>
      <c r="P942" s="43"/>
      <c r="Q942" s="46" t="s">
        <v>1013</v>
      </c>
      <c r="R942" s="46" t="s">
        <v>2050</v>
      </c>
      <c r="S942" s="37"/>
    </row>
    <row r="943" spans="1:19" x14ac:dyDescent="0.2">
      <c r="A943" s="36"/>
      <c r="B943" s="38" t="str">
        <f>IF(MasterFees[[#This Row],[RVG Code]]="","",_xlfn.XLOOKUP(MasterFees[[#This Row],[RVG Code]],RVGCodes[Code],RVGCodes[Base Units],"Code not found"))</f>
        <v/>
      </c>
      <c r="C943" s="37" t="s">
        <v>935</v>
      </c>
      <c r="D943" s="44" t="s">
        <v>1108</v>
      </c>
      <c r="E943" s="44"/>
      <c r="F943" s="44" t="s">
        <v>1109</v>
      </c>
      <c r="G943" s="39">
        <v>5.7</v>
      </c>
      <c r="H943" s="39">
        <v>4.4000000000000004</v>
      </c>
      <c r="I943" s="39">
        <v>1.2</v>
      </c>
      <c r="J943" s="39">
        <v>11.4</v>
      </c>
      <c r="K943" s="40">
        <v>624.25</v>
      </c>
      <c r="L943" s="45" t="s">
        <v>1015</v>
      </c>
      <c r="M943" s="41" t="str">
        <f>IF(MasterFees[[#This Row],[GST Basis]]="Excl",MasterFees[[#This Row],[Fee as Printed]],IF(MasterFees[[#This Row],[GST Basis]]="Incl",MasterFees[[#This Row],[Fee as Printed]]/(1+GST_Rate),""))</f>
        <v/>
      </c>
      <c r="N943" s="41" t="str">
        <f>IF(MasterFees[[#This Row],[GST Basis]]="Incl",MasterFees[[#This Row],[Fee as Printed]],IF(MasterFees[[#This Row],[GST Basis]]="Excl",MasterFees[[#This Row],[Fee as Printed]]*(1+GST_Rate),""))</f>
        <v/>
      </c>
      <c r="O943" s="42">
        <f>IF(N(MasterFees[[#This Row],[Total Units]])=0,"",MasterFees[[#This Row],[Fee as Printed]]/MasterFees[[#This Row],[Total Units]])</f>
        <v>54.758771929824562</v>
      </c>
      <c r="P943" s="43"/>
      <c r="Q943" s="46" t="s">
        <v>1013</v>
      </c>
      <c r="R943" s="46" t="s">
        <v>2051</v>
      </c>
      <c r="S943" s="37"/>
    </row>
    <row r="944" spans="1:19" x14ac:dyDescent="0.2">
      <c r="A944" s="36"/>
      <c r="B944" s="38" t="str">
        <f>IF(MasterFees[[#This Row],[RVG Code]]="","",_xlfn.XLOOKUP(MasterFees[[#This Row],[RVG Code]],RVGCodes[Code],RVGCodes[Base Units],"Code not found"))</f>
        <v/>
      </c>
      <c r="C944" s="37" t="s">
        <v>936</v>
      </c>
      <c r="D944" s="44" t="s">
        <v>1108</v>
      </c>
      <c r="E944" s="44"/>
      <c r="F944" s="44" t="s">
        <v>1109</v>
      </c>
      <c r="G944" s="39">
        <v>6</v>
      </c>
      <c r="H944" s="39">
        <v>4.0999999999999996</v>
      </c>
      <c r="I944" s="39">
        <v>1.1000000000000001</v>
      </c>
      <c r="J944" s="39">
        <v>11.2</v>
      </c>
      <c r="K944" s="40">
        <v>613.79999999999995</v>
      </c>
      <c r="L944" s="45" t="s">
        <v>1015</v>
      </c>
      <c r="M944" s="41" t="str">
        <f>IF(MasterFees[[#This Row],[GST Basis]]="Excl",MasterFees[[#This Row],[Fee as Printed]],IF(MasterFees[[#This Row],[GST Basis]]="Incl",MasterFees[[#This Row],[Fee as Printed]]/(1+GST_Rate),""))</f>
        <v/>
      </c>
      <c r="N944" s="41" t="str">
        <f>IF(MasterFees[[#This Row],[GST Basis]]="Incl",MasterFees[[#This Row],[Fee as Printed]],IF(MasterFees[[#This Row],[GST Basis]]="Excl",MasterFees[[#This Row],[Fee as Printed]]*(1+GST_Rate),""))</f>
        <v/>
      </c>
      <c r="O944" s="42">
        <f>IF(N(MasterFees[[#This Row],[Total Units]])=0,"",MasterFees[[#This Row],[Fee as Printed]]/MasterFees[[#This Row],[Total Units]])</f>
        <v>54.803571428571431</v>
      </c>
      <c r="P944" s="43"/>
      <c r="Q944" s="46" t="s">
        <v>1013</v>
      </c>
      <c r="R944" s="46" t="s">
        <v>2052</v>
      </c>
      <c r="S944" s="37"/>
    </row>
    <row r="945" spans="1:19" x14ac:dyDescent="0.2">
      <c r="A945" s="36"/>
      <c r="B945" s="38" t="str">
        <f>IF(MasterFees[[#This Row],[RVG Code]]="","",_xlfn.XLOOKUP(MasterFees[[#This Row],[RVG Code]],RVGCodes[Code],RVGCodes[Base Units],"Code not found"))</f>
        <v/>
      </c>
      <c r="C945" s="37" t="s">
        <v>937</v>
      </c>
      <c r="D945" s="44" t="s">
        <v>1108</v>
      </c>
      <c r="E945" s="44"/>
      <c r="F945" s="44" t="s">
        <v>1109</v>
      </c>
      <c r="G945" s="39">
        <v>5</v>
      </c>
      <c r="H945" s="39">
        <v>2.8</v>
      </c>
      <c r="I945" s="39">
        <v>1.8</v>
      </c>
      <c r="J945" s="39">
        <v>9.6</v>
      </c>
      <c r="K945" s="40">
        <v>528</v>
      </c>
      <c r="L945" s="45" t="s">
        <v>1015</v>
      </c>
      <c r="M945" s="41" t="str">
        <f>IF(MasterFees[[#This Row],[GST Basis]]="Excl",MasterFees[[#This Row],[Fee as Printed]],IF(MasterFees[[#This Row],[GST Basis]]="Incl",MasterFees[[#This Row],[Fee as Printed]]/(1+GST_Rate),""))</f>
        <v/>
      </c>
      <c r="N945" s="41" t="str">
        <f>IF(MasterFees[[#This Row],[GST Basis]]="Incl",MasterFees[[#This Row],[Fee as Printed]],IF(MasterFees[[#This Row],[GST Basis]]="Excl",MasterFees[[#This Row],[Fee as Printed]]*(1+GST_Rate),""))</f>
        <v/>
      </c>
      <c r="O945" s="42">
        <f>IF(N(MasterFees[[#This Row],[Total Units]])=0,"",MasterFees[[#This Row],[Fee as Printed]]/MasterFees[[#This Row],[Total Units]])</f>
        <v>55</v>
      </c>
      <c r="P945" s="43"/>
      <c r="Q945" s="46" t="s">
        <v>1013</v>
      </c>
      <c r="R945" s="46" t="s">
        <v>2053</v>
      </c>
      <c r="S945" s="37"/>
    </row>
    <row r="946" spans="1:19" x14ac:dyDescent="0.2">
      <c r="A946" s="36"/>
      <c r="B946" s="38" t="str">
        <f>IF(MasterFees[[#This Row],[RVG Code]]="","",_xlfn.XLOOKUP(MasterFees[[#This Row],[RVG Code]],RVGCodes[Code],RVGCodes[Base Units],"Code not found"))</f>
        <v/>
      </c>
      <c r="C946" s="37" t="s">
        <v>938</v>
      </c>
      <c r="D946" s="44" t="s">
        <v>1108</v>
      </c>
      <c r="E946" s="44"/>
      <c r="F946" s="44" t="s">
        <v>1109</v>
      </c>
      <c r="G946" s="39">
        <v>5.0999999999999996</v>
      </c>
      <c r="H946" s="39">
        <v>3.4</v>
      </c>
      <c r="I946" s="39">
        <v>0.3</v>
      </c>
      <c r="J946" s="39">
        <v>8.8000000000000007</v>
      </c>
      <c r="K946" s="40">
        <v>482.9</v>
      </c>
      <c r="L946" s="45" t="s">
        <v>1015</v>
      </c>
      <c r="M946" s="41" t="str">
        <f>IF(MasterFees[[#This Row],[GST Basis]]="Excl",MasterFees[[#This Row],[Fee as Printed]],IF(MasterFees[[#This Row],[GST Basis]]="Incl",MasterFees[[#This Row],[Fee as Printed]]/(1+GST_Rate),""))</f>
        <v/>
      </c>
      <c r="N946" s="41" t="str">
        <f>IF(MasterFees[[#This Row],[GST Basis]]="Incl",MasterFees[[#This Row],[Fee as Printed]],IF(MasterFees[[#This Row],[GST Basis]]="Excl",MasterFees[[#This Row],[Fee as Printed]]*(1+GST_Rate),""))</f>
        <v/>
      </c>
      <c r="O946" s="42">
        <f>IF(N(MasterFees[[#This Row],[Total Units]])=0,"",MasterFees[[#This Row],[Fee as Printed]]/MasterFees[[#This Row],[Total Units]])</f>
        <v>54.874999999999993</v>
      </c>
      <c r="P946" s="43"/>
      <c r="Q946" s="46" t="s">
        <v>1013</v>
      </c>
      <c r="R946" s="46" t="s">
        <v>2054</v>
      </c>
      <c r="S946" s="37"/>
    </row>
    <row r="947" spans="1:19" x14ac:dyDescent="0.2">
      <c r="A947" s="36"/>
      <c r="B947" s="38" t="str">
        <f>IF(MasterFees[[#This Row],[RVG Code]]="","",_xlfn.XLOOKUP(MasterFees[[#This Row],[RVG Code]],RVGCodes[Code],RVGCodes[Base Units],"Code not found"))</f>
        <v/>
      </c>
      <c r="C947" s="37" t="s">
        <v>939</v>
      </c>
      <c r="D947" s="44" t="s">
        <v>1108</v>
      </c>
      <c r="E947" s="44"/>
      <c r="F947" s="44" t="s">
        <v>1109</v>
      </c>
      <c r="G947" s="39">
        <v>4.5</v>
      </c>
      <c r="H947" s="39">
        <v>2.9</v>
      </c>
      <c r="I947" s="39">
        <v>1.4</v>
      </c>
      <c r="J947" s="39">
        <v>8.8000000000000007</v>
      </c>
      <c r="K947" s="40">
        <v>485.65</v>
      </c>
      <c r="L947" s="45" t="s">
        <v>1015</v>
      </c>
      <c r="M947" s="41" t="str">
        <f>IF(MasterFees[[#This Row],[GST Basis]]="Excl",MasterFees[[#This Row],[Fee as Printed]],IF(MasterFees[[#This Row],[GST Basis]]="Incl",MasterFees[[#This Row],[Fee as Printed]]/(1+GST_Rate),""))</f>
        <v/>
      </c>
      <c r="N947" s="41" t="str">
        <f>IF(MasterFees[[#This Row],[GST Basis]]="Incl",MasterFees[[#This Row],[Fee as Printed]],IF(MasterFees[[#This Row],[GST Basis]]="Excl",MasterFees[[#This Row],[Fee as Printed]]*(1+GST_Rate),""))</f>
        <v/>
      </c>
      <c r="O947" s="42">
        <f>IF(N(MasterFees[[#This Row],[Total Units]])=0,"",MasterFees[[#This Row],[Fee as Printed]]/MasterFees[[#This Row],[Total Units]])</f>
        <v>55.187499999999993</v>
      </c>
      <c r="P947" s="43"/>
      <c r="Q947" s="46" t="s">
        <v>1013</v>
      </c>
      <c r="R947" s="46" t="s">
        <v>2055</v>
      </c>
      <c r="S947" s="37"/>
    </row>
    <row r="948" spans="1:19" x14ac:dyDescent="0.2">
      <c r="A948" s="36"/>
      <c r="B948" s="38" t="str">
        <f>IF(MasterFees[[#This Row],[RVG Code]]="","",_xlfn.XLOOKUP(MasterFees[[#This Row],[RVG Code]],RVGCodes[Code],RVGCodes[Base Units],"Code not found"))</f>
        <v/>
      </c>
      <c r="C948" s="37" t="s">
        <v>940</v>
      </c>
      <c r="D948" s="44" t="s">
        <v>1108</v>
      </c>
      <c r="E948" s="44"/>
      <c r="F948" s="44" t="s">
        <v>1109</v>
      </c>
      <c r="G948" s="39">
        <v>4.7</v>
      </c>
      <c r="H948" s="39">
        <v>3</v>
      </c>
      <c r="I948" s="39">
        <v>2.2999999999999998</v>
      </c>
      <c r="J948" s="39">
        <v>10</v>
      </c>
      <c r="K948" s="40">
        <v>549.45000000000005</v>
      </c>
      <c r="L948" s="45" t="s">
        <v>1015</v>
      </c>
      <c r="M948" s="41" t="str">
        <f>IF(MasterFees[[#This Row],[GST Basis]]="Excl",MasterFees[[#This Row],[Fee as Printed]],IF(MasterFees[[#This Row],[GST Basis]]="Incl",MasterFees[[#This Row],[Fee as Printed]]/(1+GST_Rate),""))</f>
        <v/>
      </c>
      <c r="N948" s="41" t="str">
        <f>IF(MasterFees[[#This Row],[GST Basis]]="Incl",MasterFees[[#This Row],[Fee as Printed]],IF(MasterFees[[#This Row],[GST Basis]]="Excl",MasterFees[[#This Row],[Fee as Printed]]*(1+GST_Rate),""))</f>
        <v/>
      </c>
      <c r="O948" s="42">
        <f>IF(N(MasterFees[[#This Row],[Total Units]])=0,"",MasterFees[[#This Row],[Fee as Printed]]/MasterFees[[#This Row],[Total Units]])</f>
        <v>54.945000000000007</v>
      </c>
      <c r="P948" s="43"/>
      <c r="Q948" s="46" t="s">
        <v>1013</v>
      </c>
      <c r="R948" s="46" t="s">
        <v>2056</v>
      </c>
      <c r="S948" s="37"/>
    </row>
    <row r="949" spans="1:19" x14ac:dyDescent="0.2">
      <c r="A949" s="36"/>
      <c r="B949" s="38" t="str">
        <f>IF(MasterFees[[#This Row],[RVG Code]]="","",_xlfn.XLOOKUP(MasterFees[[#This Row],[RVG Code]],RVGCodes[Code],RVGCodes[Base Units],"Code not found"))</f>
        <v/>
      </c>
      <c r="C949" s="37" t="s">
        <v>941</v>
      </c>
      <c r="D949" s="44" t="s">
        <v>1108</v>
      </c>
      <c r="E949" s="44"/>
      <c r="F949" s="44" t="s">
        <v>1109</v>
      </c>
      <c r="G949" s="39">
        <v>5.9</v>
      </c>
      <c r="H949" s="39">
        <v>4</v>
      </c>
      <c r="I949" s="39">
        <v>1.2</v>
      </c>
      <c r="J949" s="39">
        <v>11.1</v>
      </c>
      <c r="K949" s="40">
        <v>609.4</v>
      </c>
      <c r="L949" s="45" t="s">
        <v>1015</v>
      </c>
      <c r="M949" s="41" t="str">
        <f>IF(MasterFees[[#This Row],[GST Basis]]="Excl",MasterFees[[#This Row],[Fee as Printed]],IF(MasterFees[[#This Row],[GST Basis]]="Incl",MasterFees[[#This Row],[Fee as Printed]]/(1+GST_Rate),""))</f>
        <v/>
      </c>
      <c r="N949" s="41" t="str">
        <f>IF(MasterFees[[#This Row],[GST Basis]]="Incl",MasterFees[[#This Row],[Fee as Printed]],IF(MasterFees[[#This Row],[GST Basis]]="Excl",MasterFees[[#This Row],[Fee as Printed]]*(1+GST_Rate),""))</f>
        <v/>
      </c>
      <c r="O949" s="42">
        <f>IF(N(MasterFees[[#This Row],[Total Units]])=0,"",MasterFees[[#This Row],[Fee as Printed]]/MasterFees[[#This Row],[Total Units]])</f>
        <v>54.900900900900901</v>
      </c>
      <c r="P949" s="43"/>
      <c r="Q949" s="46" t="s">
        <v>1013</v>
      </c>
      <c r="R949" s="46" t="s">
        <v>2057</v>
      </c>
      <c r="S949" s="37"/>
    </row>
    <row r="950" spans="1:19" x14ac:dyDescent="0.2">
      <c r="A950" s="36"/>
      <c r="B950" s="38" t="str">
        <f>IF(MasterFees[[#This Row],[RVG Code]]="","",_xlfn.XLOOKUP(MasterFees[[#This Row],[RVG Code]],RVGCodes[Code],RVGCodes[Base Units],"Code not found"))</f>
        <v/>
      </c>
      <c r="C950" s="37" t="s">
        <v>942</v>
      </c>
      <c r="D950" s="44" t="s">
        <v>1108</v>
      </c>
      <c r="E950" s="44"/>
      <c r="F950" s="44" t="s">
        <v>1109</v>
      </c>
      <c r="G950" s="39">
        <v>4.8</v>
      </c>
      <c r="H950" s="39">
        <v>4.5999999999999996</v>
      </c>
      <c r="I950" s="39">
        <v>0.2</v>
      </c>
      <c r="J950" s="39">
        <v>9.6</v>
      </c>
      <c r="K950" s="40">
        <v>529.65</v>
      </c>
      <c r="L950" s="45" t="s">
        <v>1015</v>
      </c>
      <c r="M950" s="41" t="str">
        <f>IF(MasterFees[[#This Row],[GST Basis]]="Excl",MasterFees[[#This Row],[Fee as Printed]],IF(MasterFees[[#This Row],[GST Basis]]="Incl",MasterFees[[#This Row],[Fee as Printed]]/(1+GST_Rate),""))</f>
        <v/>
      </c>
      <c r="N950" s="41" t="str">
        <f>IF(MasterFees[[#This Row],[GST Basis]]="Incl",MasterFees[[#This Row],[Fee as Printed]],IF(MasterFees[[#This Row],[GST Basis]]="Excl",MasterFees[[#This Row],[Fee as Printed]]*(1+GST_Rate),""))</f>
        <v/>
      </c>
      <c r="O950" s="42">
        <f>IF(N(MasterFees[[#This Row],[Total Units]])=0,"",MasterFees[[#This Row],[Fee as Printed]]/MasterFees[[#This Row],[Total Units]])</f>
        <v>55.171875</v>
      </c>
      <c r="P950" s="43"/>
      <c r="Q950" s="46" t="s">
        <v>1013</v>
      </c>
      <c r="R950" s="46" t="s">
        <v>2058</v>
      </c>
      <c r="S950" s="37"/>
    </row>
    <row r="951" spans="1:19" x14ac:dyDescent="0.2">
      <c r="A951" s="36"/>
      <c r="B951" s="38" t="str">
        <f>IF(MasterFees[[#This Row],[RVG Code]]="","",_xlfn.XLOOKUP(MasterFees[[#This Row],[RVG Code]],RVGCodes[Code],RVGCodes[Base Units],"Code not found"))</f>
        <v/>
      </c>
      <c r="C951" s="37" t="s">
        <v>943</v>
      </c>
      <c r="D951" s="44" t="s">
        <v>1108</v>
      </c>
      <c r="E951" s="44"/>
      <c r="F951" s="44" t="s">
        <v>1109</v>
      </c>
      <c r="G951" s="39">
        <v>4.7</v>
      </c>
      <c r="H951" s="39">
        <v>3.9</v>
      </c>
      <c r="I951" s="39">
        <v>0.7</v>
      </c>
      <c r="J951" s="39">
        <v>9.3000000000000007</v>
      </c>
      <c r="K951" s="40">
        <v>508.75</v>
      </c>
      <c r="L951" s="45" t="s">
        <v>1015</v>
      </c>
      <c r="M951" s="41" t="str">
        <f>IF(MasterFees[[#This Row],[GST Basis]]="Excl",MasterFees[[#This Row],[Fee as Printed]],IF(MasterFees[[#This Row],[GST Basis]]="Incl",MasterFees[[#This Row],[Fee as Printed]]/(1+GST_Rate),""))</f>
        <v/>
      </c>
      <c r="N951" s="41" t="str">
        <f>IF(MasterFees[[#This Row],[GST Basis]]="Incl",MasterFees[[#This Row],[Fee as Printed]],IF(MasterFees[[#This Row],[GST Basis]]="Excl",MasterFees[[#This Row],[Fee as Printed]]*(1+GST_Rate),""))</f>
        <v/>
      </c>
      <c r="O951" s="42">
        <f>IF(N(MasterFees[[#This Row],[Total Units]])=0,"",MasterFees[[#This Row],[Fee as Printed]]/MasterFees[[#This Row],[Total Units]])</f>
        <v>54.704301075268816</v>
      </c>
      <c r="P951" s="43"/>
      <c r="Q951" s="46" t="s">
        <v>1013</v>
      </c>
      <c r="R951" s="46" t="s">
        <v>2059</v>
      </c>
      <c r="S951" s="37"/>
    </row>
    <row r="952" spans="1:19" x14ac:dyDescent="0.2">
      <c r="A952" s="36"/>
      <c r="B952" s="38" t="str">
        <f>IF(MasterFees[[#This Row],[RVG Code]]="","",_xlfn.XLOOKUP(MasterFees[[#This Row],[RVG Code]],RVGCodes[Code],RVGCodes[Base Units],"Code not found"))</f>
        <v/>
      </c>
      <c r="C952" s="37" t="s">
        <v>944</v>
      </c>
      <c r="D952" s="44" t="s">
        <v>1108</v>
      </c>
      <c r="E952" s="44"/>
      <c r="F952" s="44" t="s">
        <v>1109</v>
      </c>
      <c r="G952" s="39">
        <v>0</v>
      </c>
      <c r="H952" s="39">
        <v>0</v>
      </c>
      <c r="I952" s="39">
        <v>0</v>
      </c>
      <c r="J952" s="39">
        <v>0</v>
      </c>
      <c r="K952" s="40">
        <v>0</v>
      </c>
      <c r="L952" s="45" t="s">
        <v>1015</v>
      </c>
      <c r="M952" s="41" t="str">
        <f>IF(MasterFees[[#This Row],[GST Basis]]="Excl",MasterFees[[#This Row],[Fee as Printed]],IF(MasterFees[[#This Row],[GST Basis]]="Incl",MasterFees[[#This Row],[Fee as Printed]]/(1+GST_Rate),""))</f>
        <v/>
      </c>
      <c r="N952" s="41" t="str">
        <f>IF(MasterFees[[#This Row],[GST Basis]]="Incl",MasterFees[[#This Row],[Fee as Printed]],IF(MasterFees[[#This Row],[GST Basis]]="Excl",MasterFees[[#This Row],[Fee as Printed]]*(1+GST_Rate),""))</f>
        <v/>
      </c>
      <c r="O952" s="42" t="str">
        <f>IF(N(MasterFees[[#This Row],[Total Units]])=0,"",MasterFees[[#This Row],[Fee as Printed]]/MasterFees[[#This Row],[Total Units]])</f>
        <v/>
      </c>
      <c r="P952" s="43"/>
      <c r="Q952" s="46" t="s">
        <v>1013</v>
      </c>
      <c r="R952" s="46" t="s">
        <v>2060</v>
      </c>
      <c r="S952" s="37"/>
    </row>
    <row r="953" spans="1:19" x14ac:dyDescent="0.2">
      <c r="A953" s="36"/>
      <c r="B953" s="38" t="str">
        <f>IF(MasterFees[[#This Row],[RVG Code]]="","",_xlfn.XLOOKUP(MasterFees[[#This Row],[RVG Code]],RVGCodes[Code],RVGCodes[Base Units],"Code not found"))</f>
        <v/>
      </c>
      <c r="C953" s="37" t="s">
        <v>945</v>
      </c>
      <c r="D953" s="44" t="s">
        <v>1108</v>
      </c>
      <c r="E953" s="44"/>
      <c r="F953" s="44" t="s">
        <v>1109</v>
      </c>
      <c r="G953" s="39">
        <v>5.6</v>
      </c>
      <c r="H953" s="39">
        <v>6.3</v>
      </c>
      <c r="I953" s="39">
        <v>0.5</v>
      </c>
      <c r="J953" s="39">
        <v>12.3</v>
      </c>
      <c r="K953" s="40">
        <v>678.7</v>
      </c>
      <c r="L953" s="45" t="s">
        <v>1015</v>
      </c>
      <c r="M953" s="41" t="str">
        <f>IF(MasterFees[[#This Row],[GST Basis]]="Excl",MasterFees[[#This Row],[Fee as Printed]],IF(MasterFees[[#This Row],[GST Basis]]="Incl",MasterFees[[#This Row],[Fee as Printed]]/(1+GST_Rate),""))</f>
        <v/>
      </c>
      <c r="N953" s="41" t="str">
        <f>IF(MasterFees[[#This Row],[GST Basis]]="Incl",MasterFees[[#This Row],[Fee as Printed]],IF(MasterFees[[#This Row],[GST Basis]]="Excl",MasterFees[[#This Row],[Fee as Printed]]*(1+GST_Rate),""))</f>
        <v/>
      </c>
      <c r="O953" s="42">
        <f>IF(N(MasterFees[[#This Row],[Total Units]])=0,"",MasterFees[[#This Row],[Fee as Printed]]/MasterFees[[#This Row],[Total Units]])</f>
        <v>55.178861788617887</v>
      </c>
      <c r="P953" s="43"/>
      <c r="Q953" s="46" t="s">
        <v>1013</v>
      </c>
      <c r="R953" s="46" t="s">
        <v>2061</v>
      </c>
      <c r="S953" s="37"/>
    </row>
    <row r="954" spans="1:19" x14ac:dyDescent="0.2">
      <c r="A954" s="36"/>
      <c r="B954" s="38" t="str">
        <f>IF(MasterFees[[#This Row],[RVG Code]]="","",_xlfn.XLOOKUP(MasterFees[[#This Row],[RVG Code]],RVGCodes[Code],RVGCodes[Base Units],"Code not found"))</f>
        <v/>
      </c>
      <c r="C954" s="37" t="s">
        <v>946</v>
      </c>
      <c r="D954" s="44" t="s">
        <v>1108</v>
      </c>
      <c r="E954" s="44"/>
      <c r="F954" s="44" t="s">
        <v>1109</v>
      </c>
      <c r="G954" s="39">
        <v>3</v>
      </c>
      <c r="H954" s="39">
        <v>4.5999999999999996</v>
      </c>
      <c r="I954" s="39">
        <v>0.4</v>
      </c>
      <c r="J954" s="39">
        <v>8</v>
      </c>
      <c r="K954" s="40">
        <v>442.2</v>
      </c>
      <c r="L954" s="45" t="s">
        <v>1015</v>
      </c>
      <c r="M954" s="41" t="str">
        <f>IF(MasterFees[[#This Row],[GST Basis]]="Excl",MasterFees[[#This Row],[Fee as Printed]],IF(MasterFees[[#This Row],[GST Basis]]="Incl",MasterFees[[#This Row],[Fee as Printed]]/(1+GST_Rate),""))</f>
        <v/>
      </c>
      <c r="N954" s="41" t="str">
        <f>IF(MasterFees[[#This Row],[GST Basis]]="Incl",MasterFees[[#This Row],[Fee as Printed]],IF(MasterFees[[#This Row],[GST Basis]]="Excl",MasterFees[[#This Row],[Fee as Printed]]*(1+GST_Rate),""))</f>
        <v/>
      </c>
      <c r="O954" s="42">
        <f>IF(N(MasterFees[[#This Row],[Total Units]])=0,"",MasterFees[[#This Row],[Fee as Printed]]/MasterFees[[#This Row],[Total Units]])</f>
        <v>55.274999999999999</v>
      </c>
      <c r="P954" s="43"/>
      <c r="Q954" s="46" t="s">
        <v>1013</v>
      </c>
      <c r="R954" s="46" t="s">
        <v>2062</v>
      </c>
      <c r="S954" s="37"/>
    </row>
    <row r="955" spans="1:19" x14ac:dyDescent="0.2">
      <c r="A955" s="36"/>
      <c r="B955" s="38" t="str">
        <f>IF(MasterFees[[#This Row],[RVG Code]]="","",_xlfn.XLOOKUP(MasterFees[[#This Row],[RVG Code]],RVGCodes[Code],RVGCodes[Base Units],"Code not found"))</f>
        <v/>
      </c>
      <c r="C955" s="37" t="s">
        <v>947</v>
      </c>
      <c r="D955" s="44" t="s">
        <v>1108</v>
      </c>
      <c r="E955" s="44"/>
      <c r="F955" s="44" t="s">
        <v>1109</v>
      </c>
      <c r="G955" s="39">
        <v>5</v>
      </c>
      <c r="H955" s="39">
        <v>3</v>
      </c>
      <c r="I955" s="39">
        <v>0</v>
      </c>
      <c r="J955" s="39">
        <v>8</v>
      </c>
      <c r="K955" s="40">
        <v>440</v>
      </c>
      <c r="L955" s="45" t="s">
        <v>1015</v>
      </c>
      <c r="M955" s="41" t="str">
        <f>IF(MasterFees[[#This Row],[GST Basis]]="Excl",MasterFees[[#This Row],[Fee as Printed]],IF(MasterFees[[#This Row],[GST Basis]]="Incl",MasterFees[[#This Row],[Fee as Printed]]/(1+GST_Rate),""))</f>
        <v/>
      </c>
      <c r="N955" s="41" t="str">
        <f>IF(MasterFees[[#This Row],[GST Basis]]="Incl",MasterFees[[#This Row],[Fee as Printed]],IF(MasterFees[[#This Row],[GST Basis]]="Excl",MasterFees[[#This Row],[Fee as Printed]]*(1+GST_Rate),""))</f>
        <v/>
      </c>
      <c r="O955" s="42">
        <f>IF(N(MasterFees[[#This Row],[Total Units]])=0,"",MasterFees[[#This Row],[Fee as Printed]]/MasterFees[[#This Row],[Total Units]])</f>
        <v>55</v>
      </c>
      <c r="P955" s="43"/>
      <c r="Q955" s="46" t="s">
        <v>1013</v>
      </c>
      <c r="R955" s="46" t="s">
        <v>2063</v>
      </c>
      <c r="S955" s="37"/>
    </row>
    <row r="956" spans="1:19" x14ac:dyDescent="0.2">
      <c r="A956" s="36"/>
      <c r="B956" s="38" t="str">
        <f>IF(MasterFees[[#This Row],[RVG Code]]="","",_xlfn.XLOOKUP(MasterFees[[#This Row],[RVG Code]],RVGCodes[Code],RVGCodes[Base Units],"Code not found"))</f>
        <v/>
      </c>
      <c r="C956" s="37" t="s">
        <v>948</v>
      </c>
      <c r="D956" s="44" t="s">
        <v>1108</v>
      </c>
      <c r="E956" s="44"/>
      <c r="F956" s="44" t="s">
        <v>1109</v>
      </c>
      <c r="G956" s="39">
        <v>4.5999999999999996</v>
      </c>
      <c r="H956" s="39">
        <v>3.6</v>
      </c>
      <c r="I956" s="39">
        <v>0.6</v>
      </c>
      <c r="J956" s="39">
        <v>8.8000000000000007</v>
      </c>
      <c r="K956" s="40">
        <v>481.25</v>
      </c>
      <c r="L956" s="45" t="s">
        <v>1015</v>
      </c>
      <c r="M956" s="41" t="str">
        <f>IF(MasterFees[[#This Row],[GST Basis]]="Excl",MasterFees[[#This Row],[Fee as Printed]],IF(MasterFees[[#This Row],[GST Basis]]="Incl",MasterFees[[#This Row],[Fee as Printed]]/(1+GST_Rate),""))</f>
        <v/>
      </c>
      <c r="N956" s="41" t="str">
        <f>IF(MasterFees[[#This Row],[GST Basis]]="Incl",MasterFees[[#This Row],[Fee as Printed]],IF(MasterFees[[#This Row],[GST Basis]]="Excl",MasterFees[[#This Row],[Fee as Printed]]*(1+GST_Rate),""))</f>
        <v/>
      </c>
      <c r="O956" s="42">
        <f>IF(N(MasterFees[[#This Row],[Total Units]])=0,"",MasterFees[[#This Row],[Fee as Printed]]/MasterFees[[#This Row],[Total Units]])</f>
        <v>54.687499999999993</v>
      </c>
      <c r="P956" s="43"/>
      <c r="Q956" s="46" t="s">
        <v>1013</v>
      </c>
      <c r="R956" s="46" t="s">
        <v>2064</v>
      </c>
      <c r="S956" s="37"/>
    </row>
    <row r="957" spans="1:19" x14ac:dyDescent="0.2">
      <c r="A957" s="36"/>
      <c r="B957" s="38" t="str">
        <f>IF(MasterFees[[#This Row],[RVG Code]]="","",_xlfn.XLOOKUP(MasterFees[[#This Row],[RVG Code]],RVGCodes[Code],RVGCodes[Base Units],"Code not found"))</f>
        <v/>
      </c>
      <c r="C957" s="37" t="s">
        <v>949</v>
      </c>
      <c r="D957" s="44" t="s">
        <v>1108</v>
      </c>
      <c r="E957" s="44"/>
      <c r="F957" s="44" t="s">
        <v>1109</v>
      </c>
      <c r="G957" s="39">
        <v>5</v>
      </c>
      <c r="H957" s="39">
        <v>3.5</v>
      </c>
      <c r="I957" s="39">
        <v>0</v>
      </c>
      <c r="J957" s="39">
        <v>8.5</v>
      </c>
      <c r="K957" s="40">
        <v>467.5</v>
      </c>
      <c r="L957" s="45" t="s">
        <v>1015</v>
      </c>
      <c r="M957" s="41" t="str">
        <f>IF(MasterFees[[#This Row],[GST Basis]]="Excl",MasterFees[[#This Row],[Fee as Printed]],IF(MasterFees[[#This Row],[GST Basis]]="Incl",MasterFees[[#This Row],[Fee as Printed]]/(1+GST_Rate),""))</f>
        <v/>
      </c>
      <c r="N957" s="41" t="str">
        <f>IF(MasterFees[[#This Row],[GST Basis]]="Incl",MasterFees[[#This Row],[Fee as Printed]],IF(MasterFees[[#This Row],[GST Basis]]="Excl",MasterFees[[#This Row],[Fee as Printed]]*(1+GST_Rate),""))</f>
        <v/>
      </c>
      <c r="O957" s="42">
        <f>IF(N(MasterFees[[#This Row],[Total Units]])=0,"",MasterFees[[#This Row],[Fee as Printed]]/MasterFees[[#This Row],[Total Units]])</f>
        <v>55</v>
      </c>
      <c r="P957" s="43"/>
      <c r="Q957" s="46" t="s">
        <v>1013</v>
      </c>
      <c r="R957" s="46" t="s">
        <v>2065</v>
      </c>
      <c r="S957" s="37"/>
    </row>
    <row r="958" spans="1:19" x14ac:dyDescent="0.2">
      <c r="A958" s="36"/>
      <c r="B958" s="38" t="str">
        <f>IF(MasterFees[[#This Row],[RVG Code]]="","",_xlfn.XLOOKUP(MasterFees[[#This Row],[RVG Code]],RVGCodes[Code],RVGCodes[Base Units],"Code not found"))</f>
        <v/>
      </c>
      <c r="C958" s="37" t="s">
        <v>950</v>
      </c>
      <c r="D958" s="44" t="s">
        <v>1108</v>
      </c>
      <c r="E958" s="44"/>
      <c r="F958" s="44" t="s">
        <v>1109</v>
      </c>
      <c r="G958" s="39">
        <v>4</v>
      </c>
      <c r="H958" s="39">
        <v>4.3</v>
      </c>
      <c r="I958" s="39">
        <v>0.5</v>
      </c>
      <c r="J958" s="39">
        <v>8.8000000000000007</v>
      </c>
      <c r="K958" s="40">
        <v>481.25</v>
      </c>
      <c r="L958" s="45" t="s">
        <v>1015</v>
      </c>
      <c r="M958" s="41" t="str">
        <f>IF(MasterFees[[#This Row],[GST Basis]]="Excl",MasterFees[[#This Row],[Fee as Printed]],IF(MasterFees[[#This Row],[GST Basis]]="Incl",MasterFees[[#This Row],[Fee as Printed]]/(1+GST_Rate),""))</f>
        <v/>
      </c>
      <c r="N958" s="41" t="str">
        <f>IF(MasterFees[[#This Row],[GST Basis]]="Incl",MasterFees[[#This Row],[Fee as Printed]],IF(MasterFees[[#This Row],[GST Basis]]="Excl",MasterFees[[#This Row],[Fee as Printed]]*(1+GST_Rate),""))</f>
        <v/>
      </c>
      <c r="O958" s="42">
        <f>IF(N(MasterFees[[#This Row],[Total Units]])=0,"",MasterFees[[#This Row],[Fee as Printed]]/MasterFees[[#This Row],[Total Units]])</f>
        <v>54.687499999999993</v>
      </c>
      <c r="P958" s="43"/>
      <c r="Q958" s="46" t="s">
        <v>1013</v>
      </c>
      <c r="R958" s="46" t="s">
        <v>2066</v>
      </c>
      <c r="S958" s="37"/>
    </row>
    <row r="959" spans="1:19" x14ac:dyDescent="0.2">
      <c r="A959" s="36"/>
      <c r="B959" s="38" t="str">
        <f>IF(MasterFees[[#This Row],[RVG Code]]="","",_xlfn.XLOOKUP(MasterFees[[#This Row],[RVG Code]],RVGCodes[Code],RVGCodes[Base Units],"Code not found"))</f>
        <v/>
      </c>
      <c r="C959" s="37" t="s">
        <v>951</v>
      </c>
      <c r="D959" s="44" t="s">
        <v>1108</v>
      </c>
      <c r="E959" s="44"/>
      <c r="F959" s="44" t="s">
        <v>1109</v>
      </c>
      <c r="G959" s="39">
        <v>0</v>
      </c>
      <c r="H959" s="39">
        <v>0</v>
      </c>
      <c r="I959" s="39">
        <v>0</v>
      </c>
      <c r="J959" s="39">
        <v>0</v>
      </c>
      <c r="K959" s="40">
        <v>0</v>
      </c>
      <c r="L959" s="45" t="s">
        <v>1015</v>
      </c>
      <c r="M959" s="41" t="str">
        <f>IF(MasterFees[[#This Row],[GST Basis]]="Excl",MasterFees[[#This Row],[Fee as Printed]],IF(MasterFees[[#This Row],[GST Basis]]="Incl",MasterFees[[#This Row],[Fee as Printed]]/(1+GST_Rate),""))</f>
        <v/>
      </c>
      <c r="N959" s="41" t="str">
        <f>IF(MasterFees[[#This Row],[GST Basis]]="Incl",MasterFees[[#This Row],[Fee as Printed]],IF(MasterFees[[#This Row],[GST Basis]]="Excl",MasterFees[[#This Row],[Fee as Printed]]*(1+GST_Rate),""))</f>
        <v/>
      </c>
      <c r="O959" s="42" t="str">
        <f>IF(N(MasterFees[[#This Row],[Total Units]])=0,"",MasterFees[[#This Row],[Fee as Printed]]/MasterFees[[#This Row],[Total Units]])</f>
        <v/>
      </c>
      <c r="P959" s="43"/>
      <c r="Q959" s="46" t="s">
        <v>1013</v>
      </c>
      <c r="R959" s="46" t="s">
        <v>2067</v>
      </c>
      <c r="S959" s="37"/>
    </row>
    <row r="960" spans="1:19" x14ac:dyDescent="0.2">
      <c r="A960" s="36"/>
      <c r="B960" s="38" t="str">
        <f>IF(MasterFees[[#This Row],[RVG Code]]="","",_xlfn.XLOOKUP(MasterFees[[#This Row],[RVG Code]],RVGCodes[Code],RVGCodes[Base Units],"Code not found"))</f>
        <v/>
      </c>
      <c r="C960" s="37" t="s">
        <v>952</v>
      </c>
      <c r="D960" s="44" t="s">
        <v>1108</v>
      </c>
      <c r="E960" s="44"/>
      <c r="F960" s="44" t="s">
        <v>1109</v>
      </c>
      <c r="G960" s="39">
        <v>9</v>
      </c>
      <c r="H960" s="39">
        <v>9</v>
      </c>
      <c r="I960" s="39">
        <v>1</v>
      </c>
      <c r="J960" s="39">
        <v>19</v>
      </c>
      <c r="K960" s="40">
        <v>1045</v>
      </c>
      <c r="L960" s="45" t="s">
        <v>1015</v>
      </c>
      <c r="M960" s="41" t="str">
        <f>IF(MasterFees[[#This Row],[GST Basis]]="Excl",MasterFees[[#This Row],[Fee as Printed]],IF(MasterFees[[#This Row],[GST Basis]]="Incl",MasterFees[[#This Row],[Fee as Printed]]/(1+GST_Rate),""))</f>
        <v/>
      </c>
      <c r="N960" s="41" t="str">
        <f>IF(MasterFees[[#This Row],[GST Basis]]="Incl",MasterFees[[#This Row],[Fee as Printed]],IF(MasterFees[[#This Row],[GST Basis]]="Excl",MasterFees[[#This Row],[Fee as Printed]]*(1+GST_Rate),""))</f>
        <v/>
      </c>
      <c r="O960" s="42">
        <f>IF(N(MasterFees[[#This Row],[Total Units]])=0,"",MasterFees[[#This Row],[Fee as Printed]]/MasterFees[[#This Row],[Total Units]])</f>
        <v>55</v>
      </c>
      <c r="P960" s="43"/>
      <c r="Q960" s="46" t="s">
        <v>1013</v>
      </c>
      <c r="R960" s="46" t="s">
        <v>2068</v>
      </c>
      <c r="S960" s="37"/>
    </row>
    <row r="961" spans="1:19" x14ac:dyDescent="0.2">
      <c r="A961" s="36"/>
      <c r="B961" s="38" t="str">
        <f>IF(MasterFees[[#This Row],[RVG Code]]="","",_xlfn.XLOOKUP(MasterFees[[#This Row],[RVG Code]],RVGCodes[Code],RVGCodes[Base Units],"Code not found"))</f>
        <v/>
      </c>
      <c r="C961" s="37" t="s">
        <v>953</v>
      </c>
      <c r="D961" s="44" t="s">
        <v>1108</v>
      </c>
      <c r="E961" s="44"/>
      <c r="F961" s="44" t="s">
        <v>1109</v>
      </c>
      <c r="G961" s="39">
        <v>4.8</v>
      </c>
      <c r="H961" s="39">
        <v>4.4000000000000004</v>
      </c>
      <c r="I961" s="39">
        <v>0.9</v>
      </c>
      <c r="J961" s="39">
        <v>10</v>
      </c>
      <c r="K961" s="40">
        <v>552.20000000000005</v>
      </c>
      <c r="L961" s="45" t="s">
        <v>1015</v>
      </c>
      <c r="M961" s="41" t="str">
        <f>IF(MasterFees[[#This Row],[GST Basis]]="Excl",MasterFees[[#This Row],[Fee as Printed]],IF(MasterFees[[#This Row],[GST Basis]]="Incl",MasterFees[[#This Row],[Fee as Printed]]/(1+GST_Rate),""))</f>
        <v/>
      </c>
      <c r="N961" s="41" t="str">
        <f>IF(MasterFees[[#This Row],[GST Basis]]="Incl",MasterFees[[#This Row],[Fee as Printed]],IF(MasterFees[[#This Row],[GST Basis]]="Excl",MasterFees[[#This Row],[Fee as Printed]]*(1+GST_Rate),""))</f>
        <v/>
      </c>
      <c r="O961" s="42">
        <f>IF(N(MasterFees[[#This Row],[Total Units]])=0,"",MasterFees[[#This Row],[Fee as Printed]]/MasterFees[[#This Row],[Total Units]])</f>
        <v>55.220000000000006</v>
      </c>
      <c r="P961" s="43"/>
      <c r="Q961" s="46" t="s">
        <v>1013</v>
      </c>
      <c r="R961" s="46" t="s">
        <v>2069</v>
      </c>
      <c r="S961" s="37"/>
    </row>
    <row r="962" spans="1:19" x14ac:dyDescent="0.2">
      <c r="A962" s="36"/>
      <c r="B962" s="38" t="str">
        <f>IF(MasterFees[[#This Row],[RVG Code]]="","",_xlfn.XLOOKUP(MasterFees[[#This Row],[RVG Code]],RVGCodes[Code],RVGCodes[Base Units],"Code not found"))</f>
        <v/>
      </c>
      <c r="C962" s="37" t="s">
        <v>954</v>
      </c>
      <c r="D962" s="44" t="s">
        <v>1108</v>
      </c>
      <c r="E962" s="44"/>
      <c r="F962" s="44" t="s">
        <v>1109</v>
      </c>
      <c r="G962" s="39">
        <v>4.7</v>
      </c>
      <c r="H962" s="39">
        <v>4.2</v>
      </c>
      <c r="I962" s="39">
        <v>0.7</v>
      </c>
      <c r="J962" s="39">
        <v>9.6</v>
      </c>
      <c r="K962" s="40">
        <v>525.25</v>
      </c>
      <c r="L962" s="45" t="s">
        <v>1015</v>
      </c>
      <c r="M962" s="41" t="str">
        <f>IF(MasterFees[[#This Row],[GST Basis]]="Excl",MasterFees[[#This Row],[Fee as Printed]],IF(MasterFees[[#This Row],[GST Basis]]="Incl",MasterFees[[#This Row],[Fee as Printed]]/(1+GST_Rate),""))</f>
        <v/>
      </c>
      <c r="N962" s="41" t="str">
        <f>IF(MasterFees[[#This Row],[GST Basis]]="Incl",MasterFees[[#This Row],[Fee as Printed]],IF(MasterFees[[#This Row],[GST Basis]]="Excl",MasterFees[[#This Row],[Fee as Printed]]*(1+GST_Rate),""))</f>
        <v/>
      </c>
      <c r="O962" s="42">
        <f>IF(N(MasterFees[[#This Row],[Total Units]])=0,"",MasterFees[[#This Row],[Fee as Printed]]/MasterFees[[#This Row],[Total Units]])</f>
        <v>54.713541666666671</v>
      </c>
      <c r="P962" s="43"/>
      <c r="Q962" s="46" t="s">
        <v>1013</v>
      </c>
      <c r="R962" s="46" t="s">
        <v>2070</v>
      </c>
      <c r="S962" s="37"/>
    </row>
    <row r="963" spans="1:19" x14ac:dyDescent="0.2">
      <c r="A963" s="36"/>
      <c r="B963" s="38" t="str">
        <f>IF(MasterFees[[#This Row],[RVG Code]]="","",_xlfn.XLOOKUP(MasterFees[[#This Row],[RVG Code]],RVGCodes[Code],RVGCodes[Base Units],"Code not found"))</f>
        <v/>
      </c>
      <c r="C963" s="37" t="s">
        <v>955</v>
      </c>
      <c r="D963" s="44" t="s">
        <v>1108</v>
      </c>
      <c r="E963" s="44"/>
      <c r="F963" s="44" t="s">
        <v>1109</v>
      </c>
      <c r="G963" s="39">
        <v>5.3</v>
      </c>
      <c r="H963" s="39">
        <v>6.7</v>
      </c>
      <c r="I963" s="39">
        <v>0.9</v>
      </c>
      <c r="J963" s="39">
        <v>13</v>
      </c>
      <c r="K963" s="40">
        <v>713.9</v>
      </c>
      <c r="L963" s="45" t="s">
        <v>1015</v>
      </c>
      <c r="M963" s="41" t="str">
        <f>IF(MasterFees[[#This Row],[GST Basis]]="Excl",MasterFees[[#This Row],[Fee as Printed]],IF(MasterFees[[#This Row],[GST Basis]]="Incl",MasterFees[[#This Row],[Fee as Printed]]/(1+GST_Rate),""))</f>
        <v/>
      </c>
      <c r="N963" s="41" t="str">
        <f>IF(MasterFees[[#This Row],[GST Basis]]="Incl",MasterFees[[#This Row],[Fee as Printed]],IF(MasterFees[[#This Row],[GST Basis]]="Excl",MasterFees[[#This Row],[Fee as Printed]]*(1+GST_Rate),""))</f>
        <v/>
      </c>
      <c r="O963" s="42">
        <f>IF(N(MasterFees[[#This Row],[Total Units]])=0,"",MasterFees[[#This Row],[Fee as Printed]]/MasterFees[[#This Row],[Total Units]])</f>
        <v>54.91538461538461</v>
      </c>
      <c r="P963" s="43"/>
      <c r="Q963" s="46" t="s">
        <v>1013</v>
      </c>
      <c r="R963" s="46" t="s">
        <v>2071</v>
      </c>
      <c r="S963" s="37"/>
    </row>
    <row r="964" spans="1:19" x14ac:dyDescent="0.2">
      <c r="A964" s="36"/>
      <c r="B964" s="38" t="str">
        <f>IF(MasterFees[[#This Row],[RVG Code]]="","",_xlfn.XLOOKUP(MasterFees[[#This Row],[RVG Code]],RVGCodes[Code],RVGCodes[Base Units],"Code not found"))</f>
        <v/>
      </c>
      <c r="C964" s="37" t="s">
        <v>956</v>
      </c>
      <c r="D964" s="44" t="s">
        <v>1108</v>
      </c>
      <c r="E964" s="44"/>
      <c r="F964" s="44" t="s">
        <v>1109</v>
      </c>
      <c r="G964" s="39">
        <v>4.3</v>
      </c>
      <c r="H964" s="39">
        <v>2.5</v>
      </c>
      <c r="I964" s="39">
        <v>1.4</v>
      </c>
      <c r="J964" s="39">
        <v>8.1999999999999993</v>
      </c>
      <c r="K964" s="40">
        <v>451</v>
      </c>
      <c r="L964" s="45" t="s">
        <v>1015</v>
      </c>
      <c r="M964" s="41" t="str">
        <f>IF(MasterFees[[#This Row],[GST Basis]]="Excl",MasterFees[[#This Row],[Fee as Printed]],IF(MasterFees[[#This Row],[GST Basis]]="Incl",MasterFees[[#This Row],[Fee as Printed]]/(1+GST_Rate),""))</f>
        <v/>
      </c>
      <c r="N964" s="41" t="str">
        <f>IF(MasterFees[[#This Row],[GST Basis]]="Incl",MasterFees[[#This Row],[Fee as Printed]],IF(MasterFees[[#This Row],[GST Basis]]="Excl",MasterFees[[#This Row],[Fee as Printed]]*(1+GST_Rate),""))</f>
        <v/>
      </c>
      <c r="O964" s="42">
        <f>IF(N(MasterFees[[#This Row],[Total Units]])=0,"",MasterFees[[#This Row],[Fee as Printed]]/MasterFees[[#This Row],[Total Units]])</f>
        <v>55.000000000000007</v>
      </c>
      <c r="P964" s="43"/>
      <c r="Q964" s="46" t="s">
        <v>1013</v>
      </c>
      <c r="R964" s="46" t="s">
        <v>2072</v>
      </c>
      <c r="S964" s="37"/>
    </row>
    <row r="965" spans="1:19" x14ac:dyDescent="0.2">
      <c r="A965" s="36"/>
      <c r="B965" s="38" t="str">
        <f>IF(MasterFees[[#This Row],[RVG Code]]="","",_xlfn.XLOOKUP(MasterFees[[#This Row],[RVG Code]],RVGCodes[Code],RVGCodes[Base Units],"Code not found"))</f>
        <v/>
      </c>
      <c r="C965" s="37" t="s">
        <v>957</v>
      </c>
      <c r="D965" s="44" t="s">
        <v>1108</v>
      </c>
      <c r="E965" s="44"/>
      <c r="F965" s="44" t="s">
        <v>1109</v>
      </c>
      <c r="G965" s="39">
        <v>0</v>
      </c>
      <c r="H965" s="39">
        <v>1</v>
      </c>
      <c r="I965" s="39">
        <v>0</v>
      </c>
      <c r="J965" s="39">
        <v>1</v>
      </c>
      <c r="K965" s="40">
        <v>55</v>
      </c>
      <c r="L965" s="45" t="s">
        <v>1015</v>
      </c>
      <c r="M965" s="41" t="str">
        <f>IF(MasterFees[[#This Row],[GST Basis]]="Excl",MasterFees[[#This Row],[Fee as Printed]],IF(MasterFees[[#This Row],[GST Basis]]="Incl",MasterFees[[#This Row],[Fee as Printed]]/(1+GST_Rate),""))</f>
        <v/>
      </c>
      <c r="N965" s="41" t="str">
        <f>IF(MasterFees[[#This Row],[GST Basis]]="Incl",MasterFees[[#This Row],[Fee as Printed]],IF(MasterFees[[#This Row],[GST Basis]]="Excl",MasterFees[[#This Row],[Fee as Printed]]*(1+GST_Rate),""))</f>
        <v/>
      </c>
      <c r="O965" s="42">
        <f>IF(N(MasterFees[[#This Row],[Total Units]])=0,"",MasterFees[[#This Row],[Fee as Printed]]/MasterFees[[#This Row],[Total Units]])</f>
        <v>55</v>
      </c>
      <c r="P965" s="43"/>
      <c r="Q965" s="46" t="s">
        <v>1013</v>
      </c>
      <c r="R965" s="46" t="s">
        <v>2073</v>
      </c>
      <c r="S965" s="37"/>
    </row>
    <row r="966" spans="1:19" x14ac:dyDescent="0.2">
      <c r="A966" s="36"/>
      <c r="B966" s="38" t="str">
        <f>IF(MasterFees[[#This Row],[RVG Code]]="","",_xlfn.XLOOKUP(MasterFees[[#This Row],[RVG Code]],RVGCodes[Code],RVGCodes[Base Units],"Code not found"))</f>
        <v/>
      </c>
      <c r="C966" s="37" t="s">
        <v>958</v>
      </c>
      <c r="D966" s="44" t="s">
        <v>1108</v>
      </c>
      <c r="E966" s="44"/>
      <c r="F966" s="44" t="s">
        <v>1109</v>
      </c>
      <c r="G966" s="39">
        <v>5.2</v>
      </c>
      <c r="H966" s="39">
        <v>5.6</v>
      </c>
      <c r="I966" s="39">
        <v>0.3</v>
      </c>
      <c r="J966" s="39">
        <v>11.1</v>
      </c>
      <c r="K966" s="40">
        <v>609.4</v>
      </c>
      <c r="L966" s="45" t="s">
        <v>1015</v>
      </c>
      <c r="M966" s="41" t="str">
        <f>IF(MasterFees[[#This Row],[GST Basis]]="Excl",MasterFees[[#This Row],[Fee as Printed]],IF(MasterFees[[#This Row],[GST Basis]]="Incl",MasterFees[[#This Row],[Fee as Printed]]/(1+GST_Rate),""))</f>
        <v/>
      </c>
      <c r="N966" s="41" t="str">
        <f>IF(MasterFees[[#This Row],[GST Basis]]="Incl",MasterFees[[#This Row],[Fee as Printed]],IF(MasterFees[[#This Row],[GST Basis]]="Excl",MasterFees[[#This Row],[Fee as Printed]]*(1+GST_Rate),""))</f>
        <v/>
      </c>
      <c r="O966" s="42">
        <f>IF(N(MasterFees[[#This Row],[Total Units]])=0,"",MasterFees[[#This Row],[Fee as Printed]]/MasterFees[[#This Row],[Total Units]])</f>
        <v>54.900900900900901</v>
      </c>
      <c r="P966" s="43"/>
      <c r="Q966" s="46" t="s">
        <v>1013</v>
      </c>
      <c r="R966" s="46" t="s">
        <v>2074</v>
      </c>
      <c r="S966" s="37"/>
    </row>
    <row r="967" spans="1:19" x14ac:dyDescent="0.2">
      <c r="A967" s="36"/>
      <c r="B967" s="38" t="str">
        <f>IF(MasterFees[[#This Row],[RVG Code]]="","",_xlfn.XLOOKUP(MasterFees[[#This Row],[RVG Code]],RVGCodes[Code],RVGCodes[Base Units],"Code not found"))</f>
        <v/>
      </c>
      <c r="C967" s="37" t="s">
        <v>959</v>
      </c>
      <c r="D967" s="44" t="s">
        <v>1108</v>
      </c>
      <c r="E967" s="44"/>
      <c r="F967" s="44" t="s">
        <v>1109</v>
      </c>
      <c r="G967" s="39">
        <v>4.3</v>
      </c>
      <c r="H967" s="39">
        <v>2.7</v>
      </c>
      <c r="I967" s="39">
        <v>0</v>
      </c>
      <c r="J967" s="39">
        <v>7</v>
      </c>
      <c r="K967" s="40">
        <v>385</v>
      </c>
      <c r="L967" s="45" t="s">
        <v>1015</v>
      </c>
      <c r="M967" s="41" t="str">
        <f>IF(MasterFees[[#This Row],[GST Basis]]="Excl",MasterFees[[#This Row],[Fee as Printed]],IF(MasterFees[[#This Row],[GST Basis]]="Incl",MasterFees[[#This Row],[Fee as Printed]]/(1+GST_Rate),""))</f>
        <v/>
      </c>
      <c r="N967" s="41" t="str">
        <f>IF(MasterFees[[#This Row],[GST Basis]]="Incl",MasterFees[[#This Row],[Fee as Printed]],IF(MasterFees[[#This Row],[GST Basis]]="Excl",MasterFees[[#This Row],[Fee as Printed]]*(1+GST_Rate),""))</f>
        <v/>
      </c>
      <c r="O967" s="42">
        <f>IF(N(MasterFees[[#This Row],[Total Units]])=0,"",MasterFees[[#This Row],[Fee as Printed]]/MasterFees[[#This Row],[Total Units]])</f>
        <v>55</v>
      </c>
      <c r="P967" s="43"/>
      <c r="Q967" s="46" t="s">
        <v>1013</v>
      </c>
      <c r="R967" s="46" t="s">
        <v>2075</v>
      </c>
      <c r="S967" s="37"/>
    </row>
    <row r="968" spans="1:19" x14ac:dyDescent="0.2">
      <c r="A968" s="36"/>
      <c r="B968" s="38" t="str">
        <f>IF(MasterFees[[#This Row],[RVG Code]]="","",_xlfn.XLOOKUP(MasterFees[[#This Row],[RVG Code]],RVGCodes[Code],RVGCodes[Base Units],"Code not found"))</f>
        <v/>
      </c>
      <c r="C968" s="37" t="s">
        <v>960</v>
      </c>
      <c r="D968" s="44" t="s">
        <v>1108</v>
      </c>
      <c r="E968" s="44"/>
      <c r="F968" s="44" t="s">
        <v>1109</v>
      </c>
      <c r="G968" s="39">
        <v>6</v>
      </c>
      <c r="H968" s="39">
        <v>6.3</v>
      </c>
      <c r="I968" s="39">
        <v>0.5</v>
      </c>
      <c r="J968" s="39">
        <v>12.8</v>
      </c>
      <c r="K968" s="40">
        <v>704.55</v>
      </c>
      <c r="L968" s="45" t="s">
        <v>1015</v>
      </c>
      <c r="M968" s="41" t="str">
        <f>IF(MasterFees[[#This Row],[GST Basis]]="Excl",MasterFees[[#This Row],[Fee as Printed]],IF(MasterFees[[#This Row],[GST Basis]]="Incl",MasterFees[[#This Row],[Fee as Printed]]/(1+GST_Rate),""))</f>
        <v/>
      </c>
      <c r="N968" s="41" t="str">
        <f>IF(MasterFees[[#This Row],[GST Basis]]="Incl",MasterFees[[#This Row],[Fee as Printed]],IF(MasterFees[[#This Row],[GST Basis]]="Excl",MasterFees[[#This Row],[Fee as Printed]]*(1+GST_Rate),""))</f>
        <v/>
      </c>
      <c r="O968" s="42">
        <f>IF(N(MasterFees[[#This Row],[Total Units]])=0,"",MasterFees[[#This Row],[Fee as Printed]]/MasterFees[[#This Row],[Total Units]])</f>
        <v>55.042968749999993</v>
      </c>
      <c r="P968" s="43"/>
      <c r="Q968" s="46" t="s">
        <v>1013</v>
      </c>
      <c r="R968" s="46" t="s">
        <v>2076</v>
      </c>
      <c r="S968" s="37"/>
    </row>
    <row r="969" spans="1:19" x14ac:dyDescent="0.2">
      <c r="A969" s="36"/>
      <c r="B969" s="38" t="str">
        <f>IF(MasterFees[[#This Row],[RVG Code]]="","",_xlfn.XLOOKUP(MasterFees[[#This Row],[RVG Code]],RVGCodes[Code],RVGCodes[Base Units],"Code not found"))</f>
        <v/>
      </c>
      <c r="C969" s="37" t="s">
        <v>961</v>
      </c>
      <c r="D969" s="44" t="s">
        <v>1108</v>
      </c>
      <c r="E969" s="44"/>
      <c r="F969" s="44" t="s">
        <v>1109</v>
      </c>
      <c r="G969" s="39">
        <v>4</v>
      </c>
      <c r="H969" s="39">
        <v>5.7</v>
      </c>
      <c r="I969" s="39">
        <v>0.9</v>
      </c>
      <c r="J969" s="39">
        <v>10.6</v>
      </c>
      <c r="K969" s="40">
        <v>581.35</v>
      </c>
      <c r="L969" s="45" t="s">
        <v>1015</v>
      </c>
      <c r="M969" s="41" t="str">
        <f>IF(MasterFees[[#This Row],[GST Basis]]="Excl",MasterFees[[#This Row],[Fee as Printed]],IF(MasterFees[[#This Row],[GST Basis]]="Incl",MasterFees[[#This Row],[Fee as Printed]]/(1+GST_Rate),""))</f>
        <v/>
      </c>
      <c r="N969" s="41" t="str">
        <f>IF(MasterFees[[#This Row],[GST Basis]]="Incl",MasterFees[[#This Row],[Fee as Printed]],IF(MasterFees[[#This Row],[GST Basis]]="Excl",MasterFees[[#This Row],[Fee as Printed]]*(1+GST_Rate),""))</f>
        <v/>
      </c>
      <c r="O969" s="42">
        <f>IF(N(MasterFees[[#This Row],[Total Units]])=0,"",MasterFees[[#This Row],[Fee as Printed]]/MasterFees[[#This Row],[Total Units]])</f>
        <v>54.844339622641513</v>
      </c>
      <c r="P969" s="43"/>
      <c r="Q969" s="46" t="s">
        <v>1013</v>
      </c>
      <c r="R969" s="46" t="s">
        <v>2077</v>
      </c>
      <c r="S969" s="37"/>
    </row>
    <row r="970" spans="1:19" x14ac:dyDescent="0.2">
      <c r="A970" s="36"/>
      <c r="B970" s="38" t="str">
        <f>IF(MasterFees[[#This Row],[RVG Code]]="","",_xlfn.XLOOKUP(MasterFees[[#This Row],[RVG Code]],RVGCodes[Code],RVGCodes[Base Units],"Code not found"))</f>
        <v/>
      </c>
      <c r="C970" s="37" t="s">
        <v>962</v>
      </c>
      <c r="D970" s="44" t="s">
        <v>1108</v>
      </c>
      <c r="E970" s="44"/>
      <c r="F970" s="44" t="s">
        <v>1109</v>
      </c>
      <c r="G970" s="39">
        <v>2.4</v>
      </c>
      <c r="H970" s="39">
        <v>2.1</v>
      </c>
      <c r="I970" s="39">
        <v>0</v>
      </c>
      <c r="J970" s="39">
        <v>4.5</v>
      </c>
      <c r="K970" s="40">
        <v>248.6</v>
      </c>
      <c r="L970" s="45" t="s">
        <v>1015</v>
      </c>
      <c r="M970" s="41" t="str">
        <f>IF(MasterFees[[#This Row],[GST Basis]]="Excl",MasterFees[[#This Row],[Fee as Printed]],IF(MasterFees[[#This Row],[GST Basis]]="Incl",MasterFees[[#This Row],[Fee as Printed]]/(1+GST_Rate),""))</f>
        <v/>
      </c>
      <c r="N970" s="41" t="str">
        <f>IF(MasterFees[[#This Row],[GST Basis]]="Incl",MasterFees[[#This Row],[Fee as Printed]],IF(MasterFees[[#This Row],[GST Basis]]="Excl",MasterFees[[#This Row],[Fee as Printed]]*(1+GST_Rate),""))</f>
        <v/>
      </c>
      <c r="O970" s="42">
        <f>IF(N(MasterFees[[#This Row],[Total Units]])=0,"",MasterFees[[#This Row],[Fee as Printed]]/MasterFees[[#This Row],[Total Units]])</f>
        <v>55.24444444444444</v>
      </c>
      <c r="P970" s="43"/>
      <c r="Q970" s="46" t="s">
        <v>1013</v>
      </c>
      <c r="R970" s="46" t="s">
        <v>2078</v>
      </c>
      <c r="S970" s="37"/>
    </row>
    <row r="971" spans="1:19" x14ac:dyDescent="0.2">
      <c r="A971" s="36"/>
      <c r="B971" s="38" t="str">
        <f>IF(MasterFees[[#This Row],[RVG Code]]="","",_xlfn.XLOOKUP(MasterFees[[#This Row],[RVG Code]],RVGCodes[Code],RVGCodes[Base Units],"Code not found"))</f>
        <v/>
      </c>
      <c r="C971" s="37" t="s">
        <v>963</v>
      </c>
      <c r="D971" s="44" t="s">
        <v>1108</v>
      </c>
      <c r="E971" s="44"/>
      <c r="F971" s="44" t="s">
        <v>1109</v>
      </c>
      <c r="G971" s="39">
        <v>4.7</v>
      </c>
      <c r="H971" s="39">
        <v>10.5</v>
      </c>
      <c r="I971" s="39">
        <v>0.2</v>
      </c>
      <c r="J971" s="39">
        <v>15.3</v>
      </c>
      <c r="K971" s="40">
        <v>843.7</v>
      </c>
      <c r="L971" s="45" t="s">
        <v>1015</v>
      </c>
      <c r="M971" s="41" t="str">
        <f>IF(MasterFees[[#This Row],[GST Basis]]="Excl",MasterFees[[#This Row],[Fee as Printed]],IF(MasterFees[[#This Row],[GST Basis]]="Incl",MasterFees[[#This Row],[Fee as Printed]]/(1+GST_Rate),""))</f>
        <v/>
      </c>
      <c r="N971" s="41" t="str">
        <f>IF(MasterFees[[#This Row],[GST Basis]]="Incl",MasterFees[[#This Row],[Fee as Printed]],IF(MasterFees[[#This Row],[GST Basis]]="Excl",MasterFees[[#This Row],[Fee as Printed]]*(1+GST_Rate),""))</f>
        <v/>
      </c>
      <c r="O971" s="42">
        <f>IF(N(MasterFees[[#This Row],[Total Units]])=0,"",MasterFees[[#This Row],[Fee as Printed]]/MasterFees[[#This Row],[Total Units]])</f>
        <v>55.143790849673202</v>
      </c>
      <c r="P971" s="43"/>
      <c r="Q971" s="46" t="s">
        <v>1013</v>
      </c>
      <c r="R971" s="46" t="s">
        <v>2079</v>
      </c>
      <c r="S971" s="37"/>
    </row>
    <row r="972" spans="1:19" x14ac:dyDescent="0.2">
      <c r="A972" s="36"/>
      <c r="B972" s="38" t="str">
        <f>IF(MasterFees[[#This Row],[RVG Code]]="","",_xlfn.XLOOKUP(MasterFees[[#This Row],[RVG Code]],RVGCodes[Code],RVGCodes[Base Units],"Code not found"))</f>
        <v/>
      </c>
      <c r="C972" s="37" t="s">
        <v>964</v>
      </c>
      <c r="D972" s="44" t="s">
        <v>1108</v>
      </c>
      <c r="E972" s="44"/>
      <c r="F972" s="44" t="s">
        <v>1109</v>
      </c>
      <c r="G972" s="39">
        <v>4</v>
      </c>
      <c r="H972" s="39">
        <v>1.4</v>
      </c>
      <c r="I972" s="39">
        <v>0.1</v>
      </c>
      <c r="J972" s="39">
        <v>5.5</v>
      </c>
      <c r="K972" s="40">
        <v>301.95</v>
      </c>
      <c r="L972" s="45" t="s">
        <v>1015</v>
      </c>
      <c r="M972" s="41" t="str">
        <f>IF(MasterFees[[#This Row],[GST Basis]]="Excl",MasterFees[[#This Row],[Fee as Printed]],IF(MasterFees[[#This Row],[GST Basis]]="Incl",MasterFees[[#This Row],[Fee as Printed]]/(1+GST_Rate),""))</f>
        <v/>
      </c>
      <c r="N972" s="41" t="str">
        <f>IF(MasterFees[[#This Row],[GST Basis]]="Incl",MasterFees[[#This Row],[Fee as Printed]],IF(MasterFees[[#This Row],[GST Basis]]="Excl",MasterFees[[#This Row],[Fee as Printed]]*(1+GST_Rate),""))</f>
        <v/>
      </c>
      <c r="O972" s="42">
        <f>IF(N(MasterFees[[#This Row],[Total Units]])=0,"",MasterFees[[#This Row],[Fee as Printed]]/MasterFees[[#This Row],[Total Units]])</f>
        <v>54.9</v>
      </c>
      <c r="P972" s="43"/>
      <c r="Q972" s="46" t="s">
        <v>1013</v>
      </c>
      <c r="R972" s="46" t="s">
        <v>2080</v>
      </c>
      <c r="S972" s="37"/>
    </row>
    <row r="973" spans="1:19" x14ac:dyDescent="0.2">
      <c r="A973" s="36"/>
      <c r="B973" s="38" t="str">
        <f>IF(MasterFees[[#This Row],[RVG Code]]="","",_xlfn.XLOOKUP(MasterFees[[#This Row],[RVG Code]],RVGCodes[Code],RVGCodes[Base Units],"Code not found"))</f>
        <v/>
      </c>
      <c r="C973" s="37" t="s">
        <v>965</v>
      </c>
      <c r="D973" s="44" t="s">
        <v>1108</v>
      </c>
      <c r="E973" s="44"/>
      <c r="F973" s="44" t="s">
        <v>1109</v>
      </c>
      <c r="G973" s="39">
        <v>4.8</v>
      </c>
      <c r="H973" s="39">
        <v>6</v>
      </c>
      <c r="I973" s="39">
        <v>0.6</v>
      </c>
      <c r="J973" s="39">
        <v>11.4</v>
      </c>
      <c r="K973" s="40">
        <v>624.25</v>
      </c>
      <c r="L973" s="45" t="s">
        <v>1015</v>
      </c>
      <c r="M973" s="41" t="str">
        <f>IF(MasterFees[[#This Row],[GST Basis]]="Excl",MasterFees[[#This Row],[Fee as Printed]],IF(MasterFees[[#This Row],[GST Basis]]="Incl",MasterFees[[#This Row],[Fee as Printed]]/(1+GST_Rate),""))</f>
        <v/>
      </c>
      <c r="N973" s="41" t="str">
        <f>IF(MasterFees[[#This Row],[GST Basis]]="Incl",MasterFees[[#This Row],[Fee as Printed]],IF(MasterFees[[#This Row],[GST Basis]]="Excl",MasterFees[[#This Row],[Fee as Printed]]*(1+GST_Rate),""))</f>
        <v/>
      </c>
      <c r="O973" s="42">
        <f>IF(N(MasterFees[[#This Row],[Total Units]])=0,"",MasterFees[[#This Row],[Fee as Printed]]/MasterFees[[#This Row],[Total Units]])</f>
        <v>54.758771929824562</v>
      </c>
      <c r="P973" s="43"/>
      <c r="Q973" s="46" t="s">
        <v>1013</v>
      </c>
      <c r="R973" s="46" t="s">
        <v>2081</v>
      </c>
      <c r="S973" s="37"/>
    </row>
    <row r="974" spans="1:19" x14ac:dyDescent="0.2">
      <c r="A974" s="36"/>
      <c r="B974" s="38" t="str">
        <f>IF(MasterFees[[#This Row],[RVG Code]]="","",_xlfn.XLOOKUP(MasterFees[[#This Row],[RVG Code]],RVGCodes[Code],RVGCodes[Base Units],"Code not found"))</f>
        <v/>
      </c>
      <c r="C974" s="37" t="s">
        <v>966</v>
      </c>
      <c r="D974" s="44" t="s">
        <v>1108</v>
      </c>
      <c r="E974" s="44"/>
      <c r="F974" s="44" t="s">
        <v>1109</v>
      </c>
      <c r="G974" s="39">
        <v>3.9</v>
      </c>
      <c r="H974" s="39">
        <v>4</v>
      </c>
      <c r="I974" s="39">
        <v>0.8</v>
      </c>
      <c r="J974" s="39">
        <v>8.6999999999999993</v>
      </c>
      <c r="K974" s="40">
        <v>477.95</v>
      </c>
      <c r="L974" s="45" t="s">
        <v>1015</v>
      </c>
      <c r="M974" s="41" t="str">
        <f>IF(MasterFees[[#This Row],[GST Basis]]="Excl",MasterFees[[#This Row],[Fee as Printed]],IF(MasterFees[[#This Row],[GST Basis]]="Incl",MasterFees[[#This Row],[Fee as Printed]]/(1+GST_Rate),""))</f>
        <v/>
      </c>
      <c r="N974" s="41" t="str">
        <f>IF(MasterFees[[#This Row],[GST Basis]]="Incl",MasterFees[[#This Row],[Fee as Printed]],IF(MasterFees[[#This Row],[GST Basis]]="Excl",MasterFees[[#This Row],[Fee as Printed]]*(1+GST_Rate),""))</f>
        <v/>
      </c>
      <c r="O974" s="42">
        <f>IF(N(MasterFees[[#This Row],[Total Units]])=0,"",MasterFees[[#This Row],[Fee as Printed]]/MasterFees[[#This Row],[Total Units]])</f>
        <v>54.936781609195407</v>
      </c>
      <c r="P974" s="43"/>
      <c r="Q974" s="46" t="s">
        <v>1013</v>
      </c>
      <c r="R974" s="46" t="s">
        <v>2082</v>
      </c>
      <c r="S974" s="37"/>
    </row>
    <row r="975" spans="1:19" x14ac:dyDescent="0.2">
      <c r="A975" s="36"/>
      <c r="B975" s="38" t="str">
        <f>IF(MasterFees[[#This Row],[RVG Code]]="","",_xlfn.XLOOKUP(MasterFees[[#This Row],[RVG Code]],RVGCodes[Code],RVGCodes[Base Units],"Code not found"))</f>
        <v/>
      </c>
      <c r="C975" s="37" t="s">
        <v>967</v>
      </c>
      <c r="D975" s="44" t="s">
        <v>1108</v>
      </c>
      <c r="E975" s="44"/>
      <c r="F975" s="44" t="s">
        <v>1109</v>
      </c>
      <c r="G975" s="39">
        <v>3.6</v>
      </c>
      <c r="H975" s="39">
        <v>3.7</v>
      </c>
      <c r="I975" s="39">
        <v>0.5</v>
      </c>
      <c r="J975" s="39">
        <v>7.8</v>
      </c>
      <c r="K975" s="40">
        <v>427.35</v>
      </c>
      <c r="L975" s="45" t="s">
        <v>1015</v>
      </c>
      <c r="M975" s="41" t="str">
        <f>IF(MasterFees[[#This Row],[GST Basis]]="Excl",MasterFees[[#This Row],[Fee as Printed]],IF(MasterFees[[#This Row],[GST Basis]]="Incl",MasterFees[[#This Row],[Fee as Printed]]/(1+GST_Rate),""))</f>
        <v/>
      </c>
      <c r="N975" s="41" t="str">
        <f>IF(MasterFees[[#This Row],[GST Basis]]="Incl",MasterFees[[#This Row],[Fee as Printed]],IF(MasterFees[[#This Row],[GST Basis]]="Excl",MasterFees[[#This Row],[Fee as Printed]]*(1+GST_Rate),""))</f>
        <v/>
      </c>
      <c r="O975" s="42">
        <f>IF(N(MasterFees[[#This Row],[Total Units]])=0,"",MasterFees[[#This Row],[Fee as Printed]]/MasterFees[[#This Row],[Total Units]])</f>
        <v>54.78846153846154</v>
      </c>
      <c r="P975" s="43"/>
      <c r="Q975" s="46" t="s">
        <v>1013</v>
      </c>
      <c r="R975" s="46" t="s">
        <v>2083</v>
      </c>
      <c r="S975" s="37"/>
    </row>
    <row r="976" spans="1:19" x14ac:dyDescent="0.2">
      <c r="A976" s="36"/>
      <c r="B976" s="38" t="str">
        <f>IF(MasterFees[[#This Row],[RVG Code]]="","",_xlfn.XLOOKUP(MasterFees[[#This Row],[RVG Code]],RVGCodes[Code],RVGCodes[Base Units],"Code not found"))</f>
        <v/>
      </c>
      <c r="C976" s="37" t="s">
        <v>968</v>
      </c>
      <c r="D976" s="44" t="s">
        <v>1108</v>
      </c>
      <c r="E976" s="44"/>
      <c r="F976" s="44" t="s">
        <v>1109</v>
      </c>
      <c r="G976" s="39">
        <v>3.2</v>
      </c>
      <c r="H976" s="39">
        <v>3.8</v>
      </c>
      <c r="I976" s="39">
        <v>0.6</v>
      </c>
      <c r="J976" s="39">
        <v>7.7</v>
      </c>
      <c r="K976" s="40">
        <v>421.3</v>
      </c>
      <c r="L976" s="45" t="s">
        <v>1015</v>
      </c>
      <c r="M976" s="41" t="str">
        <f>IF(MasterFees[[#This Row],[GST Basis]]="Excl",MasterFees[[#This Row],[Fee as Printed]],IF(MasterFees[[#This Row],[GST Basis]]="Incl",MasterFees[[#This Row],[Fee as Printed]]/(1+GST_Rate),""))</f>
        <v/>
      </c>
      <c r="N976" s="41" t="str">
        <f>IF(MasterFees[[#This Row],[GST Basis]]="Incl",MasterFees[[#This Row],[Fee as Printed]],IF(MasterFees[[#This Row],[GST Basis]]="Excl",MasterFees[[#This Row],[Fee as Printed]]*(1+GST_Rate),""))</f>
        <v/>
      </c>
      <c r="O976" s="42">
        <f>IF(N(MasterFees[[#This Row],[Total Units]])=0,"",MasterFees[[#This Row],[Fee as Printed]]/MasterFees[[#This Row],[Total Units]])</f>
        <v>54.714285714285715</v>
      </c>
      <c r="P976" s="43"/>
      <c r="Q976" s="46" t="s">
        <v>1013</v>
      </c>
      <c r="R976" s="46" t="s">
        <v>2084</v>
      </c>
      <c r="S976" s="37"/>
    </row>
    <row r="977" spans="1:19" x14ac:dyDescent="0.2">
      <c r="A977" s="36"/>
      <c r="B977" s="38" t="str">
        <f>IF(MasterFees[[#This Row],[RVG Code]]="","",_xlfn.XLOOKUP(MasterFees[[#This Row],[RVG Code]],RVGCodes[Code],RVGCodes[Base Units],"Code not found"))</f>
        <v/>
      </c>
      <c r="C977" s="37" t="s">
        <v>969</v>
      </c>
      <c r="D977" s="44" t="s">
        <v>1108</v>
      </c>
      <c r="E977" s="44"/>
      <c r="F977" s="44" t="s">
        <v>1109</v>
      </c>
      <c r="G977" s="39">
        <v>4</v>
      </c>
      <c r="H977" s="39">
        <v>5</v>
      </c>
      <c r="I977" s="39">
        <v>1</v>
      </c>
      <c r="J977" s="39">
        <v>10</v>
      </c>
      <c r="K977" s="40">
        <v>550</v>
      </c>
      <c r="L977" s="45" t="s">
        <v>1015</v>
      </c>
      <c r="M977" s="41" t="str">
        <f>IF(MasterFees[[#This Row],[GST Basis]]="Excl",MasterFees[[#This Row],[Fee as Printed]],IF(MasterFees[[#This Row],[GST Basis]]="Incl",MasterFees[[#This Row],[Fee as Printed]]/(1+GST_Rate),""))</f>
        <v/>
      </c>
      <c r="N977" s="41" t="str">
        <f>IF(MasterFees[[#This Row],[GST Basis]]="Incl",MasterFees[[#This Row],[Fee as Printed]],IF(MasterFees[[#This Row],[GST Basis]]="Excl",MasterFees[[#This Row],[Fee as Printed]]*(1+GST_Rate),""))</f>
        <v/>
      </c>
      <c r="O977" s="42">
        <f>IF(N(MasterFees[[#This Row],[Total Units]])=0,"",MasterFees[[#This Row],[Fee as Printed]]/MasterFees[[#This Row],[Total Units]])</f>
        <v>55</v>
      </c>
      <c r="P977" s="43"/>
      <c r="Q977" s="46" t="s">
        <v>1013</v>
      </c>
      <c r="R977" s="46" t="s">
        <v>2085</v>
      </c>
      <c r="S977" s="37"/>
    </row>
    <row r="978" spans="1:19" x14ac:dyDescent="0.2">
      <c r="A978" s="36"/>
      <c r="B978" s="38" t="str">
        <f>IF(MasterFees[[#This Row],[RVG Code]]="","",_xlfn.XLOOKUP(MasterFees[[#This Row],[RVG Code]],RVGCodes[Code],RVGCodes[Base Units],"Code not found"))</f>
        <v/>
      </c>
      <c r="C978" s="37" t="s">
        <v>970</v>
      </c>
      <c r="D978" s="44" t="s">
        <v>1108</v>
      </c>
      <c r="E978" s="44"/>
      <c r="F978" s="44" t="s">
        <v>1109</v>
      </c>
      <c r="G978" s="39">
        <v>0</v>
      </c>
      <c r="H978" s="39">
        <v>0</v>
      </c>
      <c r="I978" s="39">
        <v>0</v>
      </c>
      <c r="J978" s="39">
        <v>0</v>
      </c>
      <c r="K978" s="40">
        <v>0</v>
      </c>
      <c r="L978" s="45" t="s">
        <v>1015</v>
      </c>
      <c r="M978" s="41" t="str">
        <f>IF(MasterFees[[#This Row],[GST Basis]]="Excl",MasterFees[[#This Row],[Fee as Printed]],IF(MasterFees[[#This Row],[GST Basis]]="Incl",MasterFees[[#This Row],[Fee as Printed]]/(1+GST_Rate),""))</f>
        <v/>
      </c>
      <c r="N978" s="41" t="str">
        <f>IF(MasterFees[[#This Row],[GST Basis]]="Incl",MasterFees[[#This Row],[Fee as Printed]],IF(MasterFees[[#This Row],[GST Basis]]="Excl",MasterFees[[#This Row],[Fee as Printed]]*(1+GST_Rate),""))</f>
        <v/>
      </c>
      <c r="O978" s="42" t="str">
        <f>IF(N(MasterFees[[#This Row],[Total Units]])=0,"",MasterFees[[#This Row],[Fee as Printed]]/MasterFees[[#This Row],[Total Units]])</f>
        <v/>
      </c>
      <c r="P978" s="43"/>
      <c r="Q978" s="46" t="s">
        <v>1013</v>
      </c>
      <c r="R978" s="46" t="s">
        <v>2086</v>
      </c>
      <c r="S978" s="37"/>
    </row>
    <row r="979" spans="1:19" x14ac:dyDescent="0.2">
      <c r="A979" s="36"/>
      <c r="B979" s="38" t="str">
        <f>IF(MasterFees[[#This Row],[RVG Code]]="","",_xlfn.XLOOKUP(MasterFees[[#This Row],[RVG Code]],RVGCodes[Code],RVGCodes[Base Units],"Code not found"))</f>
        <v/>
      </c>
      <c r="C979" s="37" t="s">
        <v>971</v>
      </c>
      <c r="D979" s="44" t="s">
        <v>1108</v>
      </c>
      <c r="E979" s="44"/>
      <c r="F979" s="44" t="s">
        <v>1109</v>
      </c>
      <c r="G979" s="39">
        <v>1.2</v>
      </c>
      <c r="H979" s="39">
        <v>0.6</v>
      </c>
      <c r="I979" s="39">
        <v>0.6</v>
      </c>
      <c r="J979" s="39">
        <v>2.5</v>
      </c>
      <c r="K979" s="40">
        <v>135.30000000000001</v>
      </c>
      <c r="L979" s="45" t="s">
        <v>1015</v>
      </c>
      <c r="M979" s="41" t="str">
        <f>IF(MasterFees[[#This Row],[GST Basis]]="Excl",MasterFees[[#This Row],[Fee as Printed]],IF(MasterFees[[#This Row],[GST Basis]]="Incl",MasterFees[[#This Row],[Fee as Printed]]/(1+GST_Rate),""))</f>
        <v/>
      </c>
      <c r="N979" s="41" t="str">
        <f>IF(MasterFees[[#This Row],[GST Basis]]="Incl",MasterFees[[#This Row],[Fee as Printed]],IF(MasterFees[[#This Row],[GST Basis]]="Excl",MasterFees[[#This Row],[Fee as Printed]]*(1+GST_Rate),""))</f>
        <v/>
      </c>
      <c r="O979" s="42">
        <f>IF(N(MasterFees[[#This Row],[Total Units]])=0,"",MasterFees[[#This Row],[Fee as Printed]]/MasterFees[[#This Row],[Total Units]])</f>
        <v>54.120000000000005</v>
      </c>
      <c r="P979" s="43"/>
      <c r="Q979" s="46" t="s">
        <v>1013</v>
      </c>
      <c r="R979" s="46" t="s">
        <v>2087</v>
      </c>
      <c r="S979" s="37"/>
    </row>
    <row r="980" spans="1:19" x14ac:dyDescent="0.2">
      <c r="A980" s="36"/>
      <c r="B980" s="38" t="str">
        <f>IF(MasterFees[[#This Row],[RVG Code]]="","",_xlfn.XLOOKUP(MasterFees[[#This Row],[RVG Code]],RVGCodes[Code],RVGCodes[Base Units],"Code not found"))</f>
        <v/>
      </c>
      <c r="C980" s="37" t="s">
        <v>972</v>
      </c>
      <c r="D980" s="44" t="s">
        <v>1108</v>
      </c>
      <c r="E980" s="44"/>
      <c r="F980" s="44" t="s">
        <v>1109</v>
      </c>
      <c r="G980" s="39">
        <v>2.2000000000000002</v>
      </c>
      <c r="H980" s="39">
        <v>1</v>
      </c>
      <c r="I980" s="39">
        <v>0.6</v>
      </c>
      <c r="J980" s="39">
        <v>3.8</v>
      </c>
      <c r="K980" s="40">
        <v>207.35</v>
      </c>
      <c r="L980" s="45" t="s">
        <v>1015</v>
      </c>
      <c r="M980" s="41" t="str">
        <f>IF(MasterFees[[#This Row],[GST Basis]]="Excl",MasterFees[[#This Row],[Fee as Printed]],IF(MasterFees[[#This Row],[GST Basis]]="Incl",MasterFees[[#This Row],[Fee as Printed]]/(1+GST_Rate),""))</f>
        <v/>
      </c>
      <c r="N980" s="41" t="str">
        <f>IF(MasterFees[[#This Row],[GST Basis]]="Incl",MasterFees[[#This Row],[Fee as Printed]],IF(MasterFees[[#This Row],[GST Basis]]="Excl",MasterFees[[#This Row],[Fee as Printed]]*(1+GST_Rate),""))</f>
        <v/>
      </c>
      <c r="O980" s="42">
        <f>IF(N(MasterFees[[#This Row],[Total Units]])=0,"",MasterFees[[#This Row],[Fee as Printed]]/MasterFees[[#This Row],[Total Units]])</f>
        <v>54.565789473684212</v>
      </c>
      <c r="P980" s="43"/>
      <c r="Q980" s="46" t="s">
        <v>1013</v>
      </c>
      <c r="R980" s="46" t="s">
        <v>2088</v>
      </c>
      <c r="S980" s="37"/>
    </row>
    <row r="981" spans="1:19" x14ac:dyDescent="0.2">
      <c r="A981" s="36"/>
      <c r="B981" s="38" t="str">
        <f>IF(MasterFees[[#This Row],[RVG Code]]="","",_xlfn.XLOOKUP(MasterFees[[#This Row],[RVG Code]],RVGCodes[Code],RVGCodes[Base Units],"Code not found"))</f>
        <v/>
      </c>
      <c r="C981" s="37" t="s">
        <v>973</v>
      </c>
      <c r="D981" s="44" t="s">
        <v>1108</v>
      </c>
      <c r="E981" s="44"/>
      <c r="F981" s="44" t="s">
        <v>1109</v>
      </c>
      <c r="G981" s="39">
        <v>0</v>
      </c>
      <c r="H981" s="39">
        <v>0</v>
      </c>
      <c r="I981" s="39">
        <v>0</v>
      </c>
      <c r="J981" s="39">
        <v>0</v>
      </c>
      <c r="K981" s="40">
        <v>0</v>
      </c>
      <c r="L981" s="45" t="s">
        <v>1015</v>
      </c>
      <c r="M981" s="41" t="str">
        <f>IF(MasterFees[[#This Row],[GST Basis]]="Excl",MasterFees[[#This Row],[Fee as Printed]],IF(MasterFees[[#This Row],[GST Basis]]="Incl",MasterFees[[#This Row],[Fee as Printed]]/(1+GST_Rate),""))</f>
        <v/>
      </c>
      <c r="N981" s="41" t="str">
        <f>IF(MasterFees[[#This Row],[GST Basis]]="Incl",MasterFees[[#This Row],[Fee as Printed]],IF(MasterFees[[#This Row],[GST Basis]]="Excl",MasterFees[[#This Row],[Fee as Printed]]*(1+GST_Rate),""))</f>
        <v/>
      </c>
      <c r="O981" s="42" t="str">
        <f>IF(N(MasterFees[[#This Row],[Total Units]])=0,"",MasterFees[[#This Row],[Fee as Printed]]/MasterFees[[#This Row],[Total Units]])</f>
        <v/>
      </c>
      <c r="P981" s="43"/>
      <c r="Q981" s="46" t="s">
        <v>1013</v>
      </c>
      <c r="R981" s="46" t="s">
        <v>2089</v>
      </c>
      <c r="S981" s="37"/>
    </row>
    <row r="982" spans="1:19" x14ac:dyDescent="0.2">
      <c r="A982" s="36"/>
      <c r="B982" s="38" t="str">
        <f>IF(MasterFees[[#This Row],[RVG Code]]="","",_xlfn.XLOOKUP(MasterFees[[#This Row],[RVG Code]],RVGCodes[Code],RVGCodes[Base Units],"Code not found"))</f>
        <v/>
      </c>
      <c r="C982" s="37" t="s">
        <v>974</v>
      </c>
      <c r="D982" s="44" t="s">
        <v>1108</v>
      </c>
      <c r="E982" s="44"/>
      <c r="F982" s="44" t="s">
        <v>1109</v>
      </c>
      <c r="G982" s="39">
        <v>0</v>
      </c>
      <c r="H982" s="39">
        <v>0</v>
      </c>
      <c r="I982" s="39">
        <v>0</v>
      </c>
      <c r="J982" s="39">
        <v>0</v>
      </c>
      <c r="K982" s="40">
        <v>0</v>
      </c>
      <c r="L982" s="45" t="s">
        <v>1015</v>
      </c>
      <c r="M982" s="41" t="str">
        <f>IF(MasterFees[[#This Row],[GST Basis]]="Excl",MasterFees[[#This Row],[Fee as Printed]],IF(MasterFees[[#This Row],[GST Basis]]="Incl",MasterFees[[#This Row],[Fee as Printed]]/(1+GST_Rate),""))</f>
        <v/>
      </c>
      <c r="N982" s="41" t="str">
        <f>IF(MasterFees[[#This Row],[GST Basis]]="Incl",MasterFees[[#This Row],[Fee as Printed]],IF(MasterFees[[#This Row],[GST Basis]]="Excl",MasterFees[[#This Row],[Fee as Printed]]*(1+GST_Rate),""))</f>
        <v/>
      </c>
      <c r="O982" s="42" t="str">
        <f>IF(N(MasterFees[[#This Row],[Total Units]])=0,"",MasterFees[[#This Row],[Fee as Printed]]/MasterFees[[#This Row],[Total Units]])</f>
        <v/>
      </c>
      <c r="P982" s="43"/>
      <c r="Q982" s="46" t="s">
        <v>1013</v>
      </c>
      <c r="R982" s="46" t="s">
        <v>2090</v>
      </c>
      <c r="S982" s="37"/>
    </row>
  </sheetData>
  <dataValidations count="2">
    <dataValidation type="list" allowBlank="1" showInputMessage="1" showErrorMessage="1" sqref="F2:F982" xr:uid="{74194BC0-A241-C143-99E6-ED74D0209182}">
      <formula1>"RVG units,Fixed fee,Add-on,Time band,Other"</formula1>
    </dataValidation>
    <dataValidation type="list" allowBlank="1" showInputMessage="1" showErrorMessage="1" sqref="L2:L982" xr:uid="{CC9770B4-7181-AF4F-88ED-0ECAFB407D20}">
      <formula1>"Excl,Incl,Unknown"</formula1>
    </dataValidation>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EB22B-BDBC-1945-A2DF-9056898D32C9}">
  <dimension ref="A1:H5"/>
  <sheetViews>
    <sheetView workbookViewId="0">
      <pane ySplit="4" topLeftCell="A5" activePane="bottomLeft" state="frozen"/>
      <selection pane="bottomLeft" activeCell="C11" sqref="C11"/>
    </sheetView>
  </sheetViews>
  <sheetFormatPr baseColWidth="10" defaultRowHeight="15" x14ac:dyDescent="0.2"/>
  <cols>
    <col min="1" max="1" width="10" style="10" customWidth="1"/>
    <col min="2" max="2" width="16" style="10" customWidth="1"/>
    <col min="3" max="3" width="18" style="10" customWidth="1"/>
    <col min="4" max="4" width="60" style="10" customWidth="1"/>
    <col min="5" max="6" width="11" style="10" customWidth="1"/>
    <col min="7" max="7" width="40" style="10" customWidth="1"/>
    <col min="8" max="8" width="10.83203125" style="10"/>
  </cols>
  <sheetData>
    <row r="1" spans="1:7" ht="19" x14ac:dyDescent="0.25">
      <c r="A1" s="32" t="s">
        <v>1082</v>
      </c>
    </row>
    <row r="2" spans="1:7" x14ac:dyDescent="0.2">
      <c r="A2" s="12" t="s">
        <v>1083</v>
      </c>
    </row>
    <row r="4" spans="1:7" x14ac:dyDescent="0.2">
      <c r="A4" s="10" t="s">
        <v>1084</v>
      </c>
      <c r="B4" s="10" t="s">
        <v>1085</v>
      </c>
      <c r="C4" s="10" t="s">
        <v>1086</v>
      </c>
      <c r="D4" s="10" t="s">
        <v>1087</v>
      </c>
      <c r="E4" s="10" t="s">
        <v>1088</v>
      </c>
      <c r="F4" s="10" t="s">
        <v>1089</v>
      </c>
      <c r="G4" s="10" t="s">
        <v>1012</v>
      </c>
    </row>
    <row r="5" spans="1:7" x14ac:dyDescent="0.2">
      <c r="E5" s="33"/>
      <c r="F5" s="3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982"/>
  <sheetViews>
    <sheetView showGridLines="0" workbookViewId="0">
      <pane ySplit="1" topLeftCell="A2" activePane="bottomLeft" state="frozen"/>
      <selection pane="bottomLeft" activeCell="C11" sqref="C11"/>
    </sheetView>
  </sheetViews>
  <sheetFormatPr baseColWidth="10" defaultColWidth="8.83203125" defaultRowHeight="15" x14ac:dyDescent="0.2"/>
  <cols>
    <col min="1" max="1" width="12" customWidth="1"/>
    <col min="2" max="2" width="68" customWidth="1"/>
    <col min="3" max="5" width="11" customWidth="1"/>
    <col min="6" max="6" width="12" customWidth="1"/>
    <col min="7" max="7" width="11" customWidth="1"/>
    <col min="8" max="8" width="14" customWidth="1"/>
  </cols>
  <sheetData>
    <row r="1" spans="1:8" ht="24" customHeight="1" x14ac:dyDescent="0.2">
      <c r="A1" s="1" t="s">
        <v>0</v>
      </c>
      <c r="B1" s="1" t="s">
        <v>1</v>
      </c>
      <c r="C1" s="1" t="s">
        <v>2</v>
      </c>
      <c r="D1" s="1" t="s">
        <v>3</v>
      </c>
      <c r="E1" s="1" t="s">
        <v>4</v>
      </c>
      <c r="F1" s="1" t="s">
        <v>5</v>
      </c>
      <c r="G1" s="1" t="s">
        <v>6</v>
      </c>
      <c r="H1" s="1" t="s">
        <v>7</v>
      </c>
    </row>
    <row r="2" spans="1:8" x14ac:dyDescent="0.2">
      <c r="A2" s="2">
        <v>1</v>
      </c>
      <c r="B2" s="3" t="s">
        <v>8</v>
      </c>
      <c r="C2" s="2">
        <v>1</v>
      </c>
      <c r="D2" s="4">
        <v>0</v>
      </c>
      <c r="E2" s="4">
        <v>4</v>
      </c>
      <c r="F2" s="4">
        <v>0</v>
      </c>
      <c r="G2" s="4">
        <v>4</v>
      </c>
      <c r="H2" s="5">
        <v>220</v>
      </c>
    </row>
    <row r="3" spans="1:8" x14ac:dyDescent="0.2">
      <c r="A3" s="6">
        <v>1</v>
      </c>
      <c r="B3" s="7" t="s">
        <v>9</v>
      </c>
      <c r="C3" s="6">
        <v>2</v>
      </c>
      <c r="D3" s="8">
        <v>6</v>
      </c>
      <c r="E3" s="8">
        <v>3.5</v>
      </c>
      <c r="F3" s="8">
        <v>4</v>
      </c>
      <c r="G3" s="8">
        <v>13.5</v>
      </c>
      <c r="H3" s="9">
        <v>742.5</v>
      </c>
    </row>
    <row r="4" spans="1:8" x14ac:dyDescent="0.2">
      <c r="A4" s="2">
        <v>1</v>
      </c>
      <c r="B4" s="3" t="s">
        <v>10</v>
      </c>
      <c r="C4" s="2">
        <v>0</v>
      </c>
      <c r="D4" s="4">
        <v>0</v>
      </c>
      <c r="E4" s="4">
        <v>0</v>
      </c>
      <c r="F4" s="4">
        <v>0</v>
      </c>
      <c r="G4" s="4">
        <v>0</v>
      </c>
      <c r="H4" s="5">
        <v>0</v>
      </c>
    </row>
    <row r="5" spans="1:8" x14ac:dyDescent="0.2">
      <c r="A5" s="6">
        <v>1</v>
      </c>
      <c r="B5" s="7" t="s">
        <v>11</v>
      </c>
      <c r="C5" s="6">
        <v>1</v>
      </c>
      <c r="D5" s="8">
        <v>4</v>
      </c>
      <c r="E5" s="8">
        <v>5</v>
      </c>
      <c r="F5" s="8">
        <v>3</v>
      </c>
      <c r="G5" s="8">
        <v>12</v>
      </c>
      <c r="H5" s="9">
        <v>660</v>
      </c>
    </row>
    <row r="6" spans="1:8" x14ac:dyDescent="0.2">
      <c r="A6" s="2">
        <v>1</v>
      </c>
      <c r="B6" s="3" t="s">
        <v>12</v>
      </c>
      <c r="C6" s="2">
        <v>3</v>
      </c>
      <c r="D6" s="4">
        <v>5</v>
      </c>
      <c r="E6" s="4">
        <v>3</v>
      </c>
      <c r="F6" s="4">
        <v>0</v>
      </c>
      <c r="G6" s="4">
        <v>8</v>
      </c>
      <c r="H6" s="5">
        <v>440</v>
      </c>
    </row>
    <row r="7" spans="1:8" x14ac:dyDescent="0.2">
      <c r="A7" s="6">
        <v>1</v>
      </c>
      <c r="B7" s="7" t="s">
        <v>13</v>
      </c>
      <c r="C7" s="6">
        <v>1</v>
      </c>
      <c r="D7" s="8">
        <v>4</v>
      </c>
      <c r="E7" s="8">
        <v>5</v>
      </c>
      <c r="F7" s="8">
        <v>3</v>
      </c>
      <c r="G7" s="8">
        <v>12</v>
      </c>
      <c r="H7" s="9">
        <v>660</v>
      </c>
    </row>
    <row r="8" spans="1:8" x14ac:dyDescent="0.2">
      <c r="A8" s="2">
        <v>1</v>
      </c>
      <c r="B8" s="3" t="s">
        <v>14</v>
      </c>
      <c r="C8" s="2">
        <v>0</v>
      </c>
      <c r="D8" s="4">
        <v>0</v>
      </c>
      <c r="E8" s="4">
        <v>0</v>
      </c>
      <c r="F8" s="4">
        <v>0</v>
      </c>
      <c r="G8" s="4">
        <v>0</v>
      </c>
      <c r="H8" s="5">
        <v>0</v>
      </c>
    </row>
    <row r="9" spans="1:8" x14ac:dyDescent="0.2">
      <c r="A9" s="6">
        <v>1</v>
      </c>
      <c r="B9" s="7" t="s">
        <v>15</v>
      </c>
      <c r="C9" s="6">
        <v>0</v>
      </c>
      <c r="D9" s="8">
        <v>0</v>
      </c>
      <c r="E9" s="8">
        <v>0</v>
      </c>
      <c r="F9" s="8">
        <v>0</v>
      </c>
      <c r="G9" s="8">
        <v>0</v>
      </c>
      <c r="H9" s="9">
        <v>0</v>
      </c>
    </row>
    <row r="10" spans="1:8" x14ac:dyDescent="0.2">
      <c r="A10" s="2">
        <v>1</v>
      </c>
      <c r="B10" s="3" t="s">
        <v>16</v>
      </c>
      <c r="C10" s="2">
        <v>163</v>
      </c>
      <c r="D10" s="4">
        <v>6.2</v>
      </c>
      <c r="E10" s="4">
        <v>7.2</v>
      </c>
      <c r="F10" s="4">
        <v>0.5</v>
      </c>
      <c r="G10" s="4">
        <v>13.9</v>
      </c>
      <c r="H10" s="5">
        <v>761.75</v>
      </c>
    </row>
    <row r="11" spans="1:8" x14ac:dyDescent="0.2">
      <c r="A11" s="6">
        <v>1</v>
      </c>
      <c r="B11" s="7" t="s">
        <v>17</v>
      </c>
      <c r="C11" s="6">
        <v>6</v>
      </c>
      <c r="D11" s="8">
        <v>3.5</v>
      </c>
      <c r="E11" s="8">
        <v>5.2</v>
      </c>
      <c r="F11" s="8">
        <v>0.2</v>
      </c>
      <c r="G11" s="8">
        <v>8.8000000000000007</v>
      </c>
      <c r="H11" s="9">
        <v>485.1</v>
      </c>
    </row>
    <row r="12" spans="1:8" x14ac:dyDescent="0.2">
      <c r="A12" s="2">
        <v>1</v>
      </c>
      <c r="B12" s="3" t="s">
        <v>18</v>
      </c>
      <c r="C12" s="2">
        <v>1</v>
      </c>
      <c r="D12" s="4">
        <v>8</v>
      </c>
      <c r="E12" s="4">
        <v>14</v>
      </c>
      <c r="F12" s="4">
        <v>0</v>
      </c>
      <c r="G12" s="4">
        <v>22</v>
      </c>
      <c r="H12" s="5">
        <v>1210</v>
      </c>
    </row>
    <row r="13" spans="1:8" x14ac:dyDescent="0.2">
      <c r="A13" s="6">
        <v>1</v>
      </c>
      <c r="B13" s="7" t="s">
        <v>19</v>
      </c>
      <c r="C13" s="6">
        <v>5</v>
      </c>
      <c r="D13" s="8">
        <v>7</v>
      </c>
      <c r="E13" s="8">
        <v>13</v>
      </c>
      <c r="F13" s="8">
        <v>1.2</v>
      </c>
      <c r="G13" s="8">
        <v>21.2</v>
      </c>
      <c r="H13" s="9">
        <v>1166</v>
      </c>
    </row>
    <row r="14" spans="1:8" x14ac:dyDescent="0.2">
      <c r="A14" s="2">
        <v>1</v>
      </c>
      <c r="B14" s="3" t="s">
        <v>20</v>
      </c>
      <c r="C14" s="2">
        <v>341</v>
      </c>
      <c r="D14" s="4">
        <v>7.3</v>
      </c>
      <c r="E14" s="4">
        <v>12.1</v>
      </c>
      <c r="F14" s="4">
        <v>0.8</v>
      </c>
      <c r="G14" s="4">
        <v>20.100000000000001</v>
      </c>
      <c r="H14" s="5">
        <v>1104.4000000000001</v>
      </c>
    </row>
    <row r="15" spans="1:8" x14ac:dyDescent="0.2">
      <c r="A15" s="6">
        <v>1</v>
      </c>
      <c r="B15" s="7" t="s">
        <v>21</v>
      </c>
      <c r="C15" s="6">
        <v>1</v>
      </c>
      <c r="D15" s="8">
        <v>0</v>
      </c>
      <c r="E15" s="8">
        <v>13</v>
      </c>
      <c r="F15" s="8">
        <v>0</v>
      </c>
      <c r="G15" s="8">
        <v>13</v>
      </c>
      <c r="H15" s="9">
        <v>715</v>
      </c>
    </row>
    <row r="16" spans="1:8" x14ac:dyDescent="0.2">
      <c r="A16" s="2">
        <v>1</v>
      </c>
      <c r="B16" s="3" t="s">
        <v>22</v>
      </c>
      <c r="C16" s="2">
        <v>1</v>
      </c>
      <c r="D16" s="4">
        <v>8</v>
      </c>
      <c r="E16" s="4">
        <v>20</v>
      </c>
      <c r="F16" s="4">
        <v>2</v>
      </c>
      <c r="G16" s="4">
        <v>30</v>
      </c>
      <c r="H16" s="5">
        <v>1650</v>
      </c>
    </row>
    <row r="17" spans="1:8" x14ac:dyDescent="0.2">
      <c r="A17" s="6">
        <v>1</v>
      </c>
      <c r="B17" s="7" t="s">
        <v>23</v>
      </c>
      <c r="C17" s="6">
        <v>1</v>
      </c>
      <c r="D17" s="8">
        <v>8</v>
      </c>
      <c r="E17" s="8">
        <v>26</v>
      </c>
      <c r="F17" s="8">
        <v>2</v>
      </c>
      <c r="G17" s="8">
        <v>36</v>
      </c>
      <c r="H17" s="9">
        <v>1980</v>
      </c>
    </row>
    <row r="18" spans="1:8" x14ac:dyDescent="0.2">
      <c r="A18" s="2">
        <v>1</v>
      </c>
      <c r="B18" s="3" t="s">
        <v>24</v>
      </c>
      <c r="C18" s="2">
        <v>10</v>
      </c>
      <c r="D18" s="4">
        <v>7.5</v>
      </c>
      <c r="E18" s="4">
        <v>14.4</v>
      </c>
      <c r="F18" s="4">
        <v>0.9</v>
      </c>
      <c r="G18" s="4">
        <v>22.8</v>
      </c>
      <c r="H18" s="5">
        <v>1254</v>
      </c>
    </row>
    <row r="19" spans="1:8" x14ac:dyDescent="0.2">
      <c r="A19" s="6">
        <v>1</v>
      </c>
      <c r="B19" s="7" t="s">
        <v>25</v>
      </c>
      <c r="C19" s="6">
        <v>2</v>
      </c>
      <c r="D19" s="8">
        <v>8.5</v>
      </c>
      <c r="E19" s="8">
        <v>20</v>
      </c>
      <c r="F19" s="8">
        <v>2</v>
      </c>
      <c r="G19" s="8">
        <v>30.5</v>
      </c>
      <c r="H19" s="9">
        <v>1677.5</v>
      </c>
    </row>
    <row r="20" spans="1:8" x14ac:dyDescent="0.2">
      <c r="A20" s="2">
        <v>1</v>
      </c>
      <c r="B20" s="3" t="s">
        <v>26</v>
      </c>
      <c r="C20" s="2">
        <v>0</v>
      </c>
      <c r="D20" s="4">
        <v>0</v>
      </c>
      <c r="E20" s="4">
        <v>0</v>
      </c>
      <c r="F20" s="4">
        <v>0</v>
      </c>
      <c r="G20" s="4">
        <v>0</v>
      </c>
      <c r="H20" s="5">
        <v>0</v>
      </c>
    </row>
    <row r="21" spans="1:8" x14ac:dyDescent="0.2">
      <c r="A21" s="6">
        <v>1</v>
      </c>
      <c r="B21" s="7" t="s">
        <v>27</v>
      </c>
      <c r="C21" s="6">
        <v>238</v>
      </c>
      <c r="D21" s="8">
        <v>5.9</v>
      </c>
      <c r="E21" s="8">
        <v>6.6</v>
      </c>
      <c r="F21" s="8">
        <v>0.3</v>
      </c>
      <c r="G21" s="8">
        <v>12.7</v>
      </c>
      <c r="H21" s="9">
        <v>700.7</v>
      </c>
    </row>
    <row r="22" spans="1:8" x14ac:dyDescent="0.2">
      <c r="A22" s="2">
        <v>1</v>
      </c>
      <c r="B22" s="3" t="s">
        <v>28</v>
      </c>
      <c r="C22" s="2">
        <v>110</v>
      </c>
      <c r="D22" s="4">
        <v>5.9</v>
      </c>
      <c r="E22" s="4">
        <v>6.7</v>
      </c>
      <c r="F22" s="4">
        <v>0.3</v>
      </c>
      <c r="G22" s="4">
        <v>12.9</v>
      </c>
      <c r="H22" s="5">
        <v>709.5</v>
      </c>
    </row>
    <row r="23" spans="1:8" x14ac:dyDescent="0.2">
      <c r="A23" s="6">
        <v>1</v>
      </c>
      <c r="B23" s="7" t="s">
        <v>29</v>
      </c>
      <c r="C23" s="6">
        <v>2</v>
      </c>
      <c r="D23" s="8">
        <v>6</v>
      </c>
      <c r="E23" s="8">
        <v>4</v>
      </c>
      <c r="F23" s="8">
        <v>1</v>
      </c>
      <c r="G23" s="8">
        <v>11</v>
      </c>
      <c r="H23" s="9">
        <v>605</v>
      </c>
    </row>
    <row r="24" spans="1:8" x14ac:dyDescent="0.2">
      <c r="A24" s="2">
        <v>1</v>
      </c>
      <c r="B24" s="3" t="s">
        <v>30</v>
      </c>
      <c r="C24" s="2">
        <v>49</v>
      </c>
      <c r="D24" s="4">
        <v>4.7</v>
      </c>
      <c r="E24" s="4">
        <v>2.2999999999999998</v>
      </c>
      <c r="F24" s="4">
        <v>0.4</v>
      </c>
      <c r="G24" s="4">
        <v>7.5</v>
      </c>
      <c r="H24" s="5">
        <v>411.95</v>
      </c>
    </row>
    <row r="25" spans="1:8" x14ac:dyDescent="0.2">
      <c r="A25" s="6">
        <v>1</v>
      </c>
      <c r="B25" s="7" t="s">
        <v>31</v>
      </c>
      <c r="C25" s="6">
        <v>237</v>
      </c>
      <c r="D25" s="8">
        <v>4.8</v>
      </c>
      <c r="E25" s="8">
        <v>2.4</v>
      </c>
      <c r="F25" s="8">
        <v>0.2</v>
      </c>
      <c r="G25" s="8">
        <v>7.4</v>
      </c>
      <c r="H25" s="9">
        <v>406.45</v>
      </c>
    </row>
    <row r="26" spans="1:8" x14ac:dyDescent="0.2">
      <c r="A26" s="2">
        <v>1</v>
      </c>
      <c r="B26" s="3" t="s">
        <v>32</v>
      </c>
      <c r="C26" s="2">
        <v>23</v>
      </c>
      <c r="D26" s="4">
        <v>4.7</v>
      </c>
      <c r="E26" s="4">
        <v>2.5</v>
      </c>
      <c r="F26" s="4">
        <v>0</v>
      </c>
      <c r="G26" s="4">
        <v>7.3</v>
      </c>
      <c r="H26" s="5">
        <v>400.95</v>
      </c>
    </row>
    <row r="27" spans="1:8" x14ac:dyDescent="0.2">
      <c r="A27" s="6">
        <v>1</v>
      </c>
      <c r="B27" s="7" t="s">
        <v>33</v>
      </c>
      <c r="C27" s="6">
        <v>1</v>
      </c>
      <c r="D27" s="8">
        <v>5</v>
      </c>
      <c r="E27" s="8">
        <v>3</v>
      </c>
      <c r="F27" s="8">
        <v>2</v>
      </c>
      <c r="G27" s="8">
        <v>10</v>
      </c>
      <c r="H27" s="9">
        <v>550</v>
      </c>
    </row>
    <row r="28" spans="1:8" x14ac:dyDescent="0.2">
      <c r="A28" s="2">
        <v>1</v>
      </c>
      <c r="B28" s="3" t="s">
        <v>34</v>
      </c>
      <c r="C28" s="2">
        <v>974</v>
      </c>
      <c r="D28" s="4">
        <v>4.9000000000000004</v>
      </c>
      <c r="E28" s="4">
        <v>3.2</v>
      </c>
      <c r="F28" s="4">
        <v>0.2</v>
      </c>
      <c r="G28" s="4">
        <v>8.3000000000000007</v>
      </c>
      <c r="H28" s="5">
        <v>458.15</v>
      </c>
    </row>
    <row r="29" spans="1:8" x14ac:dyDescent="0.2">
      <c r="A29" s="6">
        <v>1</v>
      </c>
      <c r="B29" s="7" t="s">
        <v>35</v>
      </c>
      <c r="C29" s="6">
        <v>676</v>
      </c>
      <c r="D29" s="8">
        <v>5</v>
      </c>
      <c r="E29" s="8">
        <v>3.2</v>
      </c>
      <c r="F29" s="8">
        <v>0.2</v>
      </c>
      <c r="G29" s="8">
        <v>8.4</v>
      </c>
      <c r="H29" s="9">
        <v>459.8</v>
      </c>
    </row>
    <row r="30" spans="1:8" x14ac:dyDescent="0.2">
      <c r="A30" s="2">
        <v>1</v>
      </c>
      <c r="B30" s="3" t="s">
        <v>36</v>
      </c>
      <c r="C30" s="2">
        <v>0</v>
      </c>
      <c r="D30" s="4">
        <v>0</v>
      </c>
      <c r="E30" s="4">
        <v>0</v>
      </c>
      <c r="F30" s="4">
        <v>0</v>
      </c>
      <c r="G30" s="4">
        <v>0</v>
      </c>
      <c r="H30" s="5">
        <v>0</v>
      </c>
    </row>
    <row r="31" spans="1:8" x14ac:dyDescent="0.2">
      <c r="A31" s="6">
        <v>1</v>
      </c>
      <c r="B31" s="7" t="s">
        <v>37</v>
      </c>
      <c r="C31" s="6">
        <v>5</v>
      </c>
      <c r="D31" s="8">
        <v>1.6</v>
      </c>
      <c r="E31" s="8">
        <v>3.2</v>
      </c>
      <c r="F31" s="8">
        <v>0.4</v>
      </c>
      <c r="G31" s="8">
        <v>5.2</v>
      </c>
      <c r="H31" s="9">
        <v>286</v>
      </c>
    </row>
    <row r="32" spans="1:8" x14ac:dyDescent="0.2">
      <c r="A32" s="2">
        <v>1</v>
      </c>
      <c r="B32" s="3" t="s">
        <v>38</v>
      </c>
      <c r="C32" s="2">
        <v>1</v>
      </c>
      <c r="D32" s="4">
        <v>0</v>
      </c>
      <c r="E32" s="4">
        <v>1</v>
      </c>
      <c r="F32" s="4">
        <v>0</v>
      </c>
      <c r="G32" s="4">
        <v>1</v>
      </c>
      <c r="H32" s="5">
        <v>55</v>
      </c>
    </row>
    <row r="33" spans="1:8" x14ac:dyDescent="0.2">
      <c r="A33" s="6">
        <v>1</v>
      </c>
      <c r="B33" s="7" t="s">
        <v>39</v>
      </c>
      <c r="C33" s="6">
        <v>1</v>
      </c>
      <c r="D33" s="8">
        <v>12</v>
      </c>
      <c r="E33" s="8">
        <v>7</v>
      </c>
      <c r="F33" s="8">
        <v>2</v>
      </c>
      <c r="G33" s="8">
        <v>21</v>
      </c>
      <c r="H33" s="9">
        <v>1155</v>
      </c>
    </row>
    <row r="34" spans="1:8" x14ac:dyDescent="0.2">
      <c r="A34" s="2">
        <v>1</v>
      </c>
      <c r="B34" s="3" t="s">
        <v>40</v>
      </c>
      <c r="C34" s="2">
        <v>1</v>
      </c>
      <c r="D34" s="4">
        <v>6</v>
      </c>
      <c r="E34" s="4">
        <v>6</v>
      </c>
      <c r="F34" s="4">
        <v>2</v>
      </c>
      <c r="G34" s="4">
        <v>14</v>
      </c>
      <c r="H34" s="5">
        <v>770</v>
      </c>
    </row>
    <row r="35" spans="1:8" x14ac:dyDescent="0.2">
      <c r="A35" s="6">
        <v>1</v>
      </c>
      <c r="B35" s="7" t="s">
        <v>41</v>
      </c>
      <c r="C35" s="6">
        <v>1</v>
      </c>
      <c r="D35" s="8">
        <v>0</v>
      </c>
      <c r="E35" s="8">
        <v>0</v>
      </c>
      <c r="F35" s="8">
        <v>0</v>
      </c>
      <c r="G35" s="8">
        <v>0</v>
      </c>
      <c r="H35" s="9">
        <v>0</v>
      </c>
    </row>
    <row r="36" spans="1:8" x14ac:dyDescent="0.2">
      <c r="A36" s="2">
        <v>1</v>
      </c>
      <c r="B36" s="3" t="s">
        <v>42</v>
      </c>
      <c r="C36" s="2">
        <v>0</v>
      </c>
      <c r="D36" s="4">
        <v>0</v>
      </c>
      <c r="E36" s="4">
        <v>0</v>
      </c>
      <c r="F36" s="4">
        <v>0</v>
      </c>
      <c r="G36" s="4">
        <v>0</v>
      </c>
      <c r="H36" s="5">
        <v>0</v>
      </c>
    </row>
    <row r="37" spans="1:8" x14ac:dyDescent="0.2">
      <c r="A37" s="6">
        <v>1</v>
      </c>
      <c r="B37" s="7" t="s">
        <v>43</v>
      </c>
      <c r="C37" s="6">
        <v>16</v>
      </c>
      <c r="D37" s="8">
        <v>0</v>
      </c>
      <c r="E37" s="8">
        <v>0</v>
      </c>
      <c r="F37" s="8">
        <v>0</v>
      </c>
      <c r="G37" s="8">
        <v>0</v>
      </c>
      <c r="H37" s="9">
        <v>0</v>
      </c>
    </row>
    <row r="38" spans="1:8" x14ac:dyDescent="0.2">
      <c r="A38" s="2">
        <v>1</v>
      </c>
      <c r="B38" s="3" t="s">
        <v>44</v>
      </c>
      <c r="C38" s="2">
        <v>1</v>
      </c>
      <c r="D38" s="4">
        <v>5</v>
      </c>
      <c r="E38" s="4">
        <v>4</v>
      </c>
      <c r="F38" s="4">
        <v>0</v>
      </c>
      <c r="G38" s="4">
        <v>9</v>
      </c>
      <c r="H38" s="5">
        <v>495</v>
      </c>
    </row>
    <row r="39" spans="1:8" x14ac:dyDescent="0.2">
      <c r="A39" s="6">
        <v>1</v>
      </c>
      <c r="B39" s="7" t="s">
        <v>45</v>
      </c>
      <c r="C39" s="6">
        <v>1</v>
      </c>
      <c r="D39" s="8">
        <v>4</v>
      </c>
      <c r="E39" s="8">
        <v>1</v>
      </c>
      <c r="F39" s="8">
        <v>0</v>
      </c>
      <c r="G39" s="8">
        <v>5</v>
      </c>
      <c r="H39" s="9">
        <v>275</v>
      </c>
    </row>
    <row r="40" spans="1:8" x14ac:dyDescent="0.2">
      <c r="A40" s="2">
        <v>1</v>
      </c>
      <c r="B40" s="3" t="s">
        <v>46</v>
      </c>
      <c r="C40" s="2">
        <v>25</v>
      </c>
      <c r="D40" s="4">
        <v>4.7</v>
      </c>
      <c r="E40" s="4">
        <v>4.5999999999999996</v>
      </c>
      <c r="F40" s="4">
        <v>0.4</v>
      </c>
      <c r="G40" s="4">
        <v>9.6</v>
      </c>
      <c r="H40" s="5">
        <v>528</v>
      </c>
    </row>
    <row r="41" spans="1:8" x14ac:dyDescent="0.2">
      <c r="A41" s="6">
        <v>1</v>
      </c>
      <c r="B41" s="7" t="s">
        <v>47</v>
      </c>
      <c r="C41" s="6">
        <v>23</v>
      </c>
      <c r="D41" s="8">
        <v>6.2</v>
      </c>
      <c r="E41" s="8">
        <v>8.1999999999999993</v>
      </c>
      <c r="F41" s="8">
        <v>1.3</v>
      </c>
      <c r="G41" s="8">
        <v>15.6</v>
      </c>
      <c r="H41" s="9">
        <v>860.2</v>
      </c>
    </row>
    <row r="42" spans="1:8" x14ac:dyDescent="0.2">
      <c r="A42" s="2">
        <v>1</v>
      </c>
      <c r="B42" s="3" t="s">
        <v>48</v>
      </c>
      <c r="C42" s="2">
        <v>11</v>
      </c>
      <c r="D42" s="4">
        <v>5.4</v>
      </c>
      <c r="E42" s="4">
        <v>5.9</v>
      </c>
      <c r="F42" s="4">
        <v>0.9</v>
      </c>
      <c r="G42" s="4">
        <v>12.2</v>
      </c>
      <c r="H42" s="5">
        <v>668.8</v>
      </c>
    </row>
    <row r="43" spans="1:8" x14ac:dyDescent="0.2">
      <c r="A43" s="6">
        <v>1</v>
      </c>
      <c r="B43" s="7" t="s">
        <v>49</v>
      </c>
      <c r="C43" s="6">
        <v>8</v>
      </c>
      <c r="D43" s="8">
        <v>8.3000000000000007</v>
      </c>
      <c r="E43" s="8">
        <v>12.9</v>
      </c>
      <c r="F43" s="8">
        <v>1.3</v>
      </c>
      <c r="G43" s="8">
        <v>22.4</v>
      </c>
      <c r="H43" s="9">
        <v>1230.3499999999999</v>
      </c>
    </row>
    <row r="44" spans="1:8" x14ac:dyDescent="0.2">
      <c r="A44" s="2">
        <v>1</v>
      </c>
      <c r="B44" s="3" t="s">
        <v>50</v>
      </c>
      <c r="C44" s="2">
        <v>58</v>
      </c>
      <c r="D44" s="4">
        <v>5</v>
      </c>
      <c r="E44" s="4">
        <v>5.7</v>
      </c>
      <c r="F44" s="4">
        <v>0.8</v>
      </c>
      <c r="G44" s="4">
        <v>11.5</v>
      </c>
      <c r="H44" s="5">
        <v>634.70000000000005</v>
      </c>
    </row>
    <row r="45" spans="1:8" x14ac:dyDescent="0.2">
      <c r="A45" s="6">
        <v>1</v>
      </c>
      <c r="B45" s="7" t="s">
        <v>51</v>
      </c>
      <c r="C45" s="6">
        <v>32</v>
      </c>
      <c r="D45" s="8">
        <v>5</v>
      </c>
      <c r="E45" s="8">
        <v>4.3</v>
      </c>
      <c r="F45" s="8">
        <v>1.2</v>
      </c>
      <c r="G45" s="8">
        <v>10.5</v>
      </c>
      <c r="H45" s="9">
        <v>575.29999999999995</v>
      </c>
    </row>
    <row r="46" spans="1:8" x14ac:dyDescent="0.2">
      <c r="A46" s="2">
        <v>1</v>
      </c>
      <c r="B46" s="3" t="s">
        <v>52</v>
      </c>
      <c r="C46" s="2">
        <v>5</v>
      </c>
      <c r="D46" s="4">
        <v>6</v>
      </c>
      <c r="E46" s="4">
        <v>6.2</v>
      </c>
      <c r="F46" s="4">
        <v>0.2</v>
      </c>
      <c r="G46" s="4">
        <v>12.4</v>
      </c>
      <c r="H46" s="5">
        <v>682</v>
      </c>
    </row>
    <row r="47" spans="1:8" x14ac:dyDescent="0.2">
      <c r="A47" s="6">
        <v>1</v>
      </c>
      <c r="B47" s="7" t="s">
        <v>53</v>
      </c>
      <c r="C47" s="6">
        <v>12</v>
      </c>
      <c r="D47" s="8">
        <v>8.1</v>
      </c>
      <c r="E47" s="8">
        <v>12.9</v>
      </c>
      <c r="F47" s="8">
        <v>0.7</v>
      </c>
      <c r="G47" s="8">
        <v>21.7</v>
      </c>
      <c r="H47" s="9">
        <v>1190.75</v>
      </c>
    </row>
    <row r="48" spans="1:8" x14ac:dyDescent="0.2">
      <c r="A48" s="2">
        <v>1</v>
      </c>
      <c r="B48" s="3" t="s">
        <v>54</v>
      </c>
      <c r="C48" s="2">
        <v>51</v>
      </c>
      <c r="D48" s="4">
        <v>10.9</v>
      </c>
      <c r="E48" s="4">
        <v>10.199999999999999</v>
      </c>
      <c r="F48" s="4">
        <v>0.9</v>
      </c>
      <c r="G48" s="4">
        <v>22</v>
      </c>
      <c r="H48" s="5">
        <v>1207.25</v>
      </c>
    </row>
    <row r="49" spans="1:8" x14ac:dyDescent="0.2">
      <c r="A49" s="6">
        <v>1</v>
      </c>
      <c r="B49" s="7" t="s">
        <v>55</v>
      </c>
      <c r="C49" s="6">
        <v>1</v>
      </c>
      <c r="D49" s="8">
        <v>20</v>
      </c>
      <c r="E49" s="8">
        <v>24</v>
      </c>
      <c r="F49" s="8">
        <v>0</v>
      </c>
      <c r="G49" s="8">
        <v>44</v>
      </c>
      <c r="H49" s="9">
        <v>2420</v>
      </c>
    </row>
    <row r="50" spans="1:8" x14ac:dyDescent="0.2">
      <c r="A50" s="2">
        <v>2</v>
      </c>
      <c r="B50" s="3" t="s">
        <v>56</v>
      </c>
      <c r="C50" s="2">
        <v>21</v>
      </c>
      <c r="D50" s="4">
        <v>17</v>
      </c>
      <c r="E50" s="4">
        <v>17.8</v>
      </c>
      <c r="F50" s="4">
        <v>3.3</v>
      </c>
      <c r="G50" s="4">
        <v>38</v>
      </c>
      <c r="H50" s="5">
        <v>2091.65</v>
      </c>
    </row>
    <row r="51" spans="1:8" x14ac:dyDescent="0.2">
      <c r="A51" s="6">
        <v>2</v>
      </c>
      <c r="B51" s="7" t="s">
        <v>57</v>
      </c>
      <c r="C51" s="6">
        <v>9</v>
      </c>
      <c r="D51" s="8">
        <v>5.9</v>
      </c>
      <c r="E51" s="8">
        <v>6.2</v>
      </c>
      <c r="F51" s="8">
        <v>0.6</v>
      </c>
      <c r="G51" s="8">
        <v>12.7</v>
      </c>
      <c r="H51" s="9">
        <v>695.75</v>
      </c>
    </row>
    <row r="52" spans="1:8" x14ac:dyDescent="0.2">
      <c r="A52" s="2">
        <v>2</v>
      </c>
      <c r="B52" s="3" t="s">
        <v>58</v>
      </c>
      <c r="C52" s="2">
        <v>1</v>
      </c>
      <c r="D52" s="4">
        <v>5</v>
      </c>
      <c r="E52" s="4">
        <v>7</v>
      </c>
      <c r="F52" s="4">
        <v>0</v>
      </c>
      <c r="G52" s="4">
        <v>12</v>
      </c>
      <c r="H52" s="5">
        <v>660</v>
      </c>
    </row>
    <row r="53" spans="1:8" x14ac:dyDescent="0.2">
      <c r="A53" s="6">
        <v>2</v>
      </c>
      <c r="B53" s="7" t="s">
        <v>59</v>
      </c>
      <c r="C53" s="6">
        <v>726</v>
      </c>
      <c r="D53" s="8">
        <v>4.0999999999999996</v>
      </c>
      <c r="E53" s="8">
        <v>2.4</v>
      </c>
      <c r="F53" s="8">
        <v>0.5</v>
      </c>
      <c r="G53" s="8">
        <v>7</v>
      </c>
      <c r="H53" s="9">
        <v>386.1</v>
      </c>
    </row>
    <row r="54" spans="1:8" x14ac:dyDescent="0.2">
      <c r="A54" s="2">
        <v>2</v>
      </c>
      <c r="B54" s="3" t="s">
        <v>60</v>
      </c>
      <c r="C54" s="2">
        <v>10</v>
      </c>
      <c r="D54" s="4">
        <v>5.5</v>
      </c>
      <c r="E54" s="4">
        <v>4</v>
      </c>
      <c r="F54" s="4">
        <v>0.3</v>
      </c>
      <c r="G54" s="4">
        <v>9.8000000000000007</v>
      </c>
      <c r="H54" s="5">
        <v>539</v>
      </c>
    </row>
    <row r="55" spans="1:8" x14ac:dyDescent="0.2">
      <c r="A55" s="6">
        <v>2</v>
      </c>
      <c r="B55" s="7" t="s">
        <v>61</v>
      </c>
      <c r="C55" s="6">
        <v>7</v>
      </c>
      <c r="D55" s="8">
        <v>6</v>
      </c>
      <c r="E55" s="8">
        <v>6.7</v>
      </c>
      <c r="F55" s="8">
        <v>0.1</v>
      </c>
      <c r="G55" s="8">
        <v>12.9</v>
      </c>
      <c r="H55" s="9">
        <v>706.75</v>
      </c>
    </row>
    <row r="56" spans="1:8" x14ac:dyDescent="0.2">
      <c r="A56" s="2">
        <v>2</v>
      </c>
      <c r="B56" s="3" t="s">
        <v>62</v>
      </c>
      <c r="C56" s="2">
        <v>163</v>
      </c>
      <c r="D56" s="4">
        <v>4</v>
      </c>
      <c r="E56" s="4">
        <v>2.5</v>
      </c>
      <c r="F56" s="4">
        <v>0.5</v>
      </c>
      <c r="G56" s="4">
        <v>7</v>
      </c>
      <c r="H56" s="5">
        <v>386.1</v>
      </c>
    </row>
    <row r="57" spans="1:8" x14ac:dyDescent="0.2">
      <c r="A57" s="6">
        <v>2</v>
      </c>
      <c r="B57" s="7" t="s">
        <v>63</v>
      </c>
      <c r="C57" s="6">
        <v>9</v>
      </c>
      <c r="D57" s="8">
        <v>5</v>
      </c>
      <c r="E57" s="8">
        <v>5.6</v>
      </c>
      <c r="F57" s="8">
        <v>1.2</v>
      </c>
      <c r="G57" s="8">
        <v>11.8</v>
      </c>
      <c r="H57" s="9">
        <v>647.35</v>
      </c>
    </row>
    <row r="58" spans="1:8" x14ac:dyDescent="0.2">
      <c r="A58" s="2">
        <v>2</v>
      </c>
      <c r="B58" s="3" t="s">
        <v>64</v>
      </c>
      <c r="C58" s="2">
        <v>8</v>
      </c>
      <c r="D58" s="4">
        <v>21</v>
      </c>
      <c r="E58" s="4">
        <v>23.3</v>
      </c>
      <c r="F58" s="4">
        <v>3.8</v>
      </c>
      <c r="G58" s="4">
        <v>48</v>
      </c>
      <c r="H58" s="5">
        <v>2640</v>
      </c>
    </row>
    <row r="59" spans="1:8" x14ac:dyDescent="0.2">
      <c r="A59" s="6">
        <v>2</v>
      </c>
      <c r="B59" s="7" t="s">
        <v>65</v>
      </c>
      <c r="C59" s="6">
        <v>1</v>
      </c>
      <c r="D59" s="8">
        <v>0</v>
      </c>
      <c r="E59" s="8">
        <v>1</v>
      </c>
      <c r="F59" s="8">
        <v>0</v>
      </c>
      <c r="G59" s="8">
        <v>1</v>
      </c>
      <c r="H59" s="9">
        <v>55</v>
      </c>
    </row>
    <row r="60" spans="1:8" x14ac:dyDescent="0.2">
      <c r="A60" s="2">
        <v>2</v>
      </c>
      <c r="B60" s="3" t="s">
        <v>66</v>
      </c>
      <c r="C60" s="2">
        <v>2</v>
      </c>
      <c r="D60" s="4">
        <v>2.5</v>
      </c>
      <c r="E60" s="4">
        <v>2</v>
      </c>
      <c r="F60" s="4">
        <v>0</v>
      </c>
      <c r="G60" s="4">
        <v>4.5</v>
      </c>
      <c r="H60" s="5">
        <v>247.5</v>
      </c>
    </row>
    <row r="61" spans="1:8" x14ac:dyDescent="0.2">
      <c r="A61" s="6">
        <v>2</v>
      </c>
      <c r="B61" s="7" t="s">
        <v>67</v>
      </c>
      <c r="C61" s="6">
        <v>8</v>
      </c>
      <c r="D61" s="8">
        <v>4</v>
      </c>
      <c r="E61" s="8">
        <v>2.4</v>
      </c>
      <c r="F61" s="8">
        <v>0.4</v>
      </c>
      <c r="G61" s="8">
        <v>6.7</v>
      </c>
      <c r="H61" s="9">
        <v>370.7</v>
      </c>
    </row>
    <row r="62" spans="1:8" x14ac:dyDescent="0.2">
      <c r="A62" s="2">
        <v>2</v>
      </c>
      <c r="B62" s="3" t="s">
        <v>68</v>
      </c>
      <c r="C62" s="2">
        <v>1</v>
      </c>
      <c r="D62" s="4">
        <v>5</v>
      </c>
      <c r="E62" s="4">
        <v>9</v>
      </c>
      <c r="F62" s="4">
        <v>0</v>
      </c>
      <c r="G62" s="4">
        <v>14</v>
      </c>
      <c r="H62" s="5">
        <v>770</v>
      </c>
    </row>
    <row r="63" spans="1:8" x14ac:dyDescent="0.2">
      <c r="A63" s="6">
        <v>2</v>
      </c>
      <c r="B63" s="7" t="s">
        <v>69</v>
      </c>
      <c r="C63" s="6">
        <v>0</v>
      </c>
      <c r="D63" s="8">
        <v>0</v>
      </c>
      <c r="E63" s="8">
        <v>0</v>
      </c>
      <c r="F63" s="8">
        <v>0</v>
      </c>
      <c r="G63" s="8">
        <v>0</v>
      </c>
      <c r="H63" s="9">
        <v>0</v>
      </c>
    </row>
    <row r="64" spans="1:8" x14ac:dyDescent="0.2">
      <c r="A64" s="2">
        <v>2</v>
      </c>
      <c r="B64" s="3" t="s">
        <v>70</v>
      </c>
      <c r="C64" s="2">
        <v>6</v>
      </c>
      <c r="D64" s="4">
        <v>2.7</v>
      </c>
      <c r="E64" s="4">
        <v>2.5</v>
      </c>
      <c r="F64" s="4">
        <v>0.2</v>
      </c>
      <c r="G64" s="4">
        <v>5.3</v>
      </c>
      <c r="H64" s="5">
        <v>292.60000000000002</v>
      </c>
    </row>
    <row r="65" spans="1:8" x14ac:dyDescent="0.2">
      <c r="A65" s="6">
        <v>2</v>
      </c>
      <c r="B65" s="7" t="s">
        <v>71</v>
      </c>
      <c r="C65" s="6">
        <v>10</v>
      </c>
      <c r="D65" s="8">
        <v>5.8</v>
      </c>
      <c r="E65" s="8">
        <v>10.7</v>
      </c>
      <c r="F65" s="8">
        <v>0.7</v>
      </c>
      <c r="G65" s="8">
        <v>17.2</v>
      </c>
      <c r="H65" s="9">
        <v>946</v>
      </c>
    </row>
    <row r="66" spans="1:8" x14ac:dyDescent="0.2">
      <c r="A66" s="2">
        <v>2</v>
      </c>
      <c r="B66" s="3" t="s">
        <v>72</v>
      </c>
      <c r="C66" s="2">
        <v>317</v>
      </c>
      <c r="D66" s="4">
        <v>4.5</v>
      </c>
      <c r="E66" s="4">
        <v>6.5</v>
      </c>
      <c r="F66" s="4">
        <v>0.8</v>
      </c>
      <c r="G66" s="4">
        <v>11.8</v>
      </c>
      <c r="H66" s="5">
        <v>646.79999999999995</v>
      </c>
    </row>
    <row r="67" spans="1:8" x14ac:dyDescent="0.2">
      <c r="A67" s="6">
        <v>2</v>
      </c>
      <c r="B67" s="7" t="s">
        <v>73</v>
      </c>
      <c r="C67" s="6">
        <v>2</v>
      </c>
      <c r="D67" s="8">
        <v>7</v>
      </c>
      <c r="E67" s="8">
        <v>29</v>
      </c>
      <c r="F67" s="8">
        <v>2</v>
      </c>
      <c r="G67" s="8">
        <v>38</v>
      </c>
      <c r="H67" s="9">
        <v>2090</v>
      </c>
    </row>
    <row r="68" spans="1:8" x14ac:dyDescent="0.2">
      <c r="A68" s="2">
        <v>2</v>
      </c>
      <c r="B68" s="3" t="s">
        <v>74</v>
      </c>
      <c r="C68" s="2">
        <v>4</v>
      </c>
      <c r="D68" s="4">
        <v>6</v>
      </c>
      <c r="E68" s="4">
        <v>17.3</v>
      </c>
      <c r="F68" s="4">
        <v>1.5</v>
      </c>
      <c r="G68" s="4">
        <v>24.8</v>
      </c>
      <c r="H68" s="5">
        <v>1361.25</v>
      </c>
    </row>
    <row r="69" spans="1:8" x14ac:dyDescent="0.2">
      <c r="A69" s="6">
        <v>2</v>
      </c>
      <c r="B69" s="7" t="s">
        <v>75</v>
      </c>
      <c r="C69" s="6">
        <v>6</v>
      </c>
      <c r="D69" s="8">
        <v>5.7</v>
      </c>
      <c r="E69" s="8">
        <v>14.8</v>
      </c>
      <c r="F69" s="8">
        <v>1.3</v>
      </c>
      <c r="G69" s="8">
        <v>21.8</v>
      </c>
      <c r="H69" s="9">
        <v>1200.0999999999999</v>
      </c>
    </row>
    <row r="70" spans="1:8" x14ac:dyDescent="0.2">
      <c r="A70" s="2">
        <v>2</v>
      </c>
      <c r="B70" s="3" t="s">
        <v>76</v>
      </c>
      <c r="C70" s="2">
        <v>0</v>
      </c>
      <c r="D70" s="4">
        <v>0</v>
      </c>
      <c r="E70" s="4">
        <v>0</v>
      </c>
      <c r="F70" s="4">
        <v>0</v>
      </c>
      <c r="G70" s="4">
        <v>0</v>
      </c>
      <c r="H70" s="5">
        <v>0</v>
      </c>
    </row>
    <row r="71" spans="1:8" x14ac:dyDescent="0.2">
      <c r="A71" s="6">
        <v>2</v>
      </c>
      <c r="B71" s="7" t="s">
        <v>77</v>
      </c>
      <c r="C71" s="6">
        <v>1103</v>
      </c>
      <c r="D71" s="8">
        <v>5.7</v>
      </c>
      <c r="E71" s="8">
        <v>14.4</v>
      </c>
      <c r="F71" s="8">
        <v>1</v>
      </c>
      <c r="G71" s="8">
        <v>21</v>
      </c>
      <c r="H71" s="9">
        <v>1154.45</v>
      </c>
    </row>
    <row r="72" spans="1:8" x14ac:dyDescent="0.2">
      <c r="A72" s="2">
        <v>2</v>
      </c>
      <c r="B72" s="3" t="s">
        <v>78</v>
      </c>
      <c r="C72" s="2">
        <v>3</v>
      </c>
      <c r="D72" s="4">
        <v>5.7</v>
      </c>
      <c r="E72" s="4">
        <v>14.3</v>
      </c>
      <c r="F72" s="4">
        <v>0</v>
      </c>
      <c r="G72" s="4">
        <v>20</v>
      </c>
      <c r="H72" s="5">
        <v>1099.45</v>
      </c>
    </row>
    <row r="73" spans="1:8" x14ac:dyDescent="0.2">
      <c r="A73" s="6">
        <v>2</v>
      </c>
      <c r="B73" s="7" t="s">
        <v>79</v>
      </c>
      <c r="C73" s="6">
        <v>18</v>
      </c>
      <c r="D73" s="8">
        <v>6.1</v>
      </c>
      <c r="E73" s="8">
        <v>17.7</v>
      </c>
      <c r="F73" s="8">
        <v>0.1</v>
      </c>
      <c r="G73" s="8">
        <v>23.9</v>
      </c>
      <c r="H73" s="9">
        <v>1313.4</v>
      </c>
    </row>
    <row r="74" spans="1:8" x14ac:dyDescent="0.2">
      <c r="A74" s="2">
        <v>2</v>
      </c>
      <c r="B74" s="3" t="s">
        <v>80</v>
      </c>
      <c r="C74" s="2">
        <v>15</v>
      </c>
      <c r="D74" s="4">
        <v>8.3000000000000007</v>
      </c>
      <c r="E74" s="4">
        <v>22.3</v>
      </c>
      <c r="F74" s="4">
        <v>1.3</v>
      </c>
      <c r="G74" s="4">
        <v>31.9</v>
      </c>
      <c r="H74" s="5">
        <v>1751.75</v>
      </c>
    </row>
    <row r="75" spans="1:8" x14ac:dyDescent="0.2">
      <c r="A75" s="6">
        <v>2</v>
      </c>
      <c r="B75" s="7" t="s">
        <v>81</v>
      </c>
      <c r="C75" s="6">
        <v>28</v>
      </c>
      <c r="D75" s="8">
        <v>5.7</v>
      </c>
      <c r="E75" s="8">
        <v>10.9</v>
      </c>
      <c r="F75" s="8">
        <v>0.5</v>
      </c>
      <c r="G75" s="8">
        <v>17.100000000000001</v>
      </c>
      <c r="H75" s="9">
        <v>939.95</v>
      </c>
    </row>
    <row r="76" spans="1:8" x14ac:dyDescent="0.2">
      <c r="A76" s="2">
        <v>2</v>
      </c>
      <c r="B76" s="3" t="s">
        <v>82</v>
      </c>
      <c r="C76" s="2">
        <v>1</v>
      </c>
      <c r="D76" s="4">
        <v>6</v>
      </c>
      <c r="E76" s="4">
        <v>11</v>
      </c>
      <c r="F76" s="4">
        <v>3</v>
      </c>
      <c r="G76" s="4">
        <v>20</v>
      </c>
      <c r="H76" s="5">
        <v>1100</v>
      </c>
    </row>
    <row r="77" spans="1:8" x14ac:dyDescent="0.2">
      <c r="A77" s="6">
        <v>2</v>
      </c>
      <c r="B77" s="7" t="s">
        <v>83</v>
      </c>
      <c r="C77" s="6">
        <v>8</v>
      </c>
      <c r="D77" s="8">
        <v>6.8</v>
      </c>
      <c r="E77" s="8">
        <v>15.5</v>
      </c>
      <c r="F77" s="8">
        <v>1.8</v>
      </c>
      <c r="G77" s="8">
        <v>24</v>
      </c>
      <c r="H77" s="9">
        <v>1320</v>
      </c>
    </row>
    <row r="78" spans="1:8" x14ac:dyDescent="0.2">
      <c r="A78" s="2">
        <v>2</v>
      </c>
      <c r="B78" s="3" t="s">
        <v>84</v>
      </c>
      <c r="C78" s="2">
        <v>39</v>
      </c>
      <c r="D78" s="4">
        <v>3.6</v>
      </c>
      <c r="E78" s="4">
        <v>3.8</v>
      </c>
      <c r="F78" s="4">
        <v>0.9</v>
      </c>
      <c r="G78" s="4">
        <v>8.4</v>
      </c>
      <c r="H78" s="5">
        <v>460.35</v>
      </c>
    </row>
    <row r="79" spans="1:8" x14ac:dyDescent="0.2">
      <c r="A79" s="6">
        <v>2</v>
      </c>
      <c r="B79" s="7" t="s">
        <v>85</v>
      </c>
      <c r="C79" s="6">
        <v>211</v>
      </c>
      <c r="D79" s="8">
        <v>1.4</v>
      </c>
      <c r="E79" s="8">
        <v>1.4</v>
      </c>
      <c r="F79" s="8">
        <v>0.4</v>
      </c>
      <c r="G79" s="8">
        <v>3.1</v>
      </c>
      <c r="H79" s="9">
        <v>171.6</v>
      </c>
    </row>
    <row r="80" spans="1:8" x14ac:dyDescent="0.2">
      <c r="A80" s="2">
        <v>2</v>
      </c>
      <c r="B80" s="3" t="s">
        <v>86</v>
      </c>
      <c r="C80" s="2">
        <v>333</v>
      </c>
      <c r="D80" s="4">
        <v>2.1</v>
      </c>
      <c r="E80" s="4">
        <v>1.8</v>
      </c>
      <c r="F80" s="4">
        <v>0.4</v>
      </c>
      <c r="G80" s="4">
        <v>4.4000000000000004</v>
      </c>
      <c r="H80" s="5">
        <v>239.8</v>
      </c>
    </row>
    <row r="81" spans="1:8" x14ac:dyDescent="0.2">
      <c r="A81" s="6">
        <v>2</v>
      </c>
      <c r="B81" s="7" t="s">
        <v>87</v>
      </c>
      <c r="C81" s="6">
        <v>86</v>
      </c>
      <c r="D81" s="8">
        <v>6.4</v>
      </c>
      <c r="E81" s="8">
        <v>21.3</v>
      </c>
      <c r="F81" s="8">
        <v>1.2</v>
      </c>
      <c r="G81" s="8">
        <v>28.8</v>
      </c>
      <c r="H81" s="9">
        <v>1584.55</v>
      </c>
    </row>
    <row r="82" spans="1:8" x14ac:dyDescent="0.2">
      <c r="A82" s="2">
        <v>2</v>
      </c>
      <c r="B82" s="3" t="s">
        <v>88</v>
      </c>
      <c r="C82" s="2">
        <v>90</v>
      </c>
      <c r="D82" s="4">
        <v>6.1</v>
      </c>
      <c r="E82" s="4">
        <v>8</v>
      </c>
      <c r="F82" s="4">
        <v>0.3</v>
      </c>
      <c r="G82" s="4">
        <v>14.4</v>
      </c>
      <c r="H82" s="5">
        <v>789.8</v>
      </c>
    </row>
    <row r="83" spans="1:8" x14ac:dyDescent="0.2">
      <c r="A83" s="6">
        <v>2</v>
      </c>
      <c r="B83" s="7" t="s">
        <v>89</v>
      </c>
      <c r="C83" s="6">
        <v>15</v>
      </c>
      <c r="D83" s="8">
        <v>1.8</v>
      </c>
      <c r="E83" s="8">
        <v>2</v>
      </c>
      <c r="F83" s="8">
        <v>0.5</v>
      </c>
      <c r="G83" s="8">
        <v>4.3</v>
      </c>
      <c r="H83" s="9">
        <v>234.3</v>
      </c>
    </row>
    <row r="84" spans="1:8" x14ac:dyDescent="0.2">
      <c r="A84" s="2">
        <v>2</v>
      </c>
      <c r="B84" s="3" t="s">
        <v>90</v>
      </c>
      <c r="C84" s="2">
        <v>132</v>
      </c>
      <c r="D84" s="4">
        <v>5.2</v>
      </c>
      <c r="E84" s="4">
        <v>3.7</v>
      </c>
      <c r="F84" s="4">
        <v>0.2</v>
      </c>
      <c r="G84" s="4">
        <v>9.1</v>
      </c>
      <c r="H84" s="5">
        <v>498.85</v>
      </c>
    </row>
    <row r="85" spans="1:8" x14ac:dyDescent="0.2">
      <c r="A85" s="6">
        <v>2</v>
      </c>
      <c r="B85" s="7" t="s">
        <v>91</v>
      </c>
      <c r="C85" s="6">
        <v>1</v>
      </c>
      <c r="D85" s="8">
        <v>6</v>
      </c>
      <c r="E85" s="8">
        <v>8</v>
      </c>
      <c r="F85" s="8">
        <v>0</v>
      </c>
      <c r="G85" s="8">
        <v>14</v>
      </c>
      <c r="H85" s="9">
        <v>770</v>
      </c>
    </row>
    <row r="86" spans="1:8" x14ac:dyDescent="0.2">
      <c r="A86" s="2">
        <v>2</v>
      </c>
      <c r="B86" s="3" t="s">
        <v>92</v>
      </c>
      <c r="C86" s="2">
        <v>2</v>
      </c>
      <c r="D86" s="4">
        <v>6</v>
      </c>
      <c r="E86" s="4">
        <v>5.5</v>
      </c>
      <c r="F86" s="4">
        <v>1</v>
      </c>
      <c r="G86" s="4">
        <v>12.5</v>
      </c>
      <c r="H86" s="5">
        <v>687.5</v>
      </c>
    </row>
    <row r="87" spans="1:8" x14ac:dyDescent="0.2">
      <c r="A87" s="6">
        <v>2</v>
      </c>
      <c r="B87" s="7" t="s">
        <v>93</v>
      </c>
      <c r="C87" s="6">
        <v>1</v>
      </c>
      <c r="D87" s="8">
        <v>6</v>
      </c>
      <c r="E87" s="8">
        <v>6</v>
      </c>
      <c r="F87" s="8">
        <v>2</v>
      </c>
      <c r="G87" s="8">
        <v>14</v>
      </c>
      <c r="H87" s="9">
        <v>770</v>
      </c>
    </row>
    <row r="88" spans="1:8" x14ac:dyDescent="0.2">
      <c r="A88" s="2">
        <v>2</v>
      </c>
      <c r="B88" s="3" t="s">
        <v>94</v>
      </c>
      <c r="C88" s="2">
        <v>0</v>
      </c>
      <c r="D88" s="4">
        <v>0</v>
      </c>
      <c r="E88" s="4">
        <v>0</v>
      </c>
      <c r="F88" s="4">
        <v>0</v>
      </c>
      <c r="G88" s="4">
        <v>0</v>
      </c>
      <c r="H88" s="5">
        <v>0</v>
      </c>
    </row>
    <row r="89" spans="1:8" x14ac:dyDescent="0.2">
      <c r="A89" s="6">
        <v>2</v>
      </c>
      <c r="B89" s="7" t="s">
        <v>95</v>
      </c>
      <c r="C89" s="6">
        <v>59</v>
      </c>
      <c r="D89" s="8">
        <v>3.8</v>
      </c>
      <c r="E89" s="8">
        <v>1.7</v>
      </c>
      <c r="F89" s="8">
        <v>0.4</v>
      </c>
      <c r="G89" s="8">
        <v>5.9</v>
      </c>
      <c r="H89" s="9">
        <v>323.39999999999998</v>
      </c>
    </row>
    <row r="90" spans="1:8" x14ac:dyDescent="0.2">
      <c r="A90" s="2">
        <v>2</v>
      </c>
      <c r="B90" s="3" t="s">
        <v>96</v>
      </c>
      <c r="C90" s="2">
        <v>186</v>
      </c>
      <c r="D90" s="4">
        <v>4</v>
      </c>
      <c r="E90" s="4">
        <v>1.5</v>
      </c>
      <c r="F90" s="4">
        <v>0.6</v>
      </c>
      <c r="G90" s="4">
        <v>6.1</v>
      </c>
      <c r="H90" s="5">
        <v>332.75</v>
      </c>
    </row>
    <row r="91" spans="1:8" x14ac:dyDescent="0.2">
      <c r="A91" s="6">
        <v>2</v>
      </c>
      <c r="B91" s="7" t="s">
        <v>97</v>
      </c>
      <c r="C91" s="6">
        <v>13</v>
      </c>
      <c r="D91" s="8">
        <v>5.6</v>
      </c>
      <c r="E91" s="8">
        <v>12.2</v>
      </c>
      <c r="F91" s="8">
        <v>1.3</v>
      </c>
      <c r="G91" s="8">
        <v>19.100000000000001</v>
      </c>
      <c r="H91" s="9">
        <v>1048.3</v>
      </c>
    </row>
    <row r="92" spans="1:8" x14ac:dyDescent="0.2">
      <c r="A92" s="2">
        <v>2</v>
      </c>
      <c r="B92" s="3" t="s">
        <v>98</v>
      </c>
      <c r="C92" s="2">
        <v>2</v>
      </c>
      <c r="D92" s="4">
        <v>5</v>
      </c>
      <c r="E92" s="4">
        <v>8.5</v>
      </c>
      <c r="F92" s="4">
        <v>2</v>
      </c>
      <c r="G92" s="4">
        <v>15.5</v>
      </c>
      <c r="H92" s="5">
        <v>852.5</v>
      </c>
    </row>
    <row r="93" spans="1:8" x14ac:dyDescent="0.2">
      <c r="A93" s="6">
        <v>2</v>
      </c>
      <c r="B93" s="7" t="s">
        <v>99</v>
      </c>
      <c r="C93" s="6">
        <v>1</v>
      </c>
      <c r="D93" s="8">
        <v>7</v>
      </c>
      <c r="E93" s="8">
        <v>8</v>
      </c>
      <c r="F93" s="8">
        <v>2</v>
      </c>
      <c r="G93" s="8">
        <v>17</v>
      </c>
      <c r="H93" s="9">
        <v>935</v>
      </c>
    </row>
    <row r="94" spans="1:8" x14ac:dyDescent="0.2">
      <c r="A94" s="2">
        <v>2</v>
      </c>
      <c r="B94" s="3" t="s">
        <v>100</v>
      </c>
      <c r="C94" s="2">
        <v>122</v>
      </c>
      <c r="D94" s="4">
        <v>5.0999999999999996</v>
      </c>
      <c r="E94" s="4">
        <v>3.5</v>
      </c>
      <c r="F94" s="4">
        <v>0.1</v>
      </c>
      <c r="G94" s="4">
        <v>8.8000000000000007</v>
      </c>
      <c r="H94" s="5">
        <v>482.35</v>
      </c>
    </row>
    <row r="95" spans="1:8" x14ac:dyDescent="0.2">
      <c r="A95" s="6">
        <v>2</v>
      </c>
      <c r="B95" s="7" t="s">
        <v>101</v>
      </c>
      <c r="C95" s="6">
        <v>1</v>
      </c>
      <c r="D95" s="8">
        <v>7</v>
      </c>
      <c r="E95" s="8">
        <v>6</v>
      </c>
      <c r="F95" s="8">
        <v>0</v>
      </c>
      <c r="G95" s="8">
        <v>13</v>
      </c>
      <c r="H95" s="9">
        <v>715</v>
      </c>
    </row>
    <row r="96" spans="1:8" x14ac:dyDescent="0.2">
      <c r="A96" s="2">
        <v>2</v>
      </c>
      <c r="B96" s="3" t="s">
        <v>70</v>
      </c>
      <c r="C96" s="2">
        <v>5</v>
      </c>
      <c r="D96" s="4">
        <v>1.6</v>
      </c>
      <c r="E96" s="4">
        <v>2.4</v>
      </c>
      <c r="F96" s="4">
        <v>0</v>
      </c>
      <c r="G96" s="4">
        <v>4</v>
      </c>
      <c r="H96" s="5">
        <v>220</v>
      </c>
    </row>
    <row r="97" spans="1:8" x14ac:dyDescent="0.2">
      <c r="A97" s="6">
        <v>2</v>
      </c>
      <c r="B97" s="7" t="s">
        <v>102</v>
      </c>
      <c r="C97" s="6">
        <v>71</v>
      </c>
      <c r="D97" s="8">
        <v>5.6</v>
      </c>
      <c r="E97" s="8">
        <v>16.2</v>
      </c>
      <c r="F97" s="8">
        <v>1.8</v>
      </c>
      <c r="G97" s="8">
        <v>23.7</v>
      </c>
      <c r="H97" s="9">
        <v>1301.3</v>
      </c>
    </row>
    <row r="98" spans="1:8" x14ac:dyDescent="0.2">
      <c r="A98" s="2">
        <v>2</v>
      </c>
      <c r="B98" s="3" t="s">
        <v>102</v>
      </c>
      <c r="C98" s="2">
        <v>71</v>
      </c>
      <c r="D98" s="4">
        <v>5.6</v>
      </c>
      <c r="E98" s="4">
        <v>16.2</v>
      </c>
      <c r="F98" s="4">
        <v>1.8</v>
      </c>
      <c r="G98" s="4">
        <v>23.7</v>
      </c>
      <c r="H98" s="5">
        <v>1301.3</v>
      </c>
    </row>
    <row r="99" spans="1:8" x14ac:dyDescent="0.2">
      <c r="A99" s="6">
        <v>2</v>
      </c>
      <c r="B99" s="7" t="s">
        <v>103</v>
      </c>
      <c r="C99" s="6">
        <v>47</v>
      </c>
      <c r="D99" s="8">
        <v>6.1</v>
      </c>
      <c r="E99" s="8">
        <v>14.1</v>
      </c>
      <c r="F99" s="8">
        <v>2.1</v>
      </c>
      <c r="G99" s="8">
        <v>22.3</v>
      </c>
      <c r="H99" s="9">
        <v>1228.7</v>
      </c>
    </row>
    <row r="100" spans="1:8" x14ac:dyDescent="0.2">
      <c r="A100" s="2">
        <v>2</v>
      </c>
      <c r="B100" s="3" t="s">
        <v>104</v>
      </c>
      <c r="C100" s="2">
        <v>21</v>
      </c>
      <c r="D100" s="4">
        <v>6.4</v>
      </c>
      <c r="E100" s="4">
        <v>14</v>
      </c>
      <c r="F100" s="4">
        <v>2</v>
      </c>
      <c r="G100" s="4">
        <v>22.4</v>
      </c>
      <c r="H100" s="5">
        <v>1233.0999999999999</v>
      </c>
    </row>
    <row r="101" spans="1:8" x14ac:dyDescent="0.2">
      <c r="A101" s="6">
        <v>2</v>
      </c>
      <c r="B101" s="7" t="s">
        <v>105</v>
      </c>
      <c r="C101" s="6">
        <v>23</v>
      </c>
      <c r="D101" s="8">
        <v>6</v>
      </c>
      <c r="E101" s="8">
        <v>15</v>
      </c>
      <c r="F101" s="8">
        <v>2.1</v>
      </c>
      <c r="G101" s="8">
        <v>23.2</v>
      </c>
      <c r="H101" s="9">
        <v>1276.55</v>
      </c>
    </row>
    <row r="102" spans="1:8" x14ac:dyDescent="0.2">
      <c r="A102" s="2">
        <v>3</v>
      </c>
      <c r="B102" s="3" t="s">
        <v>106</v>
      </c>
      <c r="C102" s="2">
        <v>11</v>
      </c>
      <c r="D102" s="4">
        <v>5.8</v>
      </c>
      <c r="E102" s="4">
        <v>13.4</v>
      </c>
      <c r="F102" s="4">
        <v>1.6</v>
      </c>
      <c r="G102" s="4">
        <v>20.8</v>
      </c>
      <c r="H102" s="5">
        <v>1144</v>
      </c>
    </row>
    <row r="103" spans="1:8" x14ac:dyDescent="0.2">
      <c r="A103" s="6">
        <v>3</v>
      </c>
      <c r="B103" s="7" t="s">
        <v>107</v>
      </c>
      <c r="C103" s="6">
        <v>1</v>
      </c>
      <c r="D103" s="8">
        <v>6</v>
      </c>
      <c r="E103" s="8">
        <v>31</v>
      </c>
      <c r="F103" s="8">
        <v>1</v>
      </c>
      <c r="G103" s="8">
        <v>38</v>
      </c>
      <c r="H103" s="9">
        <v>2090</v>
      </c>
    </row>
    <row r="104" spans="1:8" x14ac:dyDescent="0.2">
      <c r="A104" s="2">
        <v>3</v>
      </c>
      <c r="B104" s="3" t="s">
        <v>108</v>
      </c>
      <c r="C104" s="2">
        <v>766</v>
      </c>
      <c r="D104" s="4">
        <v>4</v>
      </c>
      <c r="E104" s="4">
        <v>1.3</v>
      </c>
      <c r="F104" s="4">
        <v>0.3</v>
      </c>
      <c r="G104" s="4">
        <v>5.6</v>
      </c>
      <c r="H104" s="5">
        <v>307.45</v>
      </c>
    </row>
    <row r="105" spans="1:8" x14ac:dyDescent="0.2">
      <c r="A105" s="6">
        <v>3</v>
      </c>
      <c r="B105" s="7" t="s">
        <v>109</v>
      </c>
      <c r="C105" s="6">
        <v>5</v>
      </c>
      <c r="D105" s="8">
        <v>4</v>
      </c>
      <c r="E105" s="8">
        <v>1.4</v>
      </c>
      <c r="F105" s="8">
        <v>0.4</v>
      </c>
      <c r="G105" s="8">
        <v>5.8</v>
      </c>
      <c r="H105" s="9">
        <v>319</v>
      </c>
    </row>
    <row r="106" spans="1:8" x14ac:dyDescent="0.2">
      <c r="A106" s="2">
        <v>3</v>
      </c>
      <c r="B106" s="3" t="s">
        <v>110</v>
      </c>
      <c r="C106" s="2">
        <v>69</v>
      </c>
      <c r="D106" s="4">
        <v>4.8</v>
      </c>
      <c r="E106" s="4">
        <v>7.6</v>
      </c>
      <c r="F106" s="4">
        <v>0.3</v>
      </c>
      <c r="G106" s="4">
        <v>12.7</v>
      </c>
      <c r="H106" s="5">
        <v>700.7</v>
      </c>
    </row>
    <row r="107" spans="1:8" x14ac:dyDescent="0.2">
      <c r="A107" s="6">
        <v>3</v>
      </c>
      <c r="B107" s="7" t="s">
        <v>111</v>
      </c>
      <c r="C107" s="6">
        <v>234</v>
      </c>
      <c r="D107" s="8">
        <v>2.5</v>
      </c>
      <c r="E107" s="8">
        <v>2.4</v>
      </c>
      <c r="F107" s="8">
        <v>0.1</v>
      </c>
      <c r="G107" s="8">
        <v>5</v>
      </c>
      <c r="H107" s="9">
        <v>274.45</v>
      </c>
    </row>
    <row r="108" spans="1:8" x14ac:dyDescent="0.2">
      <c r="A108" s="2">
        <v>3</v>
      </c>
      <c r="B108" s="3" t="s">
        <v>112</v>
      </c>
      <c r="C108" s="2">
        <v>4</v>
      </c>
      <c r="D108" s="4">
        <v>13.5</v>
      </c>
      <c r="E108" s="4">
        <v>7.3</v>
      </c>
      <c r="F108" s="4">
        <v>1</v>
      </c>
      <c r="G108" s="4">
        <v>21.8</v>
      </c>
      <c r="H108" s="5">
        <v>1196.25</v>
      </c>
    </row>
    <row r="109" spans="1:8" x14ac:dyDescent="0.2">
      <c r="A109" s="6">
        <v>3</v>
      </c>
      <c r="B109" s="7" t="s">
        <v>113</v>
      </c>
      <c r="C109" s="6">
        <v>1</v>
      </c>
      <c r="D109" s="8">
        <v>5</v>
      </c>
      <c r="E109" s="8">
        <v>4</v>
      </c>
      <c r="F109" s="8">
        <v>0</v>
      </c>
      <c r="G109" s="8">
        <v>9</v>
      </c>
      <c r="H109" s="9">
        <v>495</v>
      </c>
    </row>
    <row r="110" spans="1:8" x14ac:dyDescent="0.2">
      <c r="A110" s="2">
        <v>3</v>
      </c>
      <c r="B110" s="3" t="s">
        <v>114</v>
      </c>
      <c r="C110" s="2">
        <v>62</v>
      </c>
      <c r="D110" s="4">
        <v>5.6</v>
      </c>
      <c r="E110" s="4">
        <v>6.2</v>
      </c>
      <c r="F110" s="4">
        <v>0.4</v>
      </c>
      <c r="G110" s="4">
        <v>12.1</v>
      </c>
      <c r="H110" s="5">
        <v>667.7</v>
      </c>
    </row>
    <row r="111" spans="1:8" x14ac:dyDescent="0.2">
      <c r="A111" s="6">
        <v>3</v>
      </c>
      <c r="B111" s="7" t="s">
        <v>115</v>
      </c>
      <c r="C111" s="6">
        <v>176</v>
      </c>
      <c r="D111" s="8">
        <v>5</v>
      </c>
      <c r="E111" s="8">
        <v>3.4</v>
      </c>
      <c r="F111" s="8">
        <v>0.3</v>
      </c>
      <c r="G111" s="8">
        <v>8.6999999999999993</v>
      </c>
      <c r="H111" s="9">
        <v>477.95</v>
      </c>
    </row>
    <row r="112" spans="1:8" x14ac:dyDescent="0.2">
      <c r="A112" s="2">
        <v>3</v>
      </c>
      <c r="B112" s="3" t="s">
        <v>116</v>
      </c>
      <c r="C112" s="2">
        <v>88</v>
      </c>
      <c r="D112" s="4">
        <v>10</v>
      </c>
      <c r="E112" s="4">
        <v>14.8</v>
      </c>
      <c r="F112" s="4">
        <v>0.9</v>
      </c>
      <c r="G112" s="4">
        <v>25.7</v>
      </c>
      <c r="H112" s="5">
        <v>1413.5</v>
      </c>
    </row>
    <row r="113" spans="1:8" x14ac:dyDescent="0.2">
      <c r="A113" s="6">
        <v>3</v>
      </c>
      <c r="B113" s="7" t="s">
        <v>117</v>
      </c>
      <c r="C113" s="6">
        <v>13</v>
      </c>
      <c r="D113" s="8">
        <v>9.8000000000000007</v>
      </c>
      <c r="E113" s="8">
        <v>12.1</v>
      </c>
      <c r="F113" s="8">
        <v>1.8</v>
      </c>
      <c r="G113" s="8">
        <v>23.7</v>
      </c>
      <c r="H113" s="9">
        <v>1301.8499999999999</v>
      </c>
    </row>
    <row r="114" spans="1:8" x14ac:dyDescent="0.2">
      <c r="A114" s="2">
        <v>3</v>
      </c>
      <c r="B114" s="3" t="s">
        <v>118</v>
      </c>
      <c r="C114" s="2">
        <v>48</v>
      </c>
      <c r="D114" s="4">
        <v>4.7</v>
      </c>
      <c r="E114" s="4">
        <v>2.9</v>
      </c>
      <c r="F114" s="4">
        <v>0.3</v>
      </c>
      <c r="G114" s="4">
        <v>7.8</v>
      </c>
      <c r="H114" s="5">
        <v>431.2</v>
      </c>
    </row>
    <row r="115" spans="1:8" x14ac:dyDescent="0.2">
      <c r="A115" s="6">
        <v>3</v>
      </c>
      <c r="B115" s="7" t="s">
        <v>119</v>
      </c>
      <c r="C115" s="6">
        <v>55</v>
      </c>
      <c r="D115" s="8">
        <v>3.7</v>
      </c>
      <c r="E115" s="8">
        <v>2.7</v>
      </c>
      <c r="F115" s="8">
        <v>0.3</v>
      </c>
      <c r="G115" s="8">
        <v>6.7</v>
      </c>
      <c r="H115" s="9">
        <v>367.4</v>
      </c>
    </row>
    <row r="116" spans="1:8" x14ac:dyDescent="0.2">
      <c r="A116" s="2">
        <v>3</v>
      </c>
      <c r="B116" s="3" t="s">
        <v>120</v>
      </c>
      <c r="C116" s="2">
        <v>20</v>
      </c>
      <c r="D116" s="4">
        <v>1.8</v>
      </c>
      <c r="E116" s="4">
        <v>1.4</v>
      </c>
      <c r="F116" s="4">
        <v>0.5</v>
      </c>
      <c r="G116" s="4">
        <v>3.7</v>
      </c>
      <c r="H116" s="5">
        <v>200.75</v>
      </c>
    </row>
    <row r="117" spans="1:8" x14ac:dyDescent="0.2">
      <c r="A117" s="6">
        <v>3</v>
      </c>
      <c r="B117" s="7" t="s">
        <v>121</v>
      </c>
      <c r="C117" s="6">
        <v>34</v>
      </c>
      <c r="D117" s="8">
        <v>3.9</v>
      </c>
      <c r="E117" s="8">
        <v>3.3</v>
      </c>
      <c r="F117" s="8">
        <v>0.4</v>
      </c>
      <c r="G117" s="8">
        <v>7.5</v>
      </c>
      <c r="H117" s="9">
        <v>413.6</v>
      </c>
    </row>
    <row r="118" spans="1:8" x14ac:dyDescent="0.2">
      <c r="A118" s="2">
        <v>3</v>
      </c>
      <c r="B118" s="3" t="s">
        <v>122</v>
      </c>
      <c r="C118" s="2">
        <v>128</v>
      </c>
      <c r="D118" s="4">
        <v>3.1</v>
      </c>
      <c r="E118" s="4">
        <v>2.6</v>
      </c>
      <c r="F118" s="4">
        <v>0.3</v>
      </c>
      <c r="G118" s="4">
        <v>6</v>
      </c>
      <c r="H118" s="5">
        <v>328.9</v>
      </c>
    </row>
    <row r="119" spans="1:8" x14ac:dyDescent="0.2">
      <c r="A119" s="6">
        <v>3</v>
      </c>
      <c r="B119" s="7" t="s">
        <v>119</v>
      </c>
      <c r="C119" s="6">
        <v>216</v>
      </c>
      <c r="D119" s="8">
        <v>3.2</v>
      </c>
      <c r="E119" s="8">
        <v>2.6</v>
      </c>
      <c r="F119" s="8">
        <v>0.3</v>
      </c>
      <c r="G119" s="8">
        <v>6.2</v>
      </c>
      <c r="H119" s="9">
        <v>338.25</v>
      </c>
    </row>
    <row r="120" spans="1:8" x14ac:dyDescent="0.2">
      <c r="A120" s="2">
        <v>3</v>
      </c>
      <c r="B120" s="3" t="s">
        <v>123</v>
      </c>
      <c r="C120" s="2">
        <v>378</v>
      </c>
      <c r="D120" s="4">
        <v>4</v>
      </c>
      <c r="E120" s="4">
        <v>1.4</v>
      </c>
      <c r="F120" s="4">
        <v>0.3</v>
      </c>
      <c r="G120" s="4">
        <v>5.6</v>
      </c>
      <c r="H120" s="5">
        <v>310.2</v>
      </c>
    </row>
    <row r="121" spans="1:8" x14ac:dyDescent="0.2">
      <c r="A121" s="6">
        <v>3</v>
      </c>
      <c r="B121" s="7" t="s">
        <v>124</v>
      </c>
      <c r="C121" s="6">
        <v>625</v>
      </c>
      <c r="D121" s="8">
        <v>4</v>
      </c>
      <c r="E121" s="8">
        <v>1.4</v>
      </c>
      <c r="F121" s="8">
        <v>0.4</v>
      </c>
      <c r="G121" s="8">
        <v>5.8</v>
      </c>
      <c r="H121" s="9">
        <v>317.89999999999998</v>
      </c>
    </row>
    <row r="122" spans="1:8" x14ac:dyDescent="0.2">
      <c r="A122" s="2">
        <v>3</v>
      </c>
      <c r="B122" s="3" t="s">
        <v>125</v>
      </c>
      <c r="C122" s="2">
        <v>15</v>
      </c>
      <c r="D122" s="4">
        <v>4.9000000000000004</v>
      </c>
      <c r="E122" s="4">
        <v>2.2999999999999998</v>
      </c>
      <c r="F122" s="4">
        <v>0.3</v>
      </c>
      <c r="G122" s="4">
        <v>7.5</v>
      </c>
      <c r="H122" s="5">
        <v>413.6</v>
      </c>
    </row>
    <row r="123" spans="1:8" x14ac:dyDescent="0.2">
      <c r="A123" s="6">
        <v>3</v>
      </c>
      <c r="B123" s="7" t="s">
        <v>126</v>
      </c>
      <c r="C123" s="6">
        <v>305</v>
      </c>
      <c r="D123" s="8">
        <v>4</v>
      </c>
      <c r="E123" s="8">
        <v>1.5</v>
      </c>
      <c r="F123" s="8">
        <v>0.3</v>
      </c>
      <c r="G123" s="8">
        <v>5.8</v>
      </c>
      <c r="H123" s="9">
        <v>316.25</v>
      </c>
    </row>
    <row r="124" spans="1:8" x14ac:dyDescent="0.2">
      <c r="A124" s="2">
        <v>3</v>
      </c>
      <c r="B124" s="3" t="s">
        <v>127</v>
      </c>
      <c r="C124" s="2">
        <v>4</v>
      </c>
      <c r="D124" s="4">
        <v>5</v>
      </c>
      <c r="E124" s="4">
        <v>2.5</v>
      </c>
      <c r="F124" s="4">
        <v>0.3</v>
      </c>
      <c r="G124" s="4">
        <v>7.8</v>
      </c>
      <c r="H124" s="5">
        <v>426.25</v>
      </c>
    </row>
    <row r="125" spans="1:8" x14ac:dyDescent="0.2">
      <c r="A125" s="6">
        <v>3</v>
      </c>
      <c r="B125" s="7" t="s">
        <v>128</v>
      </c>
      <c r="C125" s="6">
        <v>8</v>
      </c>
      <c r="D125" s="8">
        <v>12</v>
      </c>
      <c r="E125" s="8">
        <v>12.9</v>
      </c>
      <c r="F125" s="8">
        <v>1.1000000000000001</v>
      </c>
      <c r="G125" s="8">
        <v>26</v>
      </c>
      <c r="H125" s="9">
        <v>1429.45</v>
      </c>
    </row>
    <row r="126" spans="1:8" x14ac:dyDescent="0.2">
      <c r="A126" s="2">
        <v>3</v>
      </c>
      <c r="B126" s="3" t="s">
        <v>129</v>
      </c>
      <c r="C126" s="2">
        <v>1</v>
      </c>
      <c r="D126" s="4">
        <v>5</v>
      </c>
      <c r="E126" s="4">
        <v>2</v>
      </c>
      <c r="F126" s="4">
        <v>1</v>
      </c>
      <c r="G126" s="4">
        <v>8</v>
      </c>
      <c r="H126" s="5">
        <v>440</v>
      </c>
    </row>
    <row r="127" spans="1:8" x14ac:dyDescent="0.2">
      <c r="A127" s="6">
        <v>3</v>
      </c>
      <c r="B127" s="7" t="s">
        <v>130</v>
      </c>
      <c r="C127" s="6">
        <v>2</v>
      </c>
      <c r="D127" s="8">
        <v>3</v>
      </c>
      <c r="E127" s="8">
        <v>2</v>
      </c>
      <c r="F127" s="8">
        <v>1</v>
      </c>
      <c r="G127" s="8">
        <v>6</v>
      </c>
      <c r="H127" s="9">
        <v>330</v>
      </c>
    </row>
    <row r="128" spans="1:8" x14ac:dyDescent="0.2">
      <c r="A128" s="2">
        <v>3</v>
      </c>
      <c r="B128" s="3" t="s">
        <v>131</v>
      </c>
      <c r="C128" s="2">
        <v>4</v>
      </c>
      <c r="D128" s="4">
        <v>5.5</v>
      </c>
      <c r="E128" s="4">
        <v>5</v>
      </c>
      <c r="F128" s="4">
        <v>0</v>
      </c>
      <c r="G128" s="4">
        <v>10.5</v>
      </c>
      <c r="H128" s="5">
        <v>577.5</v>
      </c>
    </row>
    <row r="129" spans="1:8" x14ac:dyDescent="0.2">
      <c r="A129" s="6">
        <v>3</v>
      </c>
      <c r="B129" s="7" t="s">
        <v>132</v>
      </c>
      <c r="C129" s="6">
        <v>67</v>
      </c>
      <c r="D129" s="8">
        <v>4.4000000000000004</v>
      </c>
      <c r="E129" s="8">
        <v>2.7</v>
      </c>
      <c r="F129" s="8">
        <v>1</v>
      </c>
      <c r="G129" s="8">
        <v>8</v>
      </c>
      <c r="H129" s="9">
        <v>441.65</v>
      </c>
    </row>
    <row r="130" spans="1:8" x14ac:dyDescent="0.2">
      <c r="A130" s="2">
        <v>3</v>
      </c>
      <c r="B130" s="3" t="s">
        <v>133</v>
      </c>
      <c r="C130" s="2">
        <v>1</v>
      </c>
      <c r="D130" s="4">
        <v>0</v>
      </c>
      <c r="E130" s="4">
        <v>0</v>
      </c>
      <c r="F130" s="4">
        <v>0</v>
      </c>
      <c r="G130" s="4">
        <v>0</v>
      </c>
      <c r="H130" s="5">
        <v>0</v>
      </c>
    </row>
    <row r="131" spans="1:8" x14ac:dyDescent="0.2">
      <c r="A131" s="6">
        <v>3</v>
      </c>
      <c r="B131" s="7" t="s">
        <v>134</v>
      </c>
      <c r="C131" s="6">
        <v>5</v>
      </c>
      <c r="D131" s="8">
        <v>3</v>
      </c>
      <c r="E131" s="8">
        <v>1</v>
      </c>
      <c r="F131" s="8">
        <v>1</v>
      </c>
      <c r="G131" s="8">
        <v>5</v>
      </c>
      <c r="H131" s="9">
        <v>275</v>
      </c>
    </row>
    <row r="132" spans="1:8" x14ac:dyDescent="0.2">
      <c r="A132" s="2">
        <v>3</v>
      </c>
      <c r="B132" s="3" t="s">
        <v>135</v>
      </c>
      <c r="C132" s="2">
        <v>3</v>
      </c>
      <c r="D132" s="4">
        <v>0</v>
      </c>
      <c r="E132" s="4">
        <v>1.3</v>
      </c>
      <c r="F132" s="4">
        <v>0</v>
      </c>
      <c r="G132" s="4">
        <v>1.3</v>
      </c>
      <c r="H132" s="5">
        <v>73.150000000000006</v>
      </c>
    </row>
    <row r="133" spans="1:8" x14ac:dyDescent="0.2">
      <c r="A133" s="6">
        <v>3</v>
      </c>
      <c r="B133" s="7" t="s">
        <v>136</v>
      </c>
      <c r="C133" s="6">
        <v>1</v>
      </c>
      <c r="D133" s="8">
        <v>5</v>
      </c>
      <c r="E133" s="8">
        <v>4</v>
      </c>
      <c r="F133" s="8">
        <v>0</v>
      </c>
      <c r="G133" s="8">
        <v>9</v>
      </c>
      <c r="H133" s="9">
        <v>495</v>
      </c>
    </row>
    <row r="134" spans="1:8" x14ac:dyDescent="0.2">
      <c r="A134" s="2">
        <v>3</v>
      </c>
      <c r="B134" s="3" t="s">
        <v>137</v>
      </c>
      <c r="C134" s="2">
        <v>3</v>
      </c>
      <c r="D134" s="4">
        <v>6</v>
      </c>
      <c r="E134" s="4">
        <v>15.3</v>
      </c>
      <c r="F134" s="4">
        <v>1.7</v>
      </c>
      <c r="G134" s="4">
        <v>23</v>
      </c>
      <c r="H134" s="5">
        <v>1264.45</v>
      </c>
    </row>
    <row r="135" spans="1:8" x14ac:dyDescent="0.2">
      <c r="A135" s="6">
        <v>3</v>
      </c>
      <c r="B135" s="7" t="s">
        <v>138</v>
      </c>
      <c r="C135" s="6">
        <v>27</v>
      </c>
      <c r="D135" s="8">
        <v>4.3</v>
      </c>
      <c r="E135" s="8">
        <v>5</v>
      </c>
      <c r="F135" s="8">
        <v>0.5</v>
      </c>
      <c r="G135" s="8">
        <v>9.8000000000000007</v>
      </c>
      <c r="H135" s="9">
        <v>539</v>
      </c>
    </row>
    <row r="136" spans="1:8" x14ac:dyDescent="0.2">
      <c r="A136" s="2">
        <v>3</v>
      </c>
      <c r="B136" s="3" t="s">
        <v>139</v>
      </c>
      <c r="C136" s="2">
        <v>283</v>
      </c>
      <c r="D136" s="4">
        <v>2.2000000000000002</v>
      </c>
      <c r="E136" s="4">
        <v>2.6</v>
      </c>
      <c r="F136" s="4">
        <v>0.1</v>
      </c>
      <c r="G136" s="4">
        <v>4.9000000000000004</v>
      </c>
      <c r="H136" s="5">
        <v>269.5</v>
      </c>
    </row>
    <row r="137" spans="1:8" x14ac:dyDescent="0.2">
      <c r="A137" s="6">
        <v>3</v>
      </c>
      <c r="B137" s="7" t="s">
        <v>139</v>
      </c>
      <c r="C137" s="6">
        <v>283</v>
      </c>
      <c r="D137" s="8">
        <v>2.2000000000000002</v>
      </c>
      <c r="E137" s="8">
        <v>2.6</v>
      </c>
      <c r="F137" s="8">
        <v>0.1</v>
      </c>
      <c r="G137" s="8">
        <v>4.9000000000000004</v>
      </c>
      <c r="H137" s="9">
        <v>269.5</v>
      </c>
    </row>
    <row r="138" spans="1:8" x14ac:dyDescent="0.2">
      <c r="A138" s="2">
        <v>3</v>
      </c>
      <c r="B138" s="3" t="s">
        <v>140</v>
      </c>
      <c r="C138" s="2">
        <v>1</v>
      </c>
      <c r="D138" s="4">
        <v>6</v>
      </c>
      <c r="E138" s="4">
        <v>8</v>
      </c>
      <c r="F138" s="4">
        <v>2</v>
      </c>
      <c r="G138" s="4">
        <v>16</v>
      </c>
      <c r="H138" s="5">
        <v>880</v>
      </c>
    </row>
    <row r="139" spans="1:8" x14ac:dyDescent="0.2">
      <c r="A139" s="6">
        <v>3</v>
      </c>
      <c r="B139" s="7" t="s">
        <v>141</v>
      </c>
      <c r="C139" s="6">
        <v>1</v>
      </c>
      <c r="D139" s="8">
        <v>7</v>
      </c>
      <c r="E139" s="8">
        <v>14</v>
      </c>
      <c r="F139" s="8">
        <v>2</v>
      </c>
      <c r="G139" s="8">
        <v>23</v>
      </c>
      <c r="H139" s="9">
        <v>1265</v>
      </c>
    </row>
    <row r="140" spans="1:8" x14ac:dyDescent="0.2">
      <c r="A140" s="2">
        <v>3</v>
      </c>
      <c r="B140" s="3" t="s">
        <v>142</v>
      </c>
      <c r="C140" s="2">
        <v>164</v>
      </c>
      <c r="D140" s="4">
        <v>5.6</v>
      </c>
      <c r="E140" s="4">
        <v>12.4</v>
      </c>
      <c r="F140" s="4">
        <v>0.9</v>
      </c>
      <c r="G140" s="4">
        <v>18.899999999999999</v>
      </c>
      <c r="H140" s="5">
        <v>1038.4000000000001</v>
      </c>
    </row>
    <row r="141" spans="1:8" x14ac:dyDescent="0.2">
      <c r="A141" s="6">
        <v>3</v>
      </c>
      <c r="B141" s="7" t="s">
        <v>143</v>
      </c>
      <c r="C141" s="6">
        <v>0</v>
      </c>
      <c r="D141" s="8">
        <v>0</v>
      </c>
      <c r="E141" s="8">
        <v>0</v>
      </c>
      <c r="F141" s="8">
        <v>0</v>
      </c>
      <c r="G141" s="8">
        <v>0</v>
      </c>
      <c r="H141" s="9">
        <v>0</v>
      </c>
    </row>
    <row r="142" spans="1:8" x14ac:dyDescent="0.2">
      <c r="A142" s="2">
        <v>3</v>
      </c>
      <c r="B142" s="3" t="s">
        <v>144</v>
      </c>
      <c r="C142" s="2">
        <v>3</v>
      </c>
      <c r="D142" s="4">
        <v>1.3</v>
      </c>
      <c r="E142" s="4">
        <v>7.3</v>
      </c>
      <c r="F142" s="4">
        <v>0.3</v>
      </c>
      <c r="G142" s="4">
        <v>9</v>
      </c>
      <c r="H142" s="5">
        <v>494.45</v>
      </c>
    </row>
    <row r="143" spans="1:8" x14ac:dyDescent="0.2">
      <c r="A143" s="6">
        <v>3</v>
      </c>
      <c r="B143" s="7" t="s">
        <v>145</v>
      </c>
      <c r="C143" s="6">
        <v>13</v>
      </c>
      <c r="D143" s="8">
        <v>11.7</v>
      </c>
      <c r="E143" s="8">
        <v>8.1999999999999993</v>
      </c>
      <c r="F143" s="8">
        <v>0.9</v>
      </c>
      <c r="G143" s="8">
        <v>20.8</v>
      </c>
      <c r="H143" s="9">
        <v>1146.2</v>
      </c>
    </row>
    <row r="144" spans="1:8" x14ac:dyDescent="0.2">
      <c r="A144" s="2">
        <v>3</v>
      </c>
      <c r="B144" s="3" t="s">
        <v>146</v>
      </c>
      <c r="C144" s="2">
        <v>13</v>
      </c>
      <c r="D144" s="4">
        <v>12.3</v>
      </c>
      <c r="E144" s="4">
        <v>5.5</v>
      </c>
      <c r="F144" s="4">
        <v>1.3</v>
      </c>
      <c r="G144" s="4">
        <v>19.100000000000001</v>
      </c>
      <c r="H144" s="5">
        <v>1048.3</v>
      </c>
    </row>
    <row r="145" spans="1:8" x14ac:dyDescent="0.2">
      <c r="A145" s="6">
        <v>3</v>
      </c>
      <c r="B145" s="7" t="s">
        <v>147</v>
      </c>
      <c r="C145" s="6">
        <v>5</v>
      </c>
      <c r="D145" s="8">
        <v>4</v>
      </c>
      <c r="E145" s="8">
        <v>4.2</v>
      </c>
      <c r="F145" s="8">
        <v>0.6</v>
      </c>
      <c r="G145" s="8">
        <v>8.8000000000000007</v>
      </c>
      <c r="H145" s="9">
        <v>484</v>
      </c>
    </row>
    <row r="146" spans="1:8" x14ac:dyDescent="0.2">
      <c r="A146" s="2">
        <v>3</v>
      </c>
      <c r="B146" s="3" t="s">
        <v>148</v>
      </c>
      <c r="C146" s="2">
        <v>2</v>
      </c>
      <c r="D146" s="4">
        <v>8</v>
      </c>
      <c r="E146" s="4">
        <v>9.5</v>
      </c>
      <c r="F146" s="4">
        <v>0</v>
      </c>
      <c r="G146" s="4">
        <v>17.5</v>
      </c>
      <c r="H146" s="5">
        <v>962.5</v>
      </c>
    </row>
    <row r="147" spans="1:8" x14ac:dyDescent="0.2">
      <c r="A147" s="6">
        <v>3</v>
      </c>
      <c r="B147" s="7" t="s">
        <v>149</v>
      </c>
      <c r="C147" s="6">
        <v>30</v>
      </c>
      <c r="D147" s="8">
        <v>8.1999999999999993</v>
      </c>
      <c r="E147" s="8">
        <v>14</v>
      </c>
      <c r="F147" s="8">
        <v>1</v>
      </c>
      <c r="G147" s="8">
        <v>23.2</v>
      </c>
      <c r="H147" s="9">
        <v>1275.45</v>
      </c>
    </row>
    <row r="148" spans="1:8" x14ac:dyDescent="0.2">
      <c r="A148" s="2">
        <v>3</v>
      </c>
      <c r="B148" s="3" t="s">
        <v>150</v>
      </c>
      <c r="C148" s="2">
        <v>154</v>
      </c>
      <c r="D148" s="4">
        <v>17</v>
      </c>
      <c r="E148" s="4">
        <v>20.9</v>
      </c>
      <c r="F148" s="4">
        <v>3.1</v>
      </c>
      <c r="G148" s="4">
        <v>41</v>
      </c>
      <c r="H148" s="5">
        <v>2257.1999999999998</v>
      </c>
    </row>
    <row r="149" spans="1:8" x14ac:dyDescent="0.2">
      <c r="A149" s="6">
        <v>3</v>
      </c>
      <c r="B149" s="7" t="s">
        <v>151</v>
      </c>
      <c r="C149" s="6">
        <v>9</v>
      </c>
      <c r="D149" s="8">
        <v>3.6</v>
      </c>
      <c r="E149" s="8">
        <v>1</v>
      </c>
      <c r="F149" s="8">
        <v>2.1</v>
      </c>
      <c r="G149" s="8">
        <v>6.7</v>
      </c>
      <c r="H149" s="9">
        <v>366.3</v>
      </c>
    </row>
    <row r="150" spans="1:8" x14ac:dyDescent="0.2">
      <c r="A150" s="2">
        <v>3</v>
      </c>
      <c r="B150" s="3" t="s">
        <v>152</v>
      </c>
      <c r="C150" s="2">
        <v>3</v>
      </c>
      <c r="D150" s="4">
        <v>7</v>
      </c>
      <c r="E150" s="4">
        <v>12.7</v>
      </c>
      <c r="F150" s="4">
        <v>1.7</v>
      </c>
      <c r="G150" s="4">
        <v>21.3</v>
      </c>
      <c r="H150" s="5">
        <v>1172.5999999999999</v>
      </c>
    </row>
    <row r="151" spans="1:8" x14ac:dyDescent="0.2">
      <c r="A151" s="6">
        <v>3</v>
      </c>
      <c r="B151" s="7" t="s">
        <v>153</v>
      </c>
      <c r="C151" s="6">
        <v>49</v>
      </c>
      <c r="D151" s="8">
        <v>3.5</v>
      </c>
      <c r="E151" s="8">
        <v>2.9</v>
      </c>
      <c r="F151" s="8">
        <v>0.4</v>
      </c>
      <c r="G151" s="8">
        <v>6.8</v>
      </c>
      <c r="H151" s="9">
        <v>372.9</v>
      </c>
    </row>
    <row r="152" spans="1:8" x14ac:dyDescent="0.2">
      <c r="A152" s="2">
        <v>3</v>
      </c>
      <c r="B152" s="3" t="s">
        <v>154</v>
      </c>
      <c r="C152" s="2">
        <v>62</v>
      </c>
      <c r="D152" s="4">
        <v>0.9</v>
      </c>
      <c r="E152" s="4">
        <v>0.6</v>
      </c>
      <c r="F152" s="4">
        <v>0.3</v>
      </c>
      <c r="G152" s="4">
        <v>1.7</v>
      </c>
      <c r="H152" s="5">
        <v>95.15</v>
      </c>
    </row>
    <row r="153" spans="1:8" x14ac:dyDescent="0.2">
      <c r="A153" s="6">
        <v>3</v>
      </c>
      <c r="B153" s="7" t="s">
        <v>155</v>
      </c>
      <c r="C153" s="6">
        <v>241</v>
      </c>
      <c r="D153" s="8">
        <v>1.2</v>
      </c>
      <c r="E153" s="8">
        <v>0.6</v>
      </c>
      <c r="F153" s="8">
        <v>0.4</v>
      </c>
      <c r="G153" s="8">
        <v>2.1</v>
      </c>
      <c r="H153" s="9">
        <v>116.6</v>
      </c>
    </row>
    <row r="154" spans="1:8" x14ac:dyDescent="0.2">
      <c r="A154" s="2">
        <v>4</v>
      </c>
      <c r="B154" s="3" t="s">
        <v>156</v>
      </c>
      <c r="C154" s="2">
        <v>5</v>
      </c>
      <c r="D154" s="4">
        <v>0</v>
      </c>
      <c r="E154" s="4">
        <v>0</v>
      </c>
      <c r="F154" s="4">
        <v>0</v>
      </c>
      <c r="G154" s="4">
        <v>0</v>
      </c>
      <c r="H154" s="5">
        <v>0</v>
      </c>
    </row>
    <row r="155" spans="1:8" x14ac:dyDescent="0.2">
      <c r="A155" s="6">
        <v>4</v>
      </c>
      <c r="B155" s="7" t="s">
        <v>157</v>
      </c>
      <c r="C155" s="6">
        <v>193</v>
      </c>
      <c r="D155" s="8">
        <v>1.8</v>
      </c>
      <c r="E155" s="8">
        <v>0.6</v>
      </c>
      <c r="F155" s="8">
        <v>0.4</v>
      </c>
      <c r="G155" s="8">
        <v>2.8</v>
      </c>
      <c r="H155" s="9">
        <v>153.44999999999999</v>
      </c>
    </row>
    <row r="156" spans="1:8" x14ac:dyDescent="0.2">
      <c r="A156" s="2">
        <v>4</v>
      </c>
      <c r="B156" s="3" t="s">
        <v>158</v>
      </c>
      <c r="C156" s="2">
        <v>28</v>
      </c>
      <c r="D156" s="4">
        <v>0.3</v>
      </c>
      <c r="E156" s="4">
        <v>0.2</v>
      </c>
      <c r="F156" s="4">
        <v>0.1</v>
      </c>
      <c r="G156" s="4">
        <v>0.5</v>
      </c>
      <c r="H156" s="5">
        <v>28.6</v>
      </c>
    </row>
    <row r="157" spans="1:8" x14ac:dyDescent="0.2">
      <c r="A157" s="6">
        <v>4</v>
      </c>
      <c r="B157" s="7" t="s">
        <v>159</v>
      </c>
      <c r="C157" s="6">
        <v>1</v>
      </c>
      <c r="D157" s="8">
        <v>0</v>
      </c>
      <c r="E157" s="8">
        <v>0</v>
      </c>
      <c r="F157" s="8">
        <v>0</v>
      </c>
      <c r="G157" s="8">
        <v>0</v>
      </c>
      <c r="H157" s="9">
        <v>0</v>
      </c>
    </row>
    <row r="158" spans="1:8" x14ac:dyDescent="0.2">
      <c r="A158" s="2">
        <v>4</v>
      </c>
      <c r="B158" s="3" t="s">
        <v>155</v>
      </c>
      <c r="C158" s="2">
        <v>361</v>
      </c>
      <c r="D158" s="4">
        <v>0.8</v>
      </c>
      <c r="E158" s="4">
        <v>0.5</v>
      </c>
      <c r="F158" s="4">
        <v>0.3</v>
      </c>
      <c r="G158" s="4">
        <v>1.6</v>
      </c>
      <c r="H158" s="5">
        <v>87.45</v>
      </c>
    </row>
    <row r="159" spans="1:8" x14ac:dyDescent="0.2">
      <c r="A159" s="6">
        <v>4</v>
      </c>
      <c r="B159" s="7" t="s">
        <v>160</v>
      </c>
      <c r="C159" s="6">
        <v>524</v>
      </c>
      <c r="D159" s="8">
        <v>0.8</v>
      </c>
      <c r="E159" s="8">
        <v>0.4</v>
      </c>
      <c r="F159" s="8">
        <v>0.2</v>
      </c>
      <c r="G159" s="8">
        <v>1.4</v>
      </c>
      <c r="H159" s="9">
        <v>76.45</v>
      </c>
    </row>
    <row r="160" spans="1:8" x14ac:dyDescent="0.2">
      <c r="A160" s="2">
        <v>4</v>
      </c>
      <c r="B160" s="3" t="s">
        <v>161</v>
      </c>
      <c r="C160" s="2">
        <v>6</v>
      </c>
      <c r="D160" s="4">
        <v>4.3</v>
      </c>
      <c r="E160" s="4">
        <v>2.2000000000000002</v>
      </c>
      <c r="F160" s="4">
        <v>0.5</v>
      </c>
      <c r="G160" s="4">
        <v>7</v>
      </c>
      <c r="H160" s="5">
        <v>384.45</v>
      </c>
    </row>
    <row r="161" spans="1:8" x14ac:dyDescent="0.2">
      <c r="A161" s="6">
        <v>4</v>
      </c>
      <c r="B161" s="7" t="s">
        <v>162</v>
      </c>
      <c r="C161" s="6">
        <v>1</v>
      </c>
      <c r="D161" s="8">
        <v>5</v>
      </c>
      <c r="E161" s="8">
        <v>15</v>
      </c>
      <c r="F161" s="8">
        <v>0</v>
      </c>
      <c r="G161" s="8">
        <v>20</v>
      </c>
      <c r="H161" s="9">
        <v>1100</v>
      </c>
    </row>
    <row r="162" spans="1:8" x14ac:dyDescent="0.2">
      <c r="A162" s="2">
        <v>4</v>
      </c>
      <c r="B162" s="3" t="s">
        <v>163</v>
      </c>
      <c r="C162" s="2">
        <v>26</v>
      </c>
      <c r="D162" s="4">
        <v>1.2</v>
      </c>
      <c r="E162" s="4">
        <v>0.7</v>
      </c>
      <c r="F162" s="4">
        <v>0.5</v>
      </c>
      <c r="G162" s="4">
        <v>2.4</v>
      </c>
      <c r="H162" s="5">
        <v>130.9</v>
      </c>
    </row>
    <row r="163" spans="1:8" x14ac:dyDescent="0.2">
      <c r="A163" s="6">
        <v>4</v>
      </c>
      <c r="B163" s="7" t="s">
        <v>164</v>
      </c>
      <c r="C163" s="6">
        <v>1</v>
      </c>
      <c r="D163" s="8">
        <v>10</v>
      </c>
      <c r="E163" s="8">
        <v>12</v>
      </c>
      <c r="F163" s="8">
        <v>4</v>
      </c>
      <c r="G163" s="8">
        <v>26</v>
      </c>
      <c r="H163" s="9">
        <v>1430</v>
      </c>
    </row>
    <row r="164" spans="1:8" x14ac:dyDescent="0.2">
      <c r="A164" s="2">
        <v>4</v>
      </c>
      <c r="B164" s="3" t="s">
        <v>165</v>
      </c>
      <c r="C164" s="2">
        <v>0</v>
      </c>
      <c r="D164" s="4">
        <v>0</v>
      </c>
      <c r="E164" s="4">
        <v>0</v>
      </c>
      <c r="F164" s="4">
        <v>0</v>
      </c>
      <c r="G164" s="4">
        <v>0</v>
      </c>
      <c r="H164" s="5">
        <v>0</v>
      </c>
    </row>
    <row r="165" spans="1:8" x14ac:dyDescent="0.2">
      <c r="A165" s="6">
        <v>4</v>
      </c>
      <c r="B165" s="7" t="s">
        <v>166</v>
      </c>
      <c r="C165" s="6">
        <v>3</v>
      </c>
      <c r="D165" s="8">
        <v>0</v>
      </c>
      <c r="E165" s="8">
        <v>2.2999999999999998</v>
      </c>
      <c r="F165" s="8">
        <v>0</v>
      </c>
      <c r="G165" s="8">
        <v>2.2999999999999998</v>
      </c>
      <c r="H165" s="9">
        <v>128.15</v>
      </c>
    </row>
    <row r="166" spans="1:8" x14ac:dyDescent="0.2">
      <c r="A166" s="2">
        <v>4</v>
      </c>
      <c r="B166" s="3" t="s">
        <v>167</v>
      </c>
      <c r="C166" s="2">
        <v>1342</v>
      </c>
      <c r="D166" s="4">
        <v>4.0999999999999996</v>
      </c>
      <c r="E166" s="4">
        <v>3</v>
      </c>
      <c r="F166" s="4">
        <v>0.3</v>
      </c>
      <c r="G166" s="4">
        <v>7.3</v>
      </c>
      <c r="H166" s="5">
        <v>401.5</v>
      </c>
    </row>
    <row r="167" spans="1:8" x14ac:dyDescent="0.2">
      <c r="A167" s="6">
        <v>4</v>
      </c>
      <c r="B167" s="7" t="s">
        <v>168</v>
      </c>
      <c r="C167" s="6">
        <v>1</v>
      </c>
      <c r="D167" s="8">
        <v>4</v>
      </c>
      <c r="E167" s="8">
        <v>2</v>
      </c>
      <c r="F167" s="8">
        <v>0</v>
      </c>
      <c r="G167" s="8">
        <v>6</v>
      </c>
      <c r="H167" s="9">
        <v>330</v>
      </c>
    </row>
    <row r="168" spans="1:8" x14ac:dyDescent="0.2">
      <c r="A168" s="2">
        <v>4</v>
      </c>
      <c r="B168" s="3" t="s">
        <v>169</v>
      </c>
      <c r="C168" s="2">
        <v>1</v>
      </c>
      <c r="D168" s="4">
        <v>6</v>
      </c>
      <c r="E168" s="4">
        <v>8</v>
      </c>
      <c r="F168" s="4">
        <v>0</v>
      </c>
      <c r="G168" s="4">
        <v>14</v>
      </c>
      <c r="H168" s="5">
        <v>770</v>
      </c>
    </row>
    <row r="169" spans="1:8" x14ac:dyDescent="0.2">
      <c r="A169" s="6">
        <v>4</v>
      </c>
      <c r="B169" s="7" t="s">
        <v>170</v>
      </c>
      <c r="C169" s="6">
        <v>5</v>
      </c>
      <c r="D169" s="8">
        <v>6.8</v>
      </c>
      <c r="E169" s="8">
        <v>8</v>
      </c>
      <c r="F169" s="8">
        <v>1.8</v>
      </c>
      <c r="G169" s="8">
        <v>16.600000000000001</v>
      </c>
      <c r="H169" s="9">
        <v>913</v>
      </c>
    </row>
    <row r="170" spans="1:8" x14ac:dyDescent="0.2">
      <c r="A170" s="2">
        <v>4</v>
      </c>
      <c r="B170" s="3" t="s">
        <v>171</v>
      </c>
      <c r="C170" s="2">
        <v>49</v>
      </c>
      <c r="D170" s="4">
        <v>6.4</v>
      </c>
      <c r="E170" s="4">
        <v>6.4</v>
      </c>
      <c r="F170" s="4">
        <v>1</v>
      </c>
      <c r="G170" s="4">
        <v>13.8</v>
      </c>
      <c r="H170" s="5">
        <v>759</v>
      </c>
    </row>
    <row r="171" spans="1:8" x14ac:dyDescent="0.2">
      <c r="A171" s="6">
        <v>4</v>
      </c>
      <c r="B171" s="7" t="s">
        <v>172</v>
      </c>
      <c r="C171" s="6">
        <v>3</v>
      </c>
      <c r="D171" s="8">
        <v>8</v>
      </c>
      <c r="E171" s="8">
        <v>5.3</v>
      </c>
      <c r="F171" s="8">
        <v>0.7</v>
      </c>
      <c r="G171" s="8">
        <v>14</v>
      </c>
      <c r="H171" s="9">
        <v>769.45</v>
      </c>
    </row>
    <row r="172" spans="1:8" x14ac:dyDescent="0.2">
      <c r="A172" s="2">
        <v>4</v>
      </c>
      <c r="B172" s="3" t="s">
        <v>173</v>
      </c>
      <c r="C172" s="2">
        <v>5</v>
      </c>
      <c r="D172" s="4">
        <v>6</v>
      </c>
      <c r="E172" s="4">
        <v>6.4</v>
      </c>
      <c r="F172" s="4">
        <v>0.2</v>
      </c>
      <c r="G172" s="4">
        <v>12.6</v>
      </c>
      <c r="H172" s="5">
        <v>693</v>
      </c>
    </row>
    <row r="173" spans="1:8" x14ac:dyDescent="0.2">
      <c r="A173" s="6">
        <v>4</v>
      </c>
      <c r="B173" s="7" t="s">
        <v>174</v>
      </c>
      <c r="C173" s="6">
        <v>257</v>
      </c>
      <c r="D173" s="8">
        <v>5</v>
      </c>
      <c r="E173" s="8">
        <v>3.4</v>
      </c>
      <c r="F173" s="8">
        <v>0.1</v>
      </c>
      <c r="G173" s="8">
        <v>8.4</v>
      </c>
      <c r="H173" s="9">
        <v>461.45</v>
      </c>
    </row>
    <row r="174" spans="1:8" x14ac:dyDescent="0.2">
      <c r="A174" s="2">
        <v>4</v>
      </c>
      <c r="B174" s="3" t="s">
        <v>175</v>
      </c>
      <c r="C174" s="2">
        <v>20</v>
      </c>
      <c r="D174" s="4">
        <v>5</v>
      </c>
      <c r="E174" s="4">
        <v>3.9</v>
      </c>
      <c r="F174" s="4">
        <v>1.1000000000000001</v>
      </c>
      <c r="G174" s="4">
        <v>10</v>
      </c>
      <c r="H174" s="5">
        <v>547.25</v>
      </c>
    </row>
    <row r="175" spans="1:8" x14ac:dyDescent="0.2">
      <c r="A175" s="6">
        <v>4</v>
      </c>
      <c r="B175" s="7" t="s">
        <v>176</v>
      </c>
      <c r="C175" s="6">
        <v>77</v>
      </c>
      <c r="D175" s="8">
        <v>7.6</v>
      </c>
      <c r="E175" s="8">
        <v>5.7</v>
      </c>
      <c r="F175" s="8">
        <v>1</v>
      </c>
      <c r="G175" s="8">
        <v>14.3</v>
      </c>
      <c r="H175" s="9">
        <v>787.6</v>
      </c>
    </row>
    <row r="176" spans="1:8" x14ac:dyDescent="0.2">
      <c r="A176" s="2">
        <v>4</v>
      </c>
      <c r="B176" s="3" t="s">
        <v>177</v>
      </c>
      <c r="C176" s="2">
        <v>167</v>
      </c>
      <c r="D176" s="4">
        <v>6.1</v>
      </c>
      <c r="E176" s="4">
        <v>10.6</v>
      </c>
      <c r="F176" s="4">
        <v>1.5</v>
      </c>
      <c r="G176" s="4">
        <v>18.100000000000001</v>
      </c>
      <c r="H176" s="5">
        <v>994.95</v>
      </c>
    </row>
    <row r="177" spans="1:8" x14ac:dyDescent="0.2">
      <c r="A177" s="6">
        <v>4</v>
      </c>
      <c r="B177" s="7" t="s">
        <v>178</v>
      </c>
      <c r="C177" s="6">
        <v>8</v>
      </c>
      <c r="D177" s="8">
        <v>7.1</v>
      </c>
      <c r="E177" s="8">
        <v>7.1</v>
      </c>
      <c r="F177" s="8">
        <v>1.3</v>
      </c>
      <c r="G177" s="8">
        <v>15.5</v>
      </c>
      <c r="H177" s="9">
        <v>851.95</v>
      </c>
    </row>
    <row r="178" spans="1:8" x14ac:dyDescent="0.2">
      <c r="A178" s="2">
        <v>4</v>
      </c>
      <c r="B178" s="3" t="s">
        <v>179</v>
      </c>
      <c r="C178" s="2">
        <v>4916</v>
      </c>
      <c r="D178" s="4">
        <v>4.3</v>
      </c>
      <c r="E178" s="4">
        <v>2.5</v>
      </c>
      <c r="F178" s="4">
        <v>0.5</v>
      </c>
      <c r="G178" s="4">
        <v>7.4</v>
      </c>
      <c r="H178" s="5">
        <v>406.45</v>
      </c>
    </row>
    <row r="179" spans="1:8" x14ac:dyDescent="0.2">
      <c r="A179" s="6">
        <v>4</v>
      </c>
      <c r="B179" s="7" t="s">
        <v>180</v>
      </c>
      <c r="C179" s="6">
        <v>40</v>
      </c>
      <c r="D179" s="8">
        <v>4.8</v>
      </c>
      <c r="E179" s="8">
        <v>3.4</v>
      </c>
      <c r="F179" s="8">
        <v>1</v>
      </c>
      <c r="G179" s="8">
        <v>9.1</v>
      </c>
      <c r="H179" s="9">
        <v>501.6</v>
      </c>
    </row>
    <row r="180" spans="1:8" x14ac:dyDescent="0.2">
      <c r="A180" s="2">
        <v>4</v>
      </c>
      <c r="B180" s="3" t="s">
        <v>181</v>
      </c>
      <c r="C180" s="2">
        <v>2</v>
      </c>
      <c r="D180" s="4">
        <v>4.5</v>
      </c>
      <c r="E180" s="4">
        <v>3</v>
      </c>
      <c r="F180" s="4">
        <v>0</v>
      </c>
      <c r="G180" s="4">
        <v>7.5</v>
      </c>
      <c r="H180" s="5">
        <v>412.5</v>
      </c>
    </row>
    <row r="181" spans="1:8" x14ac:dyDescent="0.2">
      <c r="A181" s="6">
        <v>4</v>
      </c>
      <c r="B181" s="7" t="s">
        <v>182</v>
      </c>
      <c r="C181" s="6">
        <v>24</v>
      </c>
      <c r="D181" s="8">
        <v>4.8</v>
      </c>
      <c r="E181" s="8">
        <v>2.9</v>
      </c>
      <c r="F181" s="8">
        <v>0.3</v>
      </c>
      <c r="G181" s="8">
        <v>8</v>
      </c>
      <c r="H181" s="9">
        <v>441.65</v>
      </c>
    </row>
    <row r="182" spans="1:8" x14ac:dyDescent="0.2">
      <c r="A182" s="2">
        <v>4</v>
      </c>
      <c r="B182" s="3" t="s">
        <v>183</v>
      </c>
      <c r="C182" s="2">
        <v>236</v>
      </c>
      <c r="D182" s="4">
        <v>4.9000000000000004</v>
      </c>
      <c r="E182" s="4">
        <v>3</v>
      </c>
      <c r="F182" s="4">
        <v>0.4</v>
      </c>
      <c r="G182" s="4">
        <v>8.3000000000000007</v>
      </c>
      <c r="H182" s="5">
        <v>457.05</v>
      </c>
    </row>
    <row r="183" spans="1:8" x14ac:dyDescent="0.2">
      <c r="A183" s="6">
        <v>4</v>
      </c>
      <c r="B183" s="7" t="s">
        <v>184</v>
      </c>
      <c r="C183" s="6">
        <v>234</v>
      </c>
      <c r="D183" s="8">
        <v>4.4000000000000004</v>
      </c>
      <c r="E183" s="8">
        <v>3</v>
      </c>
      <c r="F183" s="8">
        <v>0.7</v>
      </c>
      <c r="G183" s="8">
        <v>8.1999999999999993</v>
      </c>
      <c r="H183" s="9">
        <v>448.25</v>
      </c>
    </row>
    <row r="184" spans="1:8" x14ac:dyDescent="0.2">
      <c r="A184" s="2">
        <v>4</v>
      </c>
      <c r="B184" s="3" t="s">
        <v>185</v>
      </c>
      <c r="C184" s="2">
        <v>160</v>
      </c>
      <c r="D184" s="4">
        <v>4.7</v>
      </c>
      <c r="E184" s="4">
        <v>4.3</v>
      </c>
      <c r="F184" s="4">
        <v>0.5</v>
      </c>
      <c r="G184" s="4">
        <v>9.5</v>
      </c>
      <c r="H184" s="5">
        <v>521.4</v>
      </c>
    </row>
    <row r="185" spans="1:8" x14ac:dyDescent="0.2">
      <c r="A185" s="6">
        <v>4</v>
      </c>
      <c r="B185" s="7" t="s">
        <v>186</v>
      </c>
      <c r="C185" s="6">
        <v>0</v>
      </c>
      <c r="D185" s="8">
        <v>0</v>
      </c>
      <c r="E185" s="8">
        <v>0</v>
      </c>
      <c r="F185" s="8">
        <v>0</v>
      </c>
      <c r="G185" s="8">
        <v>0</v>
      </c>
      <c r="H185" s="9">
        <v>0</v>
      </c>
    </row>
    <row r="186" spans="1:8" x14ac:dyDescent="0.2">
      <c r="A186" s="2">
        <v>4</v>
      </c>
      <c r="B186" s="3" t="s">
        <v>187</v>
      </c>
      <c r="C186" s="2">
        <v>0</v>
      </c>
      <c r="D186" s="4">
        <v>0</v>
      </c>
      <c r="E186" s="4">
        <v>0</v>
      </c>
      <c r="F186" s="4">
        <v>0</v>
      </c>
      <c r="G186" s="4">
        <v>0</v>
      </c>
      <c r="H186" s="5">
        <v>0</v>
      </c>
    </row>
    <row r="187" spans="1:8" x14ac:dyDescent="0.2">
      <c r="A187" s="6">
        <v>4</v>
      </c>
      <c r="B187" s="7" t="s">
        <v>188</v>
      </c>
      <c r="C187" s="6">
        <v>0</v>
      </c>
      <c r="D187" s="8">
        <v>0</v>
      </c>
      <c r="E187" s="8">
        <v>0</v>
      </c>
      <c r="F187" s="8">
        <v>0</v>
      </c>
      <c r="G187" s="8">
        <v>0</v>
      </c>
      <c r="H187" s="9">
        <v>0</v>
      </c>
    </row>
    <row r="188" spans="1:8" x14ac:dyDescent="0.2">
      <c r="A188" s="2">
        <v>4</v>
      </c>
      <c r="B188" s="3" t="s">
        <v>189</v>
      </c>
      <c r="C188" s="2">
        <v>1</v>
      </c>
      <c r="D188" s="4">
        <v>4</v>
      </c>
      <c r="E188" s="4">
        <v>3</v>
      </c>
      <c r="F188" s="4">
        <v>0</v>
      </c>
      <c r="G188" s="4">
        <v>7</v>
      </c>
      <c r="H188" s="5">
        <v>385</v>
      </c>
    </row>
    <row r="189" spans="1:8" x14ac:dyDescent="0.2">
      <c r="A189" s="6">
        <v>4</v>
      </c>
      <c r="B189" s="7" t="s">
        <v>190</v>
      </c>
      <c r="C189" s="6">
        <v>2</v>
      </c>
      <c r="D189" s="8">
        <v>5</v>
      </c>
      <c r="E189" s="8">
        <v>3.5</v>
      </c>
      <c r="F189" s="8">
        <v>0</v>
      </c>
      <c r="G189" s="8">
        <v>8.5</v>
      </c>
      <c r="H189" s="9">
        <v>467.5</v>
      </c>
    </row>
    <row r="190" spans="1:8" x14ac:dyDescent="0.2">
      <c r="A190" s="2">
        <v>4</v>
      </c>
      <c r="B190" s="3" t="s">
        <v>191</v>
      </c>
      <c r="C190" s="2">
        <v>45</v>
      </c>
      <c r="D190" s="4">
        <v>4.4000000000000004</v>
      </c>
      <c r="E190" s="4">
        <v>2.5</v>
      </c>
      <c r="F190" s="4">
        <v>0.5</v>
      </c>
      <c r="G190" s="4">
        <v>7.5</v>
      </c>
      <c r="H190" s="5">
        <v>410.3</v>
      </c>
    </row>
    <row r="191" spans="1:8" x14ac:dyDescent="0.2">
      <c r="A191" s="6">
        <v>4</v>
      </c>
      <c r="B191" s="7" t="s">
        <v>192</v>
      </c>
      <c r="C191" s="6">
        <v>34</v>
      </c>
      <c r="D191" s="8">
        <v>4.9000000000000004</v>
      </c>
      <c r="E191" s="8">
        <v>2.9</v>
      </c>
      <c r="F191" s="8">
        <v>0.4</v>
      </c>
      <c r="G191" s="8">
        <v>8.1</v>
      </c>
      <c r="H191" s="9">
        <v>447.7</v>
      </c>
    </row>
    <row r="192" spans="1:8" x14ac:dyDescent="0.2">
      <c r="A192" s="2">
        <v>4</v>
      </c>
      <c r="B192" s="3" t="s">
        <v>193</v>
      </c>
      <c r="C192" s="2">
        <v>1</v>
      </c>
      <c r="D192" s="4">
        <v>5</v>
      </c>
      <c r="E192" s="4">
        <v>2</v>
      </c>
      <c r="F192" s="4">
        <v>0</v>
      </c>
      <c r="G192" s="4">
        <v>7</v>
      </c>
      <c r="H192" s="5">
        <v>385</v>
      </c>
    </row>
    <row r="193" spans="1:8" x14ac:dyDescent="0.2">
      <c r="A193" s="6">
        <v>4</v>
      </c>
      <c r="B193" s="7" t="s">
        <v>194</v>
      </c>
      <c r="C193" s="6">
        <v>1</v>
      </c>
      <c r="D193" s="8">
        <v>5</v>
      </c>
      <c r="E193" s="8">
        <v>2</v>
      </c>
      <c r="F193" s="8">
        <v>0</v>
      </c>
      <c r="G193" s="8">
        <v>7</v>
      </c>
      <c r="H193" s="9">
        <v>385</v>
      </c>
    </row>
    <row r="194" spans="1:8" x14ac:dyDescent="0.2">
      <c r="A194" s="2">
        <v>4</v>
      </c>
      <c r="B194" s="3" t="s">
        <v>195</v>
      </c>
      <c r="C194" s="2">
        <v>10</v>
      </c>
      <c r="D194" s="4">
        <v>4.8</v>
      </c>
      <c r="E194" s="4">
        <v>4.0999999999999996</v>
      </c>
      <c r="F194" s="4">
        <v>1</v>
      </c>
      <c r="G194" s="4">
        <v>9.9</v>
      </c>
      <c r="H194" s="5">
        <v>544.5</v>
      </c>
    </row>
    <row r="195" spans="1:8" x14ac:dyDescent="0.2">
      <c r="A195" s="6">
        <v>4</v>
      </c>
      <c r="B195" s="7" t="s">
        <v>196</v>
      </c>
      <c r="C195" s="6">
        <v>11</v>
      </c>
      <c r="D195" s="8">
        <v>4.5</v>
      </c>
      <c r="E195" s="8">
        <v>2.5</v>
      </c>
      <c r="F195" s="8">
        <v>0.7</v>
      </c>
      <c r="G195" s="8">
        <v>7.6</v>
      </c>
      <c r="H195" s="9">
        <v>419.1</v>
      </c>
    </row>
    <row r="196" spans="1:8" x14ac:dyDescent="0.2">
      <c r="A196" s="2">
        <v>4</v>
      </c>
      <c r="B196" s="3" t="s">
        <v>197</v>
      </c>
      <c r="C196" s="2">
        <v>1</v>
      </c>
      <c r="D196" s="4">
        <v>4</v>
      </c>
      <c r="E196" s="4">
        <v>3</v>
      </c>
      <c r="F196" s="4">
        <v>0</v>
      </c>
      <c r="G196" s="4">
        <v>7</v>
      </c>
      <c r="H196" s="5">
        <v>385</v>
      </c>
    </row>
    <row r="197" spans="1:8" x14ac:dyDescent="0.2">
      <c r="A197" s="6">
        <v>4</v>
      </c>
      <c r="B197" s="7" t="s">
        <v>198</v>
      </c>
      <c r="C197" s="6">
        <v>1</v>
      </c>
      <c r="D197" s="8">
        <v>5</v>
      </c>
      <c r="E197" s="8">
        <v>2</v>
      </c>
      <c r="F197" s="8">
        <v>4</v>
      </c>
      <c r="G197" s="8">
        <v>11</v>
      </c>
      <c r="H197" s="9">
        <v>605</v>
      </c>
    </row>
    <row r="198" spans="1:8" x14ac:dyDescent="0.2">
      <c r="A198" s="2">
        <v>4</v>
      </c>
      <c r="B198" s="3" t="s">
        <v>199</v>
      </c>
      <c r="C198" s="2">
        <v>0</v>
      </c>
      <c r="D198" s="4">
        <v>0</v>
      </c>
      <c r="E198" s="4">
        <v>0</v>
      </c>
      <c r="F198" s="4">
        <v>0</v>
      </c>
      <c r="G198" s="4">
        <v>0</v>
      </c>
      <c r="H198" s="5">
        <v>0</v>
      </c>
    </row>
    <row r="199" spans="1:8" x14ac:dyDescent="0.2">
      <c r="A199" s="6">
        <v>4</v>
      </c>
      <c r="B199" s="7" t="s">
        <v>200</v>
      </c>
      <c r="C199" s="6">
        <v>1</v>
      </c>
      <c r="D199" s="8">
        <v>4</v>
      </c>
      <c r="E199" s="8">
        <v>2</v>
      </c>
      <c r="F199" s="8">
        <v>2</v>
      </c>
      <c r="G199" s="8">
        <v>8</v>
      </c>
      <c r="H199" s="9">
        <v>440</v>
      </c>
    </row>
    <row r="200" spans="1:8" x14ac:dyDescent="0.2">
      <c r="A200" s="2">
        <v>4</v>
      </c>
      <c r="B200" s="3" t="s">
        <v>201</v>
      </c>
      <c r="C200" s="2">
        <v>0</v>
      </c>
      <c r="D200" s="4">
        <v>0</v>
      </c>
      <c r="E200" s="4">
        <v>0</v>
      </c>
      <c r="F200" s="4">
        <v>0</v>
      </c>
      <c r="G200" s="4">
        <v>0</v>
      </c>
      <c r="H200" s="5">
        <v>0</v>
      </c>
    </row>
    <row r="201" spans="1:8" x14ac:dyDescent="0.2">
      <c r="A201" s="6">
        <v>4</v>
      </c>
      <c r="B201" s="7" t="s">
        <v>202</v>
      </c>
      <c r="C201" s="6">
        <v>7</v>
      </c>
      <c r="D201" s="8">
        <v>4.5999999999999996</v>
      </c>
      <c r="E201" s="8">
        <v>2.7</v>
      </c>
      <c r="F201" s="8">
        <v>0.3</v>
      </c>
      <c r="G201" s="8">
        <v>7.6</v>
      </c>
      <c r="H201" s="9">
        <v>415.8</v>
      </c>
    </row>
    <row r="202" spans="1:8" x14ac:dyDescent="0.2">
      <c r="A202" s="2">
        <v>4</v>
      </c>
      <c r="B202" s="3" t="s">
        <v>203</v>
      </c>
      <c r="C202" s="2">
        <v>7</v>
      </c>
      <c r="D202" s="4">
        <v>4.0999999999999996</v>
      </c>
      <c r="E202" s="4">
        <v>2.7</v>
      </c>
      <c r="F202" s="4">
        <v>0.9</v>
      </c>
      <c r="G202" s="4">
        <v>7.7</v>
      </c>
      <c r="H202" s="5">
        <v>423.5</v>
      </c>
    </row>
    <row r="203" spans="1:8" x14ac:dyDescent="0.2">
      <c r="A203" s="6">
        <v>4</v>
      </c>
      <c r="B203" s="7" t="s">
        <v>204</v>
      </c>
      <c r="C203" s="6">
        <v>0</v>
      </c>
      <c r="D203" s="8">
        <v>0</v>
      </c>
      <c r="E203" s="8">
        <v>0</v>
      </c>
      <c r="F203" s="8">
        <v>0</v>
      </c>
      <c r="G203" s="8">
        <v>0</v>
      </c>
      <c r="H203" s="9">
        <v>0</v>
      </c>
    </row>
    <row r="204" spans="1:8" x14ac:dyDescent="0.2">
      <c r="A204" s="2">
        <v>4</v>
      </c>
      <c r="B204" s="3" t="s">
        <v>205</v>
      </c>
      <c r="C204" s="2">
        <v>26</v>
      </c>
      <c r="D204" s="4">
        <v>4.2</v>
      </c>
      <c r="E204" s="4">
        <v>2.7</v>
      </c>
      <c r="F204" s="4">
        <v>0.2</v>
      </c>
      <c r="G204" s="4">
        <v>7.1</v>
      </c>
      <c r="H204" s="5">
        <v>388.85</v>
      </c>
    </row>
    <row r="205" spans="1:8" x14ac:dyDescent="0.2">
      <c r="A205" s="6">
        <v>4</v>
      </c>
      <c r="B205" s="7" t="s">
        <v>206</v>
      </c>
      <c r="C205" s="6">
        <v>2</v>
      </c>
      <c r="D205" s="8">
        <v>5</v>
      </c>
      <c r="E205" s="8">
        <v>4.5</v>
      </c>
      <c r="F205" s="8">
        <v>2</v>
      </c>
      <c r="G205" s="8">
        <v>11.5</v>
      </c>
      <c r="H205" s="9">
        <v>632.5</v>
      </c>
    </row>
    <row r="206" spans="1:8" x14ac:dyDescent="0.2">
      <c r="A206" s="2">
        <v>5</v>
      </c>
      <c r="B206" s="3" t="s">
        <v>207</v>
      </c>
      <c r="C206" s="2">
        <v>0</v>
      </c>
      <c r="D206" s="4">
        <v>0</v>
      </c>
      <c r="E206" s="4">
        <v>0</v>
      </c>
      <c r="F206" s="4">
        <v>0</v>
      </c>
      <c r="G206" s="4">
        <v>0</v>
      </c>
      <c r="H206" s="5">
        <v>0</v>
      </c>
    </row>
    <row r="207" spans="1:8" x14ac:dyDescent="0.2">
      <c r="A207" s="6">
        <v>5</v>
      </c>
      <c r="B207" s="7" t="s">
        <v>208</v>
      </c>
      <c r="C207" s="6">
        <v>1</v>
      </c>
      <c r="D207" s="8">
        <v>10</v>
      </c>
      <c r="E207" s="8">
        <v>5</v>
      </c>
      <c r="F207" s="8">
        <v>3</v>
      </c>
      <c r="G207" s="8">
        <v>18</v>
      </c>
      <c r="H207" s="9">
        <v>990</v>
      </c>
    </row>
    <row r="208" spans="1:8" x14ac:dyDescent="0.2">
      <c r="A208" s="2">
        <v>5</v>
      </c>
      <c r="B208" s="3" t="s">
        <v>209</v>
      </c>
      <c r="C208" s="2">
        <v>3</v>
      </c>
      <c r="D208" s="4">
        <v>4.3</v>
      </c>
      <c r="E208" s="4">
        <v>2</v>
      </c>
      <c r="F208" s="4">
        <v>1.3</v>
      </c>
      <c r="G208" s="4">
        <v>7.7</v>
      </c>
      <c r="H208" s="5">
        <v>421.3</v>
      </c>
    </row>
    <row r="209" spans="1:8" x14ac:dyDescent="0.2">
      <c r="A209" s="6">
        <v>5</v>
      </c>
      <c r="B209" s="7" t="s">
        <v>210</v>
      </c>
      <c r="C209" s="6">
        <v>1</v>
      </c>
      <c r="D209" s="8">
        <v>0</v>
      </c>
      <c r="E209" s="8">
        <v>3</v>
      </c>
      <c r="F209" s="8">
        <v>0</v>
      </c>
      <c r="G209" s="8">
        <v>3</v>
      </c>
      <c r="H209" s="9">
        <v>165</v>
      </c>
    </row>
    <row r="210" spans="1:8" x14ac:dyDescent="0.2">
      <c r="A210" s="2">
        <v>5</v>
      </c>
      <c r="B210" s="3" t="s">
        <v>211</v>
      </c>
      <c r="C210" s="2">
        <v>0</v>
      </c>
      <c r="D210" s="4">
        <v>0</v>
      </c>
      <c r="E210" s="4">
        <v>0</v>
      </c>
      <c r="F210" s="4">
        <v>0</v>
      </c>
      <c r="G210" s="4">
        <v>0</v>
      </c>
      <c r="H210" s="5">
        <v>0</v>
      </c>
    </row>
    <row r="211" spans="1:8" x14ac:dyDescent="0.2">
      <c r="A211" s="6">
        <v>5</v>
      </c>
      <c r="B211" s="7" t="s">
        <v>212</v>
      </c>
      <c r="C211" s="6">
        <v>1</v>
      </c>
      <c r="D211" s="8">
        <v>0</v>
      </c>
      <c r="E211" s="8">
        <v>4</v>
      </c>
      <c r="F211" s="8">
        <v>2</v>
      </c>
      <c r="G211" s="8">
        <v>6</v>
      </c>
      <c r="H211" s="9">
        <v>330</v>
      </c>
    </row>
    <row r="212" spans="1:8" x14ac:dyDescent="0.2">
      <c r="A212" s="2">
        <v>5</v>
      </c>
      <c r="B212" s="3" t="s">
        <v>213</v>
      </c>
      <c r="C212" s="2">
        <v>1</v>
      </c>
      <c r="D212" s="4">
        <v>4</v>
      </c>
      <c r="E212" s="4">
        <v>2</v>
      </c>
      <c r="F212" s="4">
        <v>0</v>
      </c>
      <c r="G212" s="4">
        <v>6</v>
      </c>
      <c r="H212" s="5">
        <v>330</v>
      </c>
    </row>
    <row r="213" spans="1:8" x14ac:dyDescent="0.2">
      <c r="A213" s="6">
        <v>5</v>
      </c>
      <c r="B213" s="7" t="s">
        <v>214</v>
      </c>
      <c r="C213" s="6">
        <v>6</v>
      </c>
      <c r="D213" s="8">
        <v>3.8</v>
      </c>
      <c r="E213" s="8">
        <v>5.2</v>
      </c>
      <c r="F213" s="8">
        <v>1.2</v>
      </c>
      <c r="G213" s="8">
        <v>10.199999999999999</v>
      </c>
      <c r="H213" s="9">
        <v>558.25</v>
      </c>
    </row>
    <row r="214" spans="1:8" x14ac:dyDescent="0.2">
      <c r="A214" s="2">
        <v>5</v>
      </c>
      <c r="B214" s="3" t="s">
        <v>215</v>
      </c>
      <c r="C214" s="2">
        <v>3</v>
      </c>
      <c r="D214" s="4">
        <v>17.3</v>
      </c>
      <c r="E214" s="4">
        <v>20</v>
      </c>
      <c r="F214" s="4">
        <v>2.7</v>
      </c>
      <c r="G214" s="4">
        <v>40</v>
      </c>
      <c r="H214" s="5">
        <v>2199.4499999999998</v>
      </c>
    </row>
    <row r="215" spans="1:8" x14ac:dyDescent="0.2">
      <c r="A215" s="6">
        <v>5</v>
      </c>
      <c r="B215" s="7" t="s">
        <v>216</v>
      </c>
      <c r="C215" s="6">
        <v>2</v>
      </c>
      <c r="D215" s="8">
        <v>5.5</v>
      </c>
      <c r="E215" s="8">
        <v>6.5</v>
      </c>
      <c r="F215" s="8">
        <v>1</v>
      </c>
      <c r="G215" s="8">
        <v>13</v>
      </c>
      <c r="H215" s="9">
        <v>715</v>
      </c>
    </row>
    <row r="216" spans="1:8" x14ac:dyDescent="0.2">
      <c r="A216" s="2">
        <v>5</v>
      </c>
      <c r="B216" s="3" t="s">
        <v>217</v>
      </c>
      <c r="C216" s="2">
        <v>2</v>
      </c>
      <c r="D216" s="4">
        <v>5</v>
      </c>
      <c r="E216" s="4">
        <v>7</v>
      </c>
      <c r="F216" s="4">
        <v>0.5</v>
      </c>
      <c r="G216" s="4">
        <v>12.5</v>
      </c>
      <c r="H216" s="5">
        <v>687.5</v>
      </c>
    </row>
    <row r="217" spans="1:8" x14ac:dyDescent="0.2">
      <c r="A217" s="6">
        <v>5</v>
      </c>
      <c r="B217" s="7" t="s">
        <v>218</v>
      </c>
      <c r="C217" s="6">
        <v>1</v>
      </c>
      <c r="D217" s="8">
        <v>4</v>
      </c>
      <c r="E217" s="8">
        <v>3</v>
      </c>
      <c r="F217" s="8">
        <v>0</v>
      </c>
      <c r="G217" s="8">
        <v>7</v>
      </c>
      <c r="H217" s="9">
        <v>385</v>
      </c>
    </row>
    <row r="218" spans="1:8" x14ac:dyDescent="0.2">
      <c r="A218" s="2">
        <v>5</v>
      </c>
      <c r="B218" s="3" t="s">
        <v>219</v>
      </c>
      <c r="C218" s="2">
        <v>1</v>
      </c>
      <c r="D218" s="4">
        <v>6</v>
      </c>
      <c r="E218" s="4">
        <v>16</v>
      </c>
      <c r="F218" s="4">
        <v>2</v>
      </c>
      <c r="G218" s="4">
        <v>24</v>
      </c>
      <c r="H218" s="5">
        <v>1320</v>
      </c>
    </row>
    <row r="219" spans="1:8" x14ac:dyDescent="0.2">
      <c r="A219" s="6">
        <v>5</v>
      </c>
      <c r="B219" s="7" t="s">
        <v>220</v>
      </c>
      <c r="C219" s="6">
        <v>11</v>
      </c>
      <c r="D219" s="8">
        <v>12.2</v>
      </c>
      <c r="E219" s="8">
        <v>22.3</v>
      </c>
      <c r="F219" s="8">
        <v>2</v>
      </c>
      <c r="G219" s="8">
        <v>36.5</v>
      </c>
      <c r="H219" s="9">
        <v>2004.75</v>
      </c>
    </row>
    <row r="220" spans="1:8" x14ac:dyDescent="0.2">
      <c r="A220" s="2">
        <v>5</v>
      </c>
      <c r="B220" s="3" t="s">
        <v>221</v>
      </c>
      <c r="C220" s="2">
        <v>40</v>
      </c>
      <c r="D220" s="4">
        <v>6</v>
      </c>
      <c r="E220" s="4">
        <v>5.6</v>
      </c>
      <c r="F220" s="4">
        <v>0.1</v>
      </c>
      <c r="G220" s="4">
        <v>11.6</v>
      </c>
      <c r="H220" s="5">
        <v>639.1</v>
      </c>
    </row>
    <row r="221" spans="1:8" x14ac:dyDescent="0.2">
      <c r="A221" s="6">
        <v>5</v>
      </c>
      <c r="B221" s="7" t="s">
        <v>222</v>
      </c>
      <c r="C221" s="6">
        <v>111</v>
      </c>
      <c r="D221" s="8">
        <v>5.9</v>
      </c>
      <c r="E221" s="8">
        <v>5.8</v>
      </c>
      <c r="F221" s="8">
        <v>0.1</v>
      </c>
      <c r="G221" s="8">
        <v>11.8</v>
      </c>
      <c r="H221" s="9">
        <v>651.20000000000005</v>
      </c>
    </row>
    <row r="222" spans="1:8" x14ac:dyDescent="0.2">
      <c r="A222" s="2">
        <v>5</v>
      </c>
      <c r="B222" s="3" t="s">
        <v>223</v>
      </c>
      <c r="C222" s="2">
        <v>9</v>
      </c>
      <c r="D222" s="4">
        <v>0</v>
      </c>
      <c r="E222" s="4">
        <v>0.2</v>
      </c>
      <c r="F222" s="4">
        <v>0</v>
      </c>
      <c r="G222" s="4">
        <v>0.2</v>
      </c>
      <c r="H222" s="5">
        <v>12.1</v>
      </c>
    </row>
    <row r="223" spans="1:8" x14ac:dyDescent="0.2">
      <c r="A223" s="6">
        <v>5</v>
      </c>
      <c r="B223" s="7" t="s">
        <v>224</v>
      </c>
      <c r="C223" s="6">
        <v>20</v>
      </c>
      <c r="D223" s="8">
        <v>0</v>
      </c>
      <c r="E223" s="8">
        <v>0</v>
      </c>
      <c r="F223" s="8">
        <v>0.1</v>
      </c>
      <c r="G223" s="8">
        <v>0.1</v>
      </c>
      <c r="H223" s="9">
        <v>5.5</v>
      </c>
    </row>
    <row r="224" spans="1:8" x14ac:dyDescent="0.2">
      <c r="A224" s="2">
        <v>5</v>
      </c>
      <c r="B224" s="3" t="s">
        <v>225</v>
      </c>
      <c r="C224" s="2">
        <v>1</v>
      </c>
      <c r="D224" s="4">
        <v>0</v>
      </c>
      <c r="E224" s="4">
        <v>0</v>
      </c>
      <c r="F224" s="4">
        <v>0</v>
      </c>
      <c r="G224" s="4">
        <v>0</v>
      </c>
      <c r="H224" s="5">
        <v>0</v>
      </c>
    </row>
    <row r="225" spans="1:8" x14ac:dyDescent="0.2">
      <c r="A225" s="6">
        <v>5</v>
      </c>
      <c r="B225" s="7" t="s">
        <v>226</v>
      </c>
      <c r="C225" s="6">
        <v>60</v>
      </c>
      <c r="D225" s="8">
        <v>5</v>
      </c>
      <c r="E225" s="8">
        <v>4.7</v>
      </c>
      <c r="F225" s="8">
        <v>0.5</v>
      </c>
      <c r="G225" s="8">
        <v>10.1</v>
      </c>
      <c r="H225" s="9">
        <v>557.70000000000005</v>
      </c>
    </row>
    <row r="226" spans="1:8" x14ac:dyDescent="0.2">
      <c r="A226" s="2">
        <v>5</v>
      </c>
      <c r="B226" s="3" t="s">
        <v>227</v>
      </c>
      <c r="C226" s="2">
        <v>83</v>
      </c>
      <c r="D226" s="4">
        <v>4.0999999999999996</v>
      </c>
      <c r="E226" s="4">
        <v>2.7</v>
      </c>
      <c r="F226" s="4">
        <v>0.8</v>
      </c>
      <c r="G226" s="4">
        <v>7.6</v>
      </c>
      <c r="H226" s="5">
        <v>419.1</v>
      </c>
    </row>
    <row r="227" spans="1:8" x14ac:dyDescent="0.2">
      <c r="A227" s="6">
        <v>5</v>
      </c>
      <c r="B227" s="7" t="s">
        <v>228</v>
      </c>
      <c r="C227" s="6">
        <v>3</v>
      </c>
      <c r="D227" s="8">
        <v>4.3</v>
      </c>
      <c r="E227" s="8">
        <v>3.7</v>
      </c>
      <c r="F227" s="8">
        <v>0.3</v>
      </c>
      <c r="G227" s="8">
        <v>8.3000000000000007</v>
      </c>
      <c r="H227" s="9">
        <v>457.6</v>
      </c>
    </row>
    <row r="228" spans="1:8" x14ac:dyDescent="0.2">
      <c r="A228" s="2">
        <v>5</v>
      </c>
      <c r="B228" s="3" t="s">
        <v>229</v>
      </c>
      <c r="C228" s="2">
        <v>1</v>
      </c>
      <c r="D228" s="4">
        <v>0</v>
      </c>
      <c r="E228" s="4">
        <v>1</v>
      </c>
      <c r="F228" s="4">
        <v>0</v>
      </c>
      <c r="G228" s="4">
        <v>1</v>
      </c>
      <c r="H228" s="5">
        <v>55</v>
      </c>
    </row>
    <row r="229" spans="1:8" x14ac:dyDescent="0.2">
      <c r="A229" s="6">
        <v>5</v>
      </c>
      <c r="B229" s="7" t="s">
        <v>230</v>
      </c>
      <c r="C229" s="6">
        <v>25</v>
      </c>
      <c r="D229" s="8">
        <v>4</v>
      </c>
      <c r="E229" s="8">
        <v>1.8</v>
      </c>
      <c r="F229" s="8">
        <v>0.4</v>
      </c>
      <c r="G229" s="8">
        <v>6.1</v>
      </c>
      <c r="H229" s="9">
        <v>336.6</v>
      </c>
    </row>
    <row r="230" spans="1:8" x14ac:dyDescent="0.2">
      <c r="A230" s="2">
        <v>5</v>
      </c>
      <c r="B230" s="3" t="s">
        <v>231</v>
      </c>
      <c r="C230" s="2">
        <v>4</v>
      </c>
      <c r="D230" s="4">
        <v>4.3</v>
      </c>
      <c r="E230" s="4">
        <v>2</v>
      </c>
      <c r="F230" s="4">
        <v>0</v>
      </c>
      <c r="G230" s="4">
        <v>6.3</v>
      </c>
      <c r="H230" s="5">
        <v>343.75</v>
      </c>
    </row>
    <row r="231" spans="1:8" x14ac:dyDescent="0.2">
      <c r="A231" s="6">
        <v>5</v>
      </c>
      <c r="B231" s="7" t="s">
        <v>232</v>
      </c>
      <c r="C231" s="6">
        <v>1</v>
      </c>
      <c r="D231" s="8">
        <v>5</v>
      </c>
      <c r="E231" s="8">
        <v>16</v>
      </c>
      <c r="F231" s="8">
        <v>0</v>
      </c>
      <c r="G231" s="8">
        <v>21</v>
      </c>
      <c r="H231" s="9">
        <v>1155</v>
      </c>
    </row>
    <row r="232" spans="1:8" x14ac:dyDescent="0.2">
      <c r="A232" s="2">
        <v>5</v>
      </c>
      <c r="B232" s="3" t="s">
        <v>233</v>
      </c>
      <c r="C232" s="2">
        <v>11</v>
      </c>
      <c r="D232" s="4">
        <v>4.5999999999999996</v>
      </c>
      <c r="E232" s="4">
        <v>5.5</v>
      </c>
      <c r="F232" s="4">
        <v>1.5</v>
      </c>
      <c r="G232" s="4">
        <v>11.5</v>
      </c>
      <c r="H232" s="5">
        <v>634.15</v>
      </c>
    </row>
    <row r="233" spans="1:8" x14ac:dyDescent="0.2">
      <c r="A233" s="6">
        <v>5</v>
      </c>
      <c r="B233" s="7" t="s">
        <v>234</v>
      </c>
      <c r="C233" s="6">
        <v>6</v>
      </c>
      <c r="D233" s="8">
        <v>3.8</v>
      </c>
      <c r="E233" s="8">
        <v>2.8</v>
      </c>
      <c r="F233" s="8">
        <v>0.8</v>
      </c>
      <c r="G233" s="8">
        <v>7.6</v>
      </c>
      <c r="H233" s="9">
        <v>411.95</v>
      </c>
    </row>
    <row r="234" spans="1:8" x14ac:dyDescent="0.2">
      <c r="A234" s="2">
        <v>5</v>
      </c>
      <c r="B234" s="3" t="s">
        <v>235</v>
      </c>
      <c r="C234" s="2">
        <v>1</v>
      </c>
      <c r="D234" s="4">
        <v>4</v>
      </c>
      <c r="E234" s="4">
        <v>6</v>
      </c>
      <c r="F234" s="4">
        <v>0</v>
      </c>
      <c r="G234" s="4">
        <v>10</v>
      </c>
      <c r="H234" s="5">
        <v>550</v>
      </c>
    </row>
    <row r="235" spans="1:8" x14ac:dyDescent="0.2">
      <c r="A235" s="6">
        <v>5</v>
      </c>
      <c r="B235" s="7" t="s">
        <v>236</v>
      </c>
      <c r="C235" s="6">
        <v>1</v>
      </c>
      <c r="D235" s="8">
        <v>5</v>
      </c>
      <c r="E235" s="8">
        <v>3</v>
      </c>
      <c r="F235" s="8">
        <v>1</v>
      </c>
      <c r="G235" s="8">
        <v>9</v>
      </c>
      <c r="H235" s="9">
        <v>495</v>
      </c>
    </row>
    <row r="236" spans="1:8" x14ac:dyDescent="0.2">
      <c r="A236" s="2">
        <v>5</v>
      </c>
      <c r="B236" s="3" t="s">
        <v>237</v>
      </c>
      <c r="C236" s="2">
        <v>4</v>
      </c>
      <c r="D236" s="4">
        <v>4</v>
      </c>
      <c r="E236" s="4">
        <v>4.3</v>
      </c>
      <c r="F236" s="4">
        <v>0.3</v>
      </c>
      <c r="G236" s="4">
        <v>8.5</v>
      </c>
      <c r="H236" s="5">
        <v>467.5</v>
      </c>
    </row>
    <row r="237" spans="1:8" x14ac:dyDescent="0.2">
      <c r="A237" s="6">
        <v>5</v>
      </c>
      <c r="B237" s="7" t="s">
        <v>238</v>
      </c>
      <c r="C237" s="6">
        <v>8</v>
      </c>
      <c r="D237" s="8">
        <v>5.0999999999999996</v>
      </c>
      <c r="E237" s="8">
        <v>4.5999999999999996</v>
      </c>
      <c r="F237" s="8">
        <v>0.9</v>
      </c>
      <c r="G237" s="8">
        <v>10.6</v>
      </c>
      <c r="H237" s="9">
        <v>583.54999999999995</v>
      </c>
    </row>
    <row r="238" spans="1:8" x14ac:dyDescent="0.2">
      <c r="A238" s="2">
        <v>5</v>
      </c>
      <c r="B238" s="3" t="s">
        <v>239</v>
      </c>
      <c r="C238" s="2">
        <v>453</v>
      </c>
      <c r="D238" s="4">
        <v>5</v>
      </c>
      <c r="E238" s="4">
        <v>4.3</v>
      </c>
      <c r="F238" s="4">
        <v>0.4</v>
      </c>
      <c r="G238" s="4">
        <v>9.6999999999999993</v>
      </c>
      <c r="H238" s="5">
        <v>532.4</v>
      </c>
    </row>
    <row r="239" spans="1:8" x14ac:dyDescent="0.2">
      <c r="A239" s="6">
        <v>5</v>
      </c>
      <c r="B239" s="7" t="s">
        <v>240</v>
      </c>
      <c r="C239" s="6">
        <v>6</v>
      </c>
      <c r="D239" s="8">
        <v>3.3</v>
      </c>
      <c r="E239" s="8">
        <v>4.5</v>
      </c>
      <c r="F239" s="8">
        <v>0.3</v>
      </c>
      <c r="G239" s="8">
        <v>8.1999999999999993</v>
      </c>
      <c r="H239" s="9">
        <v>448.8</v>
      </c>
    </row>
    <row r="240" spans="1:8" x14ac:dyDescent="0.2">
      <c r="A240" s="2">
        <v>5</v>
      </c>
      <c r="B240" s="3" t="s">
        <v>241</v>
      </c>
      <c r="C240" s="2">
        <v>1</v>
      </c>
      <c r="D240" s="4">
        <v>5</v>
      </c>
      <c r="E240" s="4">
        <v>4</v>
      </c>
      <c r="F240" s="4">
        <v>0</v>
      </c>
      <c r="G240" s="4">
        <v>9</v>
      </c>
      <c r="H240" s="5">
        <v>495</v>
      </c>
    </row>
    <row r="241" spans="1:8" x14ac:dyDescent="0.2">
      <c r="A241" s="6">
        <v>5</v>
      </c>
      <c r="B241" s="7" t="s">
        <v>242</v>
      </c>
      <c r="C241" s="6">
        <v>279</v>
      </c>
      <c r="D241" s="8">
        <v>0.7</v>
      </c>
      <c r="E241" s="8">
        <v>0.6</v>
      </c>
      <c r="F241" s="8">
        <v>0</v>
      </c>
      <c r="G241" s="8">
        <v>1.3</v>
      </c>
      <c r="H241" s="9">
        <v>72.599999999999994</v>
      </c>
    </row>
    <row r="242" spans="1:8" x14ac:dyDescent="0.2">
      <c r="A242" s="2">
        <v>5</v>
      </c>
      <c r="B242" s="3" t="s">
        <v>243</v>
      </c>
      <c r="C242" s="2">
        <v>1</v>
      </c>
      <c r="D242" s="4">
        <v>0</v>
      </c>
      <c r="E242" s="4">
        <v>1</v>
      </c>
      <c r="F242" s="4">
        <v>0</v>
      </c>
      <c r="G242" s="4">
        <v>1</v>
      </c>
      <c r="H242" s="5">
        <v>55</v>
      </c>
    </row>
    <row r="243" spans="1:8" x14ac:dyDescent="0.2">
      <c r="A243" s="6">
        <v>5</v>
      </c>
      <c r="B243" s="7" t="s">
        <v>244</v>
      </c>
      <c r="C243" s="6">
        <v>48</v>
      </c>
      <c r="D243" s="8">
        <v>5</v>
      </c>
      <c r="E243" s="8">
        <v>3.4</v>
      </c>
      <c r="F243" s="8">
        <v>0.6</v>
      </c>
      <c r="G243" s="8">
        <v>9</v>
      </c>
      <c r="H243" s="9">
        <v>495.55</v>
      </c>
    </row>
    <row r="244" spans="1:8" x14ac:dyDescent="0.2">
      <c r="A244" s="2">
        <v>5</v>
      </c>
      <c r="B244" s="3" t="s">
        <v>245</v>
      </c>
      <c r="C244" s="2">
        <v>1</v>
      </c>
      <c r="D244" s="4">
        <v>5</v>
      </c>
      <c r="E244" s="4">
        <v>6</v>
      </c>
      <c r="F244" s="4">
        <v>2</v>
      </c>
      <c r="G244" s="4">
        <v>13</v>
      </c>
      <c r="H244" s="5">
        <v>715</v>
      </c>
    </row>
    <row r="245" spans="1:8" x14ac:dyDescent="0.2">
      <c r="A245" s="6">
        <v>5</v>
      </c>
      <c r="B245" s="7" t="s">
        <v>246</v>
      </c>
      <c r="C245" s="6">
        <v>1</v>
      </c>
      <c r="D245" s="8">
        <v>5</v>
      </c>
      <c r="E245" s="8">
        <v>5</v>
      </c>
      <c r="F245" s="8">
        <v>2</v>
      </c>
      <c r="G245" s="8">
        <v>12</v>
      </c>
      <c r="H245" s="9">
        <v>660</v>
      </c>
    </row>
    <row r="246" spans="1:8" x14ac:dyDescent="0.2">
      <c r="A246" s="2">
        <v>5</v>
      </c>
      <c r="B246" s="3" t="s">
        <v>247</v>
      </c>
      <c r="C246" s="2">
        <v>96</v>
      </c>
      <c r="D246" s="4">
        <v>0.8</v>
      </c>
      <c r="E246" s="4">
        <v>0.4</v>
      </c>
      <c r="F246" s="4">
        <v>0.3</v>
      </c>
      <c r="G246" s="4">
        <v>1.5</v>
      </c>
      <c r="H246" s="5">
        <v>81.95</v>
      </c>
    </row>
    <row r="247" spans="1:8" x14ac:dyDescent="0.2">
      <c r="A247" s="6">
        <v>5</v>
      </c>
      <c r="B247" s="7" t="s">
        <v>248</v>
      </c>
      <c r="C247" s="6">
        <v>14</v>
      </c>
      <c r="D247" s="8">
        <v>5</v>
      </c>
      <c r="E247" s="8">
        <v>5.0999999999999996</v>
      </c>
      <c r="F247" s="8">
        <v>0.6</v>
      </c>
      <c r="G247" s="8">
        <v>10.7</v>
      </c>
      <c r="H247" s="9">
        <v>589.6</v>
      </c>
    </row>
    <row r="248" spans="1:8" x14ac:dyDescent="0.2">
      <c r="A248" s="2">
        <v>5</v>
      </c>
      <c r="B248" s="3" t="s">
        <v>249</v>
      </c>
      <c r="C248" s="2">
        <v>1</v>
      </c>
      <c r="D248" s="4">
        <v>6</v>
      </c>
      <c r="E248" s="4">
        <v>16</v>
      </c>
      <c r="F248" s="4">
        <v>0</v>
      </c>
      <c r="G248" s="4">
        <v>22</v>
      </c>
      <c r="H248" s="5">
        <v>1210</v>
      </c>
    </row>
    <row r="249" spans="1:8" x14ac:dyDescent="0.2">
      <c r="A249" s="6">
        <v>5</v>
      </c>
      <c r="B249" s="7" t="s">
        <v>250</v>
      </c>
      <c r="C249" s="6">
        <v>2</v>
      </c>
      <c r="D249" s="8">
        <v>5</v>
      </c>
      <c r="E249" s="8">
        <v>3</v>
      </c>
      <c r="F249" s="8">
        <v>1</v>
      </c>
      <c r="G249" s="8">
        <v>9</v>
      </c>
      <c r="H249" s="9">
        <v>495</v>
      </c>
    </row>
    <row r="250" spans="1:8" x14ac:dyDescent="0.2">
      <c r="A250" s="2">
        <v>5</v>
      </c>
      <c r="B250" s="3" t="s">
        <v>251</v>
      </c>
      <c r="C250" s="2">
        <v>1</v>
      </c>
      <c r="D250" s="4">
        <v>5</v>
      </c>
      <c r="E250" s="4">
        <v>4</v>
      </c>
      <c r="F250" s="4">
        <v>0</v>
      </c>
      <c r="G250" s="4">
        <v>9</v>
      </c>
      <c r="H250" s="5">
        <v>495</v>
      </c>
    </row>
    <row r="251" spans="1:8" x14ac:dyDescent="0.2">
      <c r="A251" s="6">
        <v>5</v>
      </c>
      <c r="B251" s="7" t="s">
        <v>252</v>
      </c>
      <c r="C251" s="6">
        <v>9</v>
      </c>
      <c r="D251" s="8">
        <v>4.3</v>
      </c>
      <c r="E251" s="8">
        <v>3.3</v>
      </c>
      <c r="F251" s="8">
        <v>0.1</v>
      </c>
      <c r="G251" s="8">
        <v>7.8</v>
      </c>
      <c r="H251" s="9">
        <v>427.35</v>
      </c>
    </row>
    <row r="252" spans="1:8" x14ac:dyDescent="0.2">
      <c r="A252" s="2">
        <v>5</v>
      </c>
      <c r="B252" s="3" t="s">
        <v>253</v>
      </c>
      <c r="C252" s="2">
        <v>3</v>
      </c>
      <c r="D252" s="4">
        <v>4</v>
      </c>
      <c r="E252" s="4">
        <v>2</v>
      </c>
      <c r="F252" s="4">
        <v>0.3</v>
      </c>
      <c r="G252" s="4">
        <v>6.3</v>
      </c>
      <c r="H252" s="5">
        <v>348.15</v>
      </c>
    </row>
    <row r="253" spans="1:8" x14ac:dyDescent="0.2">
      <c r="A253" s="6">
        <v>5</v>
      </c>
      <c r="B253" s="7" t="s">
        <v>254</v>
      </c>
      <c r="C253" s="6">
        <v>112</v>
      </c>
      <c r="D253" s="8">
        <v>4.8</v>
      </c>
      <c r="E253" s="8">
        <v>3.7</v>
      </c>
      <c r="F253" s="8">
        <v>0.4</v>
      </c>
      <c r="G253" s="8">
        <v>8.9</v>
      </c>
      <c r="H253" s="9">
        <v>487.3</v>
      </c>
    </row>
    <row r="254" spans="1:8" x14ac:dyDescent="0.2">
      <c r="A254" s="2">
        <v>5</v>
      </c>
      <c r="B254" s="3" t="s">
        <v>255</v>
      </c>
      <c r="C254" s="2">
        <v>1</v>
      </c>
      <c r="D254" s="4">
        <v>5</v>
      </c>
      <c r="E254" s="4">
        <v>2</v>
      </c>
      <c r="F254" s="4">
        <v>0</v>
      </c>
      <c r="G254" s="4">
        <v>7</v>
      </c>
      <c r="H254" s="5">
        <v>385</v>
      </c>
    </row>
    <row r="255" spans="1:8" x14ac:dyDescent="0.2">
      <c r="A255" s="6">
        <v>5</v>
      </c>
      <c r="B255" s="7" t="s">
        <v>256</v>
      </c>
      <c r="C255" s="6">
        <v>1</v>
      </c>
      <c r="D255" s="8">
        <v>0</v>
      </c>
      <c r="E255" s="8">
        <v>1</v>
      </c>
      <c r="F255" s="8">
        <v>0</v>
      </c>
      <c r="G255" s="8">
        <v>1</v>
      </c>
      <c r="H255" s="9">
        <v>55</v>
      </c>
    </row>
    <row r="256" spans="1:8" x14ac:dyDescent="0.2">
      <c r="A256" s="2">
        <v>5</v>
      </c>
      <c r="B256" s="3" t="s">
        <v>257</v>
      </c>
      <c r="C256" s="2">
        <v>295</v>
      </c>
      <c r="D256" s="4">
        <v>7.5</v>
      </c>
      <c r="E256" s="4">
        <v>3.9</v>
      </c>
      <c r="F256" s="4">
        <v>0.5</v>
      </c>
      <c r="G256" s="4">
        <v>11.9</v>
      </c>
      <c r="H256" s="5">
        <v>652.29999999999995</v>
      </c>
    </row>
    <row r="257" spans="1:8" x14ac:dyDescent="0.2">
      <c r="A257" s="6">
        <v>5</v>
      </c>
      <c r="B257" s="7" t="s">
        <v>258</v>
      </c>
      <c r="C257" s="6">
        <v>85</v>
      </c>
      <c r="D257" s="8">
        <v>8</v>
      </c>
      <c r="E257" s="8">
        <v>6.9</v>
      </c>
      <c r="F257" s="8">
        <v>1.1000000000000001</v>
      </c>
      <c r="G257" s="8">
        <v>15.9</v>
      </c>
      <c r="H257" s="9">
        <v>875.6</v>
      </c>
    </row>
    <row r="258" spans="1:8" x14ac:dyDescent="0.2">
      <c r="A258" s="2">
        <v>6</v>
      </c>
      <c r="B258" s="3" t="s">
        <v>259</v>
      </c>
      <c r="C258" s="2">
        <v>4</v>
      </c>
      <c r="D258" s="4">
        <v>4</v>
      </c>
      <c r="E258" s="4">
        <v>2</v>
      </c>
      <c r="F258" s="4">
        <v>0</v>
      </c>
      <c r="G258" s="4">
        <v>6</v>
      </c>
      <c r="H258" s="5">
        <v>330</v>
      </c>
    </row>
    <row r="259" spans="1:8" x14ac:dyDescent="0.2">
      <c r="A259" s="6">
        <v>6</v>
      </c>
      <c r="B259" s="7" t="s">
        <v>260</v>
      </c>
      <c r="C259" s="6">
        <v>7</v>
      </c>
      <c r="D259" s="8">
        <v>4.5999999999999996</v>
      </c>
      <c r="E259" s="8">
        <v>1.6</v>
      </c>
      <c r="F259" s="8">
        <v>0</v>
      </c>
      <c r="G259" s="8">
        <v>6.1</v>
      </c>
      <c r="H259" s="9">
        <v>337.7</v>
      </c>
    </row>
    <row r="260" spans="1:8" x14ac:dyDescent="0.2">
      <c r="A260" s="2">
        <v>6</v>
      </c>
      <c r="B260" s="3" t="s">
        <v>261</v>
      </c>
      <c r="C260" s="2">
        <v>1</v>
      </c>
      <c r="D260" s="4">
        <v>4</v>
      </c>
      <c r="E260" s="4">
        <v>2</v>
      </c>
      <c r="F260" s="4">
        <v>0</v>
      </c>
      <c r="G260" s="4">
        <v>6</v>
      </c>
      <c r="H260" s="5">
        <v>330</v>
      </c>
    </row>
    <row r="261" spans="1:8" x14ac:dyDescent="0.2">
      <c r="A261" s="6">
        <v>6</v>
      </c>
      <c r="B261" s="7" t="s">
        <v>262</v>
      </c>
      <c r="C261" s="6">
        <v>3</v>
      </c>
      <c r="D261" s="8">
        <v>4.7</v>
      </c>
      <c r="E261" s="8">
        <v>2.7</v>
      </c>
      <c r="F261" s="8">
        <v>0.3</v>
      </c>
      <c r="G261" s="8">
        <v>7.7</v>
      </c>
      <c r="H261" s="9">
        <v>420.75</v>
      </c>
    </row>
    <row r="262" spans="1:8" x14ac:dyDescent="0.2">
      <c r="A262" s="2">
        <v>6</v>
      </c>
      <c r="B262" s="3" t="s">
        <v>263</v>
      </c>
      <c r="C262" s="2">
        <v>42</v>
      </c>
      <c r="D262" s="4">
        <v>4.2</v>
      </c>
      <c r="E262" s="4">
        <v>6.1</v>
      </c>
      <c r="F262" s="4">
        <v>0.6</v>
      </c>
      <c r="G262" s="4">
        <v>10.8</v>
      </c>
      <c r="H262" s="5">
        <v>595.65</v>
      </c>
    </row>
    <row r="263" spans="1:8" x14ac:dyDescent="0.2">
      <c r="A263" s="6">
        <v>6</v>
      </c>
      <c r="B263" s="7" t="s">
        <v>264</v>
      </c>
      <c r="C263" s="6">
        <v>0</v>
      </c>
      <c r="D263" s="8">
        <v>0</v>
      </c>
      <c r="E263" s="8">
        <v>0</v>
      </c>
      <c r="F263" s="8">
        <v>0</v>
      </c>
      <c r="G263" s="8">
        <v>0</v>
      </c>
      <c r="H263" s="9">
        <v>0</v>
      </c>
    </row>
    <row r="264" spans="1:8" x14ac:dyDescent="0.2">
      <c r="A264" s="2">
        <v>6</v>
      </c>
      <c r="B264" s="3" t="s">
        <v>265</v>
      </c>
      <c r="C264" s="2">
        <v>46</v>
      </c>
      <c r="D264" s="4">
        <v>4.2</v>
      </c>
      <c r="E264" s="4">
        <v>6.1</v>
      </c>
      <c r="F264" s="4">
        <v>0.6</v>
      </c>
      <c r="G264" s="4">
        <v>10.9</v>
      </c>
      <c r="H264" s="5">
        <v>600.6</v>
      </c>
    </row>
    <row r="265" spans="1:8" x14ac:dyDescent="0.2">
      <c r="A265" s="6">
        <v>6</v>
      </c>
      <c r="B265" s="7" t="s">
        <v>266</v>
      </c>
      <c r="C265" s="6">
        <v>67</v>
      </c>
      <c r="D265" s="8">
        <v>4.3</v>
      </c>
      <c r="E265" s="8">
        <v>7.1</v>
      </c>
      <c r="F265" s="8">
        <v>1.1000000000000001</v>
      </c>
      <c r="G265" s="8">
        <v>12.5</v>
      </c>
      <c r="H265" s="9">
        <v>685.85</v>
      </c>
    </row>
    <row r="266" spans="1:8" x14ac:dyDescent="0.2">
      <c r="A266" s="2">
        <v>6</v>
      </c>
      <c r="B266" s="3" t="s">
        <v>267</v>
      </c>
      <c r="C266" s="2">
        <v>2</v>
      </c>
      <c r="D266" s="4">
        <v>6</v>
      </c>
      <c r="E266" s="4">
        <v>5.5</v>
      </c>
      <c r="F266" s="4">
        <v>1</v>
      </c>
      <c r="G266" s="4">
        <v>12.5</v>
      </c>
      <c r="H266" s="5">
        <v>687.5</v>
      </c>
    </row>
    <row r="267" spans="1:8" x14ac:dyDescent="0.2">
      <c r="A267" s="6">
        <v>6</v>
      </c>
      <c r="B267" s="7" t="s">
        <v>268</v>
      </c>
      <c r="C267" s="6">
        <v>0</v>
      </c>
      <c r="D267" s="8">
        <v>0</v>
      </c>
      <c r="E267" s="8">
        <v>0</v>
      </c>
      <c r="F267" s="8">
        <v>0</v>
      </c>
      <c r="G267" s="8">
        <v>0</v>
      </c>
      <c r="H267" s="9">
        <v>0</v>
      </c>
    </row>
    <row r="268" spans="1:8" x14ac:dyDescent="0.2">
      <c r="A268" s="2">
        <v>6</v>
      </c>
      <c r="B268" s="3" t="s">
        <v>269</v>
      </c>
      <c r="C268" s="2">
        <v>0</v>
      </c>
      <c r="D268" s="4">
        <v>0</v>
      </c>
      <c r="E268" s="4">
        <v>0</v>
      </c>
      <c r="F268" s="4">
        <v>0</v>
      </c>
      <c r="G268" s="4">
        <v>0</v>
      </c>
      <c r="H268" s="5">
        <v>0</v>
      </c>
    </row>
    <row r="269" spans="1:8" x14ac:dyDescent="0.2">
      <c r="A269" s="6">
        <v>6</v>
      </c>
      <c r="B269" s="7" t="s">
        <v>270</v>
      </c>
      <c r="C269" s="6">
        <v>2</v>
      </c>
      <c r="D269" s="8">
        <v>6</v>
      </c>
      <c r="E269" s="8">
        <v>13</v>
      </c>
      <c r="F269" s="8">
        <v>7</v>
      </c>
      <c r="G269" s="8">
        <v>26</v>
      </c>
      <c r="H269" s="9">
        <v>1430</v>
      </c>
    </row>
    <row r="270" spans="1:8" x14ac:dyDescent="0.2">
      <c r="A270" s="2">
        <v>6</v>
      </c>
      <c r="B270" s="3" t="s">
        <v>271</v>
      </c>
      <c r="C270" s="2">
        <v>2</v>
      </c>
      <c r="D270" s="4">
        <v>14</v>
      </c>
      <c r="E270" s="4">
        <v>20</v>
      </c>
      <c r="F270" s="4">
        <v>1</v>
      </c>
      <c r="G270" s="4">
        <v>35</v>
      </c>
      <c r="H270" s="5">
        <v>1925</v>
      </c>
    </row>
    <row r="271" spans="1:8" x14ac:dyDescent="0.2">
      <c r="A271" s="6">
        <v>6</v>
      </c>
      <c r="B271" s="7" t="s">
        <v>272</v>
      </c>
      <c r="C271" s="6">
        <v>19</v>
      </c>
      <c r="D271" s="8">
        <v>4.5999999999999996</v>
      </c>
      <c r="E271" s="8">
        <v>3.3</v>
      </c>
      <c r="F271" s="8">
        <v>0.4</v>
      </c>
      <c r="G271" s="8">
        <v>8.3000000000000007</v>
      </c>
      <c r="H271" s="9">
        <v>453.75</v>
      </c>
    </row>
    <row r="272" spans="1:8" x14ac:dyDescent="0.2">
      <c r="A272" s="2">
        <v>6</v>
      </c>
      <c r="B272" s="3" t="s">
        <v>273</v>
      </c>
      <c r="C272" s="2">
        <v>7</v>
      </c>
      <c r="D272" s="4">
        <v>4.5999999999999996</v>
      </c>
      <c r="E272" s="4">
        <v>3.6</v>
      </c>
      <c r="F272" s="4">
        <v>0.7</v>
      </c>
      <c r="G272" s="4">
        <v>8.9</v>
      </c>
      <c r="H272" s="5">
        <v>486.75</v>
      </c>
    </row>
    <row r="273" spans="1:8" x14ac:dyDescent="0.2">
      <c r="A273" s="6">
        <v>6</v>
      </c>
      <c r="B273" s="7" t="s">
        <v>274</v>
      </c>
      <c r="C273" s="6">
        <v>2</v>
      </c>
      <c r="D273" s="8">
        <v>5</v>
      </c>
      <c r="E273" s="8">
        <v>5.5</v>
      </c>
      <c r="F273" s="8">
        <v>0</v>
      </c>
      <c r="G273" s="8">
        <v>10.5</v>
      </c>
      <c r="H273" s="9">
        <v>577.5</v>
      </c>
    </row>
    <row r="274" spans="1:8" x14ac:dyDescent="0.2">
      <c r="A274" s="2">
        <v>6</v>
      </c>
      <c r="B274" s="3" t="s">
        <v>275</v>
      </c>
      <c r="C274" s="2">
        <v>12</v>
      </c>
      <c r="D274" s="4">
        <v>5.7</v>
      </c>
      <c r="E274" s="4">
        <v>5.9</v>
      </c>
      <c r="F274" s="4">
        <v>0.2</v>
      </c>
      <c r="G274" s="4">
        <v>11.7</v>
      </c>
      <c r="H274" s="5">
        <v>645.15</v>
      </c>
    </row>
    <row r="275" spans="1:8" x14ac:dyDescent="0.2">
      <c r="A275" s="6">
        <v>6</v>
      </c>
      <c r="B275" s="7" t="s">
        <v>276</v>
      </c>
      <c r="C275" s="6">
        <v>293</v>
      </c>
      <c r="D275" s="8">
        <v>6.3</v>
      </c>
      <c r="E275" s="8">
        <v>6.1</v>
      </c>
      <c r="F275" s="8">
        <v>0.5</v>
      </c>
      <c r="G275" s="8">
        <v>12.8</v>
      </c>
      <c r="H275" s="9">
        <v>702.9</v>
      </c>
    </row>
    <row r="276" spans="1:8" x14ac:dyDescent="0.2">
      <c r="A276" s="2">
        <v>6</v>
      </c>
      <c r="B276" s="3" t="s">
        <v>277</v>
      </c>
      <c r="C276" s="2">
        <v>1</v>
      </c>
      <c r="D276" s="4">
        <v>6</v>
      </c>
      <c r="E276" s="4">
        <v>8</v>
      </c>
      <c r="F276" s="4">
        <v>0</v>
      </c>
      <c r="G276" s="4">
        <v>14</v>
      </c>
      <c r="H276" s="5">
        <v>770</v>
      </c>
    </row>
    <row r="277" spans="1:8" x14ac:dyDescent="0.2">
      <c r="A277" s="6">
        <v>6</v>
      </c>
      <c r="B277" s="7" t="s">
        <v>278</v>
      </c>
      <c r="C277" s="6">
        <v>1</v>
      </c>
      <c r="D277" s="8">
        <v>5</v>
      </c>
      <c r="E277" s="8">
        <v>4</v>
      </c>
      <c r="F277" s="8">
        <v>1</v>
      </c>
      <c r="G277" s="8">
        <v>10</v>
      </c>
      <c r="H277" s="9">
        <v>550</v>
      </c>
    </row>
    <row r="278" spans="1:8" x14ac:dyDescent="0.2">
      <c r="A278" s="2">
        <v>6</v>
      </c>
      <c r="B278" s="3" t="s">
        <v>279</v>
      </c>
      <c r="C278" s="2">
        <v>1</v>
      </c>
      <c r="D278" s="4">
        <v>0</v>
      </c>
      <c r="E278" s="4">
        <v>2</v>
      </c>
      <c r="F278" s="4">
        <v>0</v>
      </c>
      <c r="G278" s="4">
        <v>2</v>
      </c>
      <c r="H278" s="5">
        <v>110</v>
      </c>
    </row>
    <row r="279" spans="1:8" x14ac:dyDescent="0.2">
      <c r="A279" s="6">
        <v>6</v>
      </c>
      <c r="B279" s="7" t="s">
        <v>280</v>
      </c>
      <c r="C279" s="6">
        <v>17</v>
      </c>
      <c r="D279" s="8">
        <v>4</v>
      </c>
      <c r="E279" s="8">
        <v>2.2000000000000002</v>
      </c>
      <c r="F279" s="8">
        <v>0.2</v>
      </c>
      <c r="G279" s="8">
        <v>6.5</v>
      </c>
      <c r="H279" s="9">
        <v>355.3</v>
      </c>
    </row>
    <row r="280" spans="1:8" x14ac:dyDescent="0.2">
      <c r="A280" s="2">
        <v>6</v>
      </c>
      <c r="B280" s="3" t="s">
        <v>281</v>
      </c>
      <c r="C280" s="2">
        <v>8</v>
      </c>
      <c r="D280" s="4">
        <v>4.5</v>
      </c>
      <c r="E280" s="4">
        <v>3</v>
      </c>
      <c r="F280" s="4">
        <v>0.1</v>
      </c>
      <c r="G280" s="4">
        <v>7.6</v>
      </c>
      <c r="H280" s="5">
        <v>419.1</v>
      </c>
    </row>
    <row r="281" spans="1:8" x14ac:dyDescent="0.2">
      <c r="A281" s="6">
        <v>6</v>
      </c>
      <c r="B281" s="7" t="s">
        <v>282</v>
      </c>
      <c r="C281" s="6">
        <v>21</v>
      </c>
      <c r="D281" s="8">
        <v>4.2</v>
      </c>
      <c r="E281" s="8">
        <v>3</v>
      </c>
      <c r="F281" s="8">
        <v>0.3</v>
      </c>
      <c r="G281" s="8">
        <v>7.6</v>
      </c>
      <c r="H281" s="9">
        <v>415.8</v>
      </c>
    </row>
    <row r="282" spans="1:8" x14ac:dyDescent="0.2">
      <c r="A282" s="2">
        <v>6</v>
      </c>
      <c r="B282" s="3" t="s">
        <v>283</v>
      </c>
      <c r="C282" s="2">
        <v>1</v>
      </c>
      <c r="D282" s="4">
        <v>0</v>
      </c>
      <c r="E282" s="4">
        <v>0</v>
      </c>
      <c r="F282" s="4">
        <v>1</v>
      </c>
      <c r="G282" s="4">
        <v>1</v>
      </c>
      <c r="H282" s="5">
        <v>55</v>
      </c>
    </row>
    <row r="283" spans="1:8" x14ac:dyDescent="0.2">
      <c r="A283" s="6">
        <v>6</v>
      </c>
      <c r="B283" s="7" t="s">
        <v>284</v>
      </c>
      <c r="C283" s="6">
        <v>77</v>
      </c>
      <c r="D283" s="8">
        <v>5</v>
      </c>
      <c r="E283" s="8">
        <v>3.8</v>
      </c>
      <c r="F283" s="8">
        <v>1.1000000000000001</v>
      </c>
      <c r="G283" s="8">
        <v>9.9</v>
      </c>
      <c r="H283" s="9">
        <v>545.6</v>
      </c>
    </row>
    <row r="284" spans="1:8" x14ac:dyDescent="0.2">
      <c r="A284" s="2">
        <v>6</v>
      </c>
      <c r="B284" s="3" t="s">
        <v>285</v>
      </c>
      <c r="C284" s="2">
        <v>148</v>
      </c>
      <c r="D284" s="4">
        <v>4</v>
      </c>
      <c r="E284" s="4">
        <v>2.1</v>
      </c>
      <c r="F284" s="4">
        <v>0.1</v>
      </c>
      <c r="G284" s="4">
        <v>6.2</v>
      </c>
      <c r="H284" s="5">
        <v>340.45</v>
      </c>
    </row>
    <row r="285" spans="1:8" x14ac:dyDescent="0.2">
      <c r="A285" s="6">
        <v>6</v>
      </c>
      <c r="B285" s="7" t="s">
        <v>286</v>
      </c>
      <c r="C285" s="6">
        <v>1</v>
      </c>
      <c r="D285" s="8">
        <v>4</v>
      </c>
      <c r="E285" s="8">
        <v>3</v>
      </c>
      <c r="F285" s="8">
        <v>0</v>
      </c>
      <c r="G285" s="8">
        <v>7</v>
      </c>
      <c r="H285" s="9">
        <v>385</v>
      </c>
    </row>
    <row r="286" spans="1:8" x14ac:dyDescent="0.2">
      <c r="A286" s="2">
        <v>6</v>
      </c>
      <c r="B286" s="3" t="s">
        <v>287</v>
      </c>
      <c r="C286" s="2">
        <v>98</v>
      </c>
      <c r="D286" s="4">
        <v>5.4</v>
      </c>
      <c r="E286" s="4">
        <v>4.8</v>
      </c>
      <c r="F286" s="4">
        <v>0.9</v>
      </c>
      <c r="G286" s="4">
        <v>11.2</v>
      </c>
      <c r="H286" s="5">
        <v>613.25</v>
      </c>
    </row>
    <row r="287" spans="1:8" x14ac:dyDescent="0.2">
      <c r="A287" s="6">
        <v>6</v>
      </c>
      <c r="B287" s="7" t="s">
        <v>288</v>
      </c>
      <c r="C287" s="6">
        <v>22</v>
      </c>
      <c r="D287" s="8">
        <v>5.9</v>
      </c>
      <c r="E287" s="8">
        <v>5.0999999999999996</v>
      </c>
      <c r="F287" s="8">
        <v>0.6</v>
      </c>
      <c r="G287" s="8">
        <v>11.6</v>
      </c>
      <c r="H287" s="9">
        <v>636.9</v>
      </c>
    </row>
    <row r="288" spans="1:8" x14ac:dyDescent="0.2">
      <c r="A288" s="2">
        <v>6</v>
      </c>
      <c r="B288" s="3" t="s">
        <v>289</v>
      </c>
      <c r="C288" s="2">
        <v>17</v>
      </c>
      <c r="D288" s="4">
        <v>5.8</v>
      </c>
      <c r="E288" s="4">
        <v>4.9000000000000004</v>
      </c>
      <c r="F288" s="4">
        <v>0.6</v>
      </c>
      <c r="G288" s="4">
        <v>11.4</v>
      </c>
      <c r="H288" s="5">
        <v>627</v>
      </c>
    </row>
    <row r="289" spans="1:8" x14ac:dyDescent="0.2">
      <c r="A289" s="6">
        <v>6</v>
      </c>
      <c r="B289" s="7" t="s">
        <v>290</v>
      </c>
      <c r="C289" s="6">
        <v>1</v>
      </c>
      <c r="D289" s="8">
        <v>6</v>
      </c>
      <c r="E289" s="8">
        <v>5</v>
      </c>
      <c r="F289" s="8">
        <v>0</v>
      </c>
      <c r="G289" s="8">
        <v>11</v>
      </c>
      <c r="H289" s="9">
        <v>605</v>
      </c>
    </row>
    <row r="290" spans="1:8" x14ac:dyDescent="0.2">
      <c r="A290" s="2">
        <v>6</v>
      </c>
      <c r="B290" s="3" t="s">
        <v>291</v>
      </c>
      <c r="C290" s="2">
        <v>59</v>
      </c>
      <c r="D290" s="4">
        <v>3</v>
      </c>
      <c r="E290" s="4">
        <v>2.1</v>
      </c>
      <c r="F290" s="4">
        <v>0.5</v>
      </c>
      <c r="G290" s="4">
        <v>5.7</v>
      </c>
      <c r="H290" s="5">
        <v>310.75</v>
      </c>
    </row>
    <row r="291" spans="1:8" x14ac:dyDescent="0.2">
      <c r="A291" s="6">
        <v>6</v>
      </c>
      <c r="B291" s="7" t="s">
        <v>292</v>
      </c>
      <c r="C291" s="6">
        <v>4</v>
      </c>
      <c r="D291" s="8">
        <v>3.8</v>
      </c>
      <c r="E291" s="8">
        <v>3</v>
      </c>
      <c r="F291" s="8">
        <v>0</v>
      </c>
      <c r="G291" s="8">
        <v>6.8</v>
      </c>
      <c r="H291" s="9">
        <v>371.25</v>
      </c>
    </row>
    <row r="292" spans="1:8" x14ac:dyDescent="0.2">
      <c r="A292" s="2">
        <v>6</v>
      </c>
      <c r="B292" s="3" t="s">
        <v>293</v>
      </c>
      <c r="C292" s="2">
        <v>3</v>
      </c>
      <c r="D292" s="4">
        <v>4.7</v>
      </c>
      <c r="E292" s="4">
        <v>3.7</v>
      </c>
      <c r="F292" s="4">
        <v>0</v>
      </c>
      <c r="G292" s="4">
        <v>8.3000000000000007</v>
      </c>
      <c r="H292" s="5">
        <v>457.6</v>
      </c>
    </row>
    <row r="293" spans="1:8" x14ac:dyDescent="0.2">
      <c r="A293" s="6">
        <v>6</v>
      </c>
      <c r="B293" s="7" t="s">
        <v>294</v>
      </c>
      <c r="C293" s="6">
        <v>6</v>
      </c>
      <c r="D293" s="8">
        <v>3.7</v>
      </c>
      <c r="E293" s="8">
        <v>2.5</v>
      </c>
      <c r="F293" s="8">
        <v>0</v>
      </c>
      <c r="G293" s="8">
        <v>6.2</v>
      </c>
      <c r="H293" s="9">
        <v>338.8</v>
      </c>
    </row>
    <row r="294" spans="1:8" x14ac:dyDescent="0.2">
      <c r="A294" s="2">
        <v>6</v>
      </c>
      <c r="B294" s="3" t="s">
        <v>295</v>
      </c>
      <c r="C294" s="2">
        <v>2</v>
      </c>
      <c r="D294" s="4">
        <v>4</v>
      </c>
      <c r="E294" s="4">
        <v>3</v>
      </c>
      <c r="F294" s="4">
        <v>0</v>
      </c>
      <c r="G294" s="4">
        <v>7</v>
      </c>
      <c r="H294" s="5">
        <v>385</v>
      </c>
    </row>
    <row r="295" spans="1:8" x14ac:dyDescent="0.2">
      <c r="A295" s="6">
        <v>6</v>
      </c>
      <c r="B295" s="7" t="s">
        <v>296</v>
      </c>
      <c r="C295" s="6">
        <v>7</v>
      </c>
      <c r="D295" s="8">
        <v>2.2999999999999998</v>
      </c>
      <c r="E295" s="8">
        <v>1.6</v>
      </c>
      <c r="F295" s="8">
        <v>0</v>
      </c>
      <c r="G295" s="8">
        <v>3.9</v>
      </c>
      <c r="H295" s="9">
        <v>211.75</v>
      </c>
    </row>
    <row r="296" spans="1:8" x14ac:dyDescent="0.2">
      <c r="A296" s="2">
        <v>6</v>
      </c>
      <c r="B296" s="3" t="s">
        <v>297</v>
      </c>
      <c r="C296" s="2">
        <v>1</v>
      </c>
      <c r="D296" s="4">
        <v>5</v>
      </c>
      <c r="E296" s="4">
        <v>3</v>
      </c>
      <c r="F296" s="4">
        <v>0</v>
      </c>
      <c r="G296" s="4">
        <v>8</v>
      </c>
      <c r="H296" s="5">
        <v>440</v>
      </c>
    </row>
    <row r="297" spans="1:8" x14ac:dyDescent="0.2">
      <c r="A297" s="6">
        <v>6</v>
      </c>
      <c r="B297" s="7" t="s">
        <v>298</v>
      </c>
      <c r="C297" s="6">
        <v>1</v>
      </c>
      <c r="D297" s="8">
        <v>4</v>
      </c>
      <c r="E297" s="8">
        <v>4</v>
      </c>
      <c r="F297" s="8">
        <v>2</v>
      </c>
      <c r="G297" s="8">
        <v>10</v>
      </c>
      <c r="H297" s="9">
        <v>550</v>
      </c>
    </row>
    <row r="298" spans="1:8" x14ac:dyDescent="0.2">
      <c r="A298" s="2">
        <v>6</v>
      </c>
      <c r="B298" s="3" t="s">
        <v>299</v>
      </c>
      <c r="C298" s="2">
        <v>6</v>
      </c>
      <c r="D298" s="4">
        <v>4</v>
      </c>
      <c r="E298" s="4">
        <v>2.7</v>
      </c>
      <c r="F298" s="4">
        <v>0.8</v>
      </c>
      <c r="G298" s="4">
        <v>7.5</v>
      </c>
      <c r="H298" s="5">
        <v>411.95</v>
      </c>
    </row>
    <row r="299" spans="1:8" x14ac:dyDescent="0.2">
      <c r="A299" s="6">
        <v>6</v>
      </c>
      <c r="B299" s="7" t="s">
        <v>300</v>
      </c>
      <c r="C299" s="6">
        <v>1</v>
      </c>
      <c r="D299" s="8">
        <v>0</v>
      </c>
      <c r="E299" s="8">
        <v>1</v>
      </c>
      <c r="F299" s="8">
        <v>0</v>
      </c>
      <c r="G299" s="8">
        <v>1</v>
      </c>
      <c r="H299" s="9">
        <v>55</v>
      </c>
    </row>
    <row r="300" spans="1:8" x14ac:dyDescent="0.2">
      <c r="A300" s="2">
        <v>6</v>
      </c>
      <c r="B300" s="3" t="s">
        <v>301</v>
      </c>
      <c r="C300" s="2">
        <v>1</v>
      </c>
      <c r="D300" s="4">
        <v>0</v>
      </c>
      <c r="E300" s="4">
        <v>1</v>
      </c>
      <c r="F300" s="4">
        <v>0</v>
      </c>
      <c r="G300" s="4">
        <v>1</v>
      </c>
      <c r="H300" s="5">
        <v>55</v>
      </c>
    </row>
    <row r="301" spans="1:8" x14ac:dyDescent="0.2">
      <c r="A301" s="6">
        <v>6</v>
      </c>
      <c r="B301" s="7" t="s">
        <v>302</v>
      </c>
      <c r="C301" s="6">
        <v>3</v>
      </c>
      <c r="D301" s="8">
        <v>4</v>
      </c>
      <c r="E301" s="8">
        <v>3.7</v>
      </c>
      <c r="F301" s="8">
        <v>1</v>
      </c>
      <c r="G301" s="8">
        <v>8.6999999999999993</v>
      </c>
      <c r="H301" s="9">
        <v>476.3</v>
      </c>
    </row>
    <row r="302" spans="1:8" x14ac:dyDescent="0.2">
      <c r="A302" s="2">
        <v>6</v>
      </c>
      <c r="B302" s="3" t="s">
        <v>303</v>
      </c>
      <c r="C302" s="2">
        <v>13</v>
      </c>
      <c r="D302" s="4">
        <v>3.7</v>
      </c>
      <c r="E302" s="4">
        <v>2.1</v>
      </c>
      <c r="F302" s="4">
        <v>0.1</v>
      </c>
      <c r="G302" s="4">
        <v>5.8</v>
      </c>
      <c r="H302" s="5">
        <v>320.64999999999998</v>
      </c>
    </row>
    <row r="303" spans="1:8" x14ac:dyDescent="0.2">
      <c r="A303" s="6">
        <v>6</v>
      </c>
      <c r="B303" s="7" t="s">
        <v>304</v>
      </c>
      <c r="C303" s="6">
        <v>1</v>
      </c>
      <c r="D303" s="8">
        <v>4</v>
      </c>
      <c r="E303" s="8">
        <v>6</v>
      </c>
      <c r="F303" s="8">
        <v>3</v>
      </c>
      <c r="G303" s="8">
        <v>13</v>
      </c>
      <c r="H303" s="9">
        <v>715</v>
      </c>
    </row>
    <row r="304" spans="1:8" x14ac:dyDescent="0.2">
      <c r="A304" s="2">
        <v>6</v>
      </c>
      <c r="B304" s="3" t="s">
        <v>305</v>
      </c>
      <c r="C304" s="2">
        <v>1</v>
      </c>
      <c r="D304" s="4">
        <v>5</v>
      </c>
      <c r="E304" s="4">
        <v>5</v>
      </c>
      <c r="F304" s="4">
        <v>1</v>
      </c>
      <c r="G304" s="4">
        <v>11</v>
      </c>
      <c r="H304" s="5">
        <v>605</v>
      </c>
    </row>
    <row r="305" spans="1:8" x14ac:dyDescent="0.2">
      <c r="A305" s="6">
        <v>6</v>
      </c>
      <c r="B305" s="7" t="s">
        <v>306</v>
      </c>
      <c r="C305" s="6">
        <v>2</v>
      </c>
      <c r="D305" s="8">
        <v>4</v>
      </c>
      <c r="E305" s="8">
        <v>3</v>
      </c>
      <c r="F305" s="8">
        <v>0.5</v>
      </c>
      <c r="G305" s="8">
        <v>7.5</v>
      </c>
      <c r="H305" s="9">
        <v>412.5</v>
      </c>
    </row>
    <row r="306" spans="1:8" x14ac:dyDescent="0.2">
      <c r="A306" s="2">
        <v>6</v>
      </c>
      <c r="B306" s="3" t="s">
        <v>307</v>
      </c>
      <c r="C306" s="2">
        <v>1</v>
      </c>
      <c r="D306" s="4">
        <v>4</v>
      </c>
      <c r="E306" s="4">
        <v>4</v>
      </c>
      <c r="F306" s="4">
        <v>0</v>
      </c>
      <c r="G306" s="4">
        <v>8</v>
      </c>
      <c r="H306" s="5">
        <v>440</v>
      </c>
    </row>
    <row r="307" spans="1:8" x14ac:dyDescent="0.2">
      <c r="A307" s="6">
        <v>6</v>
      </c>
      <c r="B307" s="7" t="s">
        <v>308</v>
      </c>
      <c r="C307" s="6">
        <v>16</v>
      </c>
      <c r="D307" s="8">
        <v>4</v>
      </c>
      <c r="E307" s="8">
        <v>2.9</v>
      </c>
      <c r="F307" s="8">
        <v>0.5</v>
      </c>
      <c r="G307" s="8">
        <v>7.4</v>
      </c>
      <c r="H307" s="9">
        <v>408.65</v>
      </c>
    </row>
    <row r="308" spans="1:8" x14ac:dyDescent="0.2">
      <c r="A308" s="2">
        <v>6</v>
      </c>
      <c r="B308" s="3" t="s">
        <v>309</v>
      </c>
      <c r="C308" s="2">
        <v>5</v>
      </c>
      <c r="D308" s="4">
        <v>4.2</v>
      </c>
      <c r="E308" s="4">
        <v>3.6</v>
      </c>
      <c r="F308" s="4">
        <v>0.6</v>
      </c>
      <c r="G308" s="4">
        <v>8.4</v>
      </c>
      <c r="H308" s="5">
        <v>462</v>
      </c>
    </row>
    <row r="309" spans="1:8" x14ac:dyDescent="0.2">
      <c r="A309" s="6">
        <v>6</v>
      </c>
      <c r="B309" s="7" t="s">
        <v>310</v>
      </c>
      <c r="C309" s="6">
        <v>1</v>
      </c>
      <c r="D309" s="8">
        <v>6</v>
      </c>
      <c r="E309" s="8">
        <v>8</v>
      </c>
      <c r="F309" s="8">
        <v>0</v>
      </c>
      <c r="G309" s="8">
        <v>14</v>
      </c>
      <c r="H309" s="9">
        <v>770</v>
      </c>
    </row>
    <row r="310" spans="1:8" x14ac:dyDescent="0.2">
      <c r="A310" s="2">
        <v>7</v>
      </c>
      <c r="B310" s="3" t="s">
        <v>311</v>
      </c>
      <c r="C310" s="2">
        <v>10</v>
      </c>
      <c r="D310" s="4">
        <v>3.9</v>
      </c>
      <c r="E310" s="4">
        <v>3.7</v>
      </c>
      <c r="F310" s="4">
        <v>0.3</v>
      </c>
      <c r="G310" s="4">
        <v>7.9</v>
      </c>
      <c r="H310" s="5">
        <v>434.5</v>
      </c>
    </row>
    <row r="311" spans="1:8" x14ac:dyDescent="0.2">
      <c r="A311" s="6">
        <v>7</v>
      </c>
      <c r="B311" s="7" t="s">
        <v>312</v>
      </c>
      <c r="C311" s="6">
        <v>3</v>
      </c>
      <c r="D311" s="8">
        <v>4</v>
      </c>
      <c r="E311" s="8">
        <v>4</v>
      </c>
      <c r="F311" s="8">
        <v>0.3</v>
      </c>
      <c r="G311" s="8">
        <v>8.3000000000000007</v>
      </c>
      <c r="H311" s="9">
        <v>458.15</v>
      </c>
    </row>
    <row r="312" spans="1:8" x14ac:dyDescent="0.2">
      <c r="A312" s="2">
        <v>7</v>
      </c>
      <c r="B312" s="3" t="s">
        <v>313</v>
      </c>
      <c r="C312" s="2">
        <v>15</v>
      </c>
      <c r="D312" s="4">
        <v>4</v>
      </c>
      <c r="E312" s="4">
        <v>3.7</v>
      </c>
      <c r="F312" s="4">
        <v>0.3</v>
      </c>
      <c r="G312" s="4">
        <v>8.1</v>
      </c>
      <c r="H312" s="5">
        <v>443.3</v>
      </c>
    </row>
    <row r="313" spans="1:8" x14ac:dyDescent="0.2">
      <c r="A313" s="6">
        <v>7</v>
      </c>
      <c r="B313" s="7" t="s">
        <v>314</v>
      </c>
      <c r="C313" s="6">
        <v>4</v>
      </c>
      <c r="D313" s="8">
        <v>2</v>
      </c>
      <c r="E313" s="8">
        <v>2.2999999999999998</v>
      </c>
      <c r="F313" s="8">
        <v>0.5</v>
      </c>
      <c r="G313" s="8">
        <v>4.8</v>
      </c>
      <c r="H313" s="9">
        <v>261.25</v>
      </c>
    </row>
    <row r="314" spans="1:8" x14ac:dyDescent="0.2">
      <c r="A314" s="2">
        <v>7</v>
      </c>
      <c r="B314" s="3" t="s">
        <v>315</v>
      </c>
      <c r="C314" s="2">
        <v>12</v>
      </c>
      <c r="D314" s="4">
        <v>3.6</v>
      </c>
      <c r="E314" s="4">
        <v>4.7</v>
      </c>
      <c r="F314" s="4">
        <v>0.7</v>
      </c>
      <c r="G314" s="4">
        <v>8.9</v>
      </c>
      <c r="H314" s="5">
        <v>489.5</v>
      </c>
    </row>
    <row r="315" spans="1:8" x14ac:dyDescent="0.2">
      <c r="A315" s="6">
        <v>7</v>
      </c>
      <c r="B315" s="7" t="s">
        <v>316</v>
      </c>
      <c r="C315" s="6">
        <v>1</v>
      </c>
      <c r="D315" s="8">
        <v>6</v>
      </c>
      <c r="E315" s="8">
        <v>4</v>
      </c>
      <c r="F315" s="8">
        <v>2</v>
      </c>
      <c r="G315" s="8">
        <v>12</v>
      </c>
      <c r="H315" s="9">
        <v>660</v>
      </c>
    </row>
    <row r="316" spans="1:8" x14ac:dyDescent="0.2">
      <c r="A316" s="2">
        <v>7</v>
      </c>
      <c r="B316" s="3" t="s">
        <v>317</v>
      </c>
      <c r="C316" s="2">
        <v>3</v>
      </c>
      <c r="D316" s="4">
        <v>4</v>
      </c>
      <c r="E316" s="4">
        <v>4</v>
      </c>
      <c r="F316" s="4">
        <v>0.7</v>
      </c>
      <c r="G316" s="4">
        <v>8.6999999999999993</v>
      </c>
      <c r="H316" s="5">
        <v>476.3</v>
      </c>
    </row>
    <row r="317" spans="1:8" x14ac:dyDescent="0.2">
      <c r="A317" s="6">
        <v>7</v>
      </c>
      <c r="B317" s="7" t="s">
        <v>318</v>
      </c>
      <c r="C317" s="6">
        <v>13</v>
      </c>
      <c r="D317" s="8">
        <v>6.9</v>
      </c>
      <c r="E317" s="8">
        <v>3.9</v>
      </c>
      <c r="F317" s="8">
        <v>0.7</v>
      </c>
      <c r="G317" s="8">
        <v>11.5</v>
      </c>
      <c r="H317" s="9">
        <v>634.15</v>
      </c>
    </row>
    <row r="318" spans="1:8" x14ac:dyDescent="0.2">
      <c r="A318" s="2">
        <v>7</v>
      </c>
      <c r="B318" s="3" t="s">
        <v>319</v>
      </c>
      <c r="C318" s="2">
        <v>1</v>
      </c>
      <c r="D318" s="4">
        <v>6</v>
      </c>
      <c r="E318" s="4">
        <v>4</v>
      </c>
      <c r="F318" s="4">
        <v>2</v>
      </c>
      <c r="G318" s="4">
        <v>12</v>
      </c>
      <c r="H318" s="5">
        <v>660</v>
      </c>
    </row>
    <row r="319" spans="1:8" x14ac:dyDescent="0.2">
      <c r="A319" s="6">
        <v>7</v>
      </c>
      <c r="B319" s="7" t="s">
        <v>320</v>
      </c>
      <c r="C319" s="6">
        <v>1</v>
      </c>
      <c r="D319" s="8">
        <v>4</v>
      </c>
      <c r="E319" s="8">
        <v>3</v>
      </c>
      <c r="F319" s="8">
        <v>0</v>
      </c>
      <c r="G319" s="8">
        <v>7</v>
      </c>
      <c r="H319" s="9">
        <v>385</v>
      </c>
    </row>
    <row r="320" spans="1:8" x14ac:dyDescent="0.2">
      <c r="A320" s="2">
        <v>7</v>
      </c>
      <c r="B320" s="3" t="s">
        <v>321</v>
      </c>
      <c r="C320" s="2">
        <v>1</v>
      </c>
      <c r="D320" s="4">
        <v>4</v>
      </c>
      <c r="E320" s="4">
        <v>5</v>
      </c>
      <c r="F320" s="4">
        <v>1</v>
      </c>
      <c r="G320" s="4">
        <v>10</v>
      </c>
      <c r="H320" s="5">
        <v>550</v>
      </c>
    </row>
    <row r="321" spans="1:8" x14ac:dyDescent="0.2">
      <c r="A321" s="6">
        <v>7</v>
      </c>
      <c r="B321" s="7" t="s">
        <v>322</v>
      </c>
      <c r="C321" s="6">
        <v>0</v>
      </c>
      <c r="D321" s="8">
        <v>0</v>
      </c>
      <c r="E321" s="8">
        <v>0</v>
      </c>
      <c r="F321" s="8">
        <v>0</v>
      </c>
      <c r="G321" s="8">
        <v>0</v>
      </c>
      <c r="H321" s="9">
        <v>0</v>
      </c>
    </row>
    <row r="322" spans="1:8" x14ac:dyDescent="0.2">
      <c r="A322" s="2">
        <v>7</v>
      </c>
      <c r="B322" s="3" t="s">
        <v>323</v>
      </c>
      <c r="C322" s="2">
        <v>8</v>
      </c>
      <c r="D322" s="4">
        <v>4.5</v>
      </c>
      <c r="E322" s="4">
        <v>3.3</v>
      </c>
      <c r="F322" s="4">
        <v>1</v>
      </c>
      <c r="G322" s="4">
        <v>8.8000000000000007</v>
      </c>
      <c r="H322" s="5">
        <v>481.25</v>
      </c>
    </row>
    <row r="323" spans="1:8" x14ac:dyDescent="0.2">
      <c r="A323" s="6">
        <v>7</v>
      </c>
      <c r="B323" s="7" t="s">
        <v>324</v>
      </c>
      <c r="C323" s="6">
        <v>10</v>
      </c>
      <c r="D323" s="8">
        <v>3.3</v>
      </c>
      <c r="E323" s="8">
        <v>2.6</v>
      </c>
      <c r="F323" s="8">
        <v>0.3</v>
      </c>
      <c r="G323" s="8">
        <v>6.2</v>
      </c>
      <c r="H323" s="9">
        <v>341</v>
      </c>
    </row>
    <row r="324" spans="1:8" x14ac:dyDescent="0.2">
      <c r="A324" s="2">
        <v>7</v>
      </c>
      <c r="B324" s="3" t="s">
        <v>325</v>
      </c>
      <c r="C324" s="2">
        <v>2</v>
      </c>
      <c r="D324" s="4">
        <v>2</v>
      </c>
      <c r="E324" s="4">
        <v>2</v>
      </c>
      <c r="F324" s="4">
        <v>0</v>
      </c>
      <c r="G324" s="4">
        <v>4</v>
      </c>
      <c r="H324" s="5">
        <v>220</v>
      </c>
    </row>
    <row r="325" spans="1:8" x14ac:dyDescent="0.2">
      <c r="A325" s="6">
        <v>7</v>
      </c>
      <c r="B325" s="7" t="s">
        <v>326</v>
      </c>
      <c r="C325" s="6">
        <v>1</v>
      </c>
      <c r="D325" s="8">
        <v>0</v>
      </c>
      <c r="E325" s="8">
        <v>2</v>
      </c>
      <c r="F325" s="8">
        <v>0</v>
      </c>
      <c r="G325" s="8">
        <v>2</v>
      </c>
      <c r="H325" s="9">
        <v>110</v>
      </c>
    </row>
    <row r="326" spans="1:8" x14ac:dyDescent="0.2">
      <c r="A326" s="2">
        <v>7</v>
      </c>
      <c r="B326" s="3" t="s">
        <v>327</v>
      </c>
      <c r="C326" s="2">
        <v>0</v>
      </c>
      <c r="D326" s="4">
        <v>0</v>
      </c>
      <c r="E326" s="4">
        <v>0</v>
      </c>
      <c r="F326" s="4">
        <v>0</v>
      </c>
      <c r="G326" s="4">
        <v>0</v>
      </c>
      <c r="H326" s="5">
        <v>0</v>
      </c>
    </row>
    <row r="327" spans="1:8" x14ac:dyDescent="0.2">
      <c r="A327" s="6">
        <v>7</v>
      </c>
      <c r="B327" s="7" t="s">
        <v>328</v>
      </c>
      <c r="C327" s="6">
        <v>1</v>
      </c>
      <c r="D327" s="8">
        <v>0</v>
      </c>
      <c r="E327" s="8">
        <v>1</v>
      </c>
      <c r="F327" s="8">
        <v>0</v>
      </c>
      <c r="G327" s="8">
        <v>1</v>
      </c>
      <c r="H327" s="9">
        <v>55</v>
      </c>
    </row>
    <row r="328" spans="1:8" x14ac:dyDescent="0.2">
      <c r="A328" s="2">
        <v>7</v>
      </c>
      <c r="B328" s="3" t="s">
        <v>329</v>
      </c>
      <c r="C328" s="2">
        <v>7</v>
      </c>
      <c r="D328" s="4">
        <v>8.1</v>
      </c>
      <c r="E328" s="4">
        <v>24.6</v>
      </c>
      <c r="F328" s="4">
        <v>2</v>
      </c>
      <c r="G328" s="4">
        <v>34.700000000000003</v>
      </c>
      <c r="H328" s="5">
        <v>1909.05</v>
      </c>
    </row>
    <row r="329" spans="1:8" x14ac:dyDescent="0.2">
      <c r="A329" s="6">
        <v>7</v>
      </c>
      <c r="B329" s="7" t="s">
        <v>330</v>
      </c>
      <c r="C329" s="6">
        <v>6</v>
      </c>
      <c r="D329" s="8">
        <v>2.7</v>
      </c>
      <c r="E329" s="8">
        <v>8.8000000000000007</v>
      </c>
      <c r="F329" s="8">
        <v>0.2</v>
      </c>
      <c r="G329" s="8">
        <v>11.7</v>
      </c>
      <c r="H329" s="9">
        <v>640.75</v>
      </c>
    </row>
    <row r="330" spans="1:8" x14ac:dyDescent="0.2">
      <c r="A330" s="2">
        <v>7</v>
      </c>
      <c r="B330" s="3" t="s">
        <v>331</v>
      </c>
      <c r="C330" s="2">
        <v>287</v>
      </c>
      <c r="D330" s="4">
        <v>5.8</v>
      </c>
      <c r="E330" s="4">
        <v>10.6</v>
      </c>
      <c r="F330" s="4">
        <v>0.2</v>
      </c>
      <c r="G330" s="4">
        <v>16.5</v>
      </c>
      <c r="H330" s="5">
        <v>908.6</v>
      </c>
    </row>
    <row r="331" spans="1:8" x14ac:dyDescent="0.2">
      <c r="A331" s="6">
        <v>7</v>
      </c>
      <c r="B331" s="7" t="s">
        <v>331</v>
      </c>
      <c r="C331" s="6">
        <v>287</v>
      </c>
      <c r="D331" s="8">
        <v>5.8</v>
      </c>
      <c r="E331" s="8">
        <v>10.6</v>
      </c>
      <c r="F331" s="8">
        <v>0.2</v>
      </c>
      <c r="G331" s="8">
        <v>16.5</v>
      </c>
      <c r="H331" s="9">
        <v>908.6</v>
      </c>
    </row>
    <row r="332" spans="1:8" x14ac:dyDescent="0.2">
      <c r="A332" s="2">
        <v>7</v>
      </c>
      <c r="B332" s="3" t="s">
        <v>332</v>
      </c>
      <c r="C332" s="2">
        <v>5</v>
      </c>
      <c r="D332" s="4">
        <v>6</v>
      </c>
      <c r="E332" s="4">
        <v>9</v>
      </c>
      <c r="F332" s="4">
        <v>0.4</v>
      </c>
      <c r="G332" s="4">
        <v>15.4</v>
      </c>
      <c r="H332" s="5">
        <v>847</v>
      </c>
    </row>
    <row r="333" spans="1:8" x14ac:dyDescent="0.2">
      <c r="A333" s="6">
        <v>7</v>
      </c>
      <c r="B333" s="7" t="s">
        <v>333</v>
      </c>
      <c r="C333" s="6">
        <v>0</v>
      </c>
      <c r="D333" s="8">
        <v>0</v>
      </c>
      <c r="E333" s="8">
        <v>0</v>
      </c>
      <c r="F333" s="8">
        <v>0</v>
      </c>
      <c r="G333" s="8">
        <v>0</v>
      </c>
      <c r="H333" s="9">
        <v>0</v>
      </c>
    </row>
    <row r="334" spans="1:8" x14ac:dyDescent="0.2">
      <c r="A334" s="2">
        <v>7</v>
      </c>
      <c r="B334" s="3" t="s">
        <v>334</v>
      </c>
      <c r="C334" s="2">
        <v>11</v>
      </c>
      <c r="D334" s="4">
        <v>5.3</v>
      </c>
      <c r="E334" s="4">
        <v>8.5</v>
      </c>
      <c r="F334" s="4">
        <v>0.4</v>
      </c>
      <c r="G334" s="4">
        <v>14.1</v>
      </c>
      <c r="H334" s="5">
        <v>774.4</v>
      </c>
    </row>
    <row r="335" spans="1:8" x14ac:dyDescent="0.2">
      <c r="A335" s="6">
        <v>7</v>
      </c>
      <c r="B335" s="7" t="s">
        <v>335</v>
      </c>
      <c r="C335" s="6">
        <v>495</v>
      </c>
      <c r="D335" s="8">
        <v>4.4000000000000004</v>
      </c>
      <c r="E335" s="8">
        <v>2.7</v>
      </c>
      <c r="F335" s="8">
        <v>0.1</v>
      </c>
      <c r="G335" s="8">
        <v>7.2</v>
      </c>
      <c r="H335" s="9">
        <v>396.55</v>
      </c>
    </row>
    <row r="336" spans="1:8" x14ac:dyDescent="0.2">
      <c r="A336" s="2">
        <v>7</v>
      </c>
      <c r="B336" s="3" t="s">
        <v>336</v>
      </c>
      <c r="C336" s="2">
        <v>2</v>
      </c>
      <c r="D336" s="4">
        <v>8.5</v>
      </c>
      <c r="E336" s="4">
        <v>3</v>
      </c>
      <c r="F336" s="4">
        <v>0</v>
      </c>
      <c r="G336" s="4">
        <v>11.5</v>
      </c>
      <c r="H336" s="5">
        <v>632.5</v>
      </c>
    </row>
    <row r="337" spans="1:8" x14ac:dyDescent="0.2">
      <c r="A337" s="6">
        <v>7</v>
      </c>
      <c r="B337" s="7" t="s">
        <v>337</v>
      </c>
      <c r="C337" s="6">
        <v>0</v>
      </c>
      <c r="D337" s="8">
        <v>0</v>
      </c>
      <c r="E337" s="8">
        <v>0</v>
      </c>
      <c r="F337" s="8">
        <v>0</v>
      </c>
      <c r="G337" s="8">
        <v>0</v>
      </c>
      <c r="H337" s="9">
        <v>0</v>
      </c>
    </row>
    <row r="338" spans="1:8" x14ac:dyDescent="0.2">
      <c r="A338" s="2">
        <v>7</v>
      </c>
      <c r="B338" s="3" t="s">
        <v>338</v>
      </c>
      <c r="C338" s="2">
        <v>1</v>
      </c>
      <c r="D338" s="4">
        <v>5</v>
      </c>
      <c r="E338" s="4">
        <v>3</v>
      </c>
      <c r="F338" s="4">
        <v>0</v>
      </c>
      <c r="G338" s="4">
        <v>8</v>
      </c>
      <c r="H338" s="5">
        <v>440</v>
      </c>
    </row>
    <row r="339" spans="1:8" x14ac:dyDescent="0.2">
      <c r="A339" s="6">
        <v>7</v>
      </c>
      <c r="B339" s="7" t="s">
        <v>339</v>
      </c>
      <c r="C339" s="6">
        <v>1</v>
      </c>
      <c r="D339" s="8">
        <v>0</v>
      </c>
      <c r="E339" s="8">
        <v>0</v>
      </c>
      <c r="F339" s="8">
        <v>0</v>
      </c>
      <c r="G339" s="8">
        <v>0</v>
      </c>
      <c r="H339" s="9">
        <v>0</v>
      </c>
    </row>
    <row r="340" spans="1:8" x14ac:dyDescent="0.2">
      <c r="A340" s="2">
        <v>7</v>
      </c>
      <c r="B340" s="3" t="s">
        <v>340</v>
      </c>
      <c r="C340" s="2">
        <v>13</v>
      </c>
      <c r="D340" s="4">
        <v>2.7</v>
      </c>
      <c r="E340" s="4">
        <v>1.5</v>
      </c>
      <c r="F340" s="4">
        <v>0</v>
      </c>
      <c r="G340" s="4">
        <v>4.2</v>
      </c>
      <c r="H340" s="5">
        <v>232.1</v>
      </c>
    </row>
    <row r="341" spans="1:8" x14ac:dyDescent="0.2">
      <c r="A341" s="6">
        <v>7</v>
      </c>
      <c r="B341" s="7" t="s">
        <v>341</v>
      </c>
      <c r="C341" s="6">
        <v>171</v>
      </c>
      <c r="D341" s="8">
        <v>4.3</v>
      </c>
      <c r="E341" s="8">
        <v>2.9</v>
      </c>
      <c r="F341" s="8">
        <v>0.1</v>
      </c>
      <c r="G341" s="8">
        <v>7.3</v>
      </c>
      <c r="H341" s="9">
        <v>402.05</v>
      </c>
    </row>
    <row r="342" spans="1:8" x14ac:dyDescent="0.2">
      <c r="A342" s="2">
        <v>7</v>
      </c>
      <c r="B342" s="3" t="s">
        <v>342</v>
      </c>
      <c r="C342" s="2">
        <v>4</v>
      </c>
      <c r="D342" s="4">
        <v>5</v>
      </c>
      <c r="E342" s="4">
        <v>3</v>
      </c>
      <c r="F342" s="4">
        <v>0.5</v>
      </c>
      <c r="G342" s="4">
        <v>8.5</v>
      </c>
      <c r="H342" s="5">
        <v>467.5</v>
      </c>
    </row>
    <row r="343" spans="1:8" x14ac:dyDescent="0.2">
      <c r="A343" s="6">
        <v>7</v>
      </c>
      <c r="B343" s="7" t="s">
        <v>343</v>
      </c>
      <c r="C343" s="6">
        <v>12</v>
      </c>
      <c r="D343" s="8">
        <v>5</v>
      </c>
      <c r="E343" s="8">
        <v>3.1</v>
      </c>
      <c r="F343" s="8">
        <v>0.2</v>
      </c>
      <c r="G343" s="8">
        <v>8.1999999999999993</v>
      </c>
      <c r="H343" s="9">
        <v>453.2</v>
      </c>
    </row>
    <row r="344" spans="1:8" x14ac:dyDescent="0.2">
      <c r="A344" s="2">
        <v>7</v>
      </c>
      <c r="B344" s="3" t="s">
        <v>344</v>
      </c>
      <c r="C344" s="2">
        <v>2</v>
      </c>
      <c r="D344" s="4">
        <v>5</v>
      </c>
      <c r="E344" s="4">
        <v>2</v>
      </c>
      <c r="F344" s="4">
        <v>0.5</v>
      </c>
      <c r="G344" s="4">
        <v>7.5</v>
      </c>
      <c r="H344" s="5">
        <v>412.5</v>
      </c>
    </row>
    <row r="345" spans="1:8" x14ac:dyDescent="0.2">
      <c r="A345" s="6">
        <v>7</v>
      </c>
      <c r="B345" s="7" t="s">
        <v>345</v>
      </c>
      <c r="C345" s="6">
        <v>10</v>
      </c>
      <c r="D345" s="8">
        <v>3.5</v>
      </c>
      <c r="E345" s="8">
        <v>2.6</v>
      </c>
      <c r="F345" s="8">
        <v>0.3</v>
      </c>
      <c r="G345" s="8">
        <v>6.4</v>
      </c>
      <c r="H345" s="9">
        <v>352</v>
      </c>
    </row>
    <row r="346" spans="1:8" x14ac:dyDescent="0.2">
      <c r="A346" s="2">
        <v>7</v>
      </c>
      <c r="B346" s="3" t="s">
        <v>346</v>
      </c>
      <c r="C346" s="2">
        <v>1</v>
      </c>
      <c r="D346" s="4">
        <v>0</v>
      </c>
      <c r="E346" s="4">
        <v>1</v>
      </c>
      <c r="F346" s="4">
        <v>0</v>
      </c>
      <c r="G346" s="4">
        <v>1</v>
      </c>
      <c r="H346" s="5">
        <v>55</v>
      </c>
    </row>
    <row r="347" spans="1:8" x14ac:dyDescent="0.2">
      <c r="A347" s="6">
        <v>7</v>
      </c>
      <c r="B347" s="7" t="s">
        <v>347</v>
      </c>
      <c r="C347" s="6">
        <v>6</v>
      </c>
      <c r="D347" s="8">
        <v>5</v>
      </c>
      <c r="E347" s="8">
        <v>2.8</v>
      </c>
      <c r="F347" s="8">
        <v>0.3</v>
      </c>
      <c r="G347" s="8">
        <v>8.1999999999999993</v>
      </c>
      <c r="H347" s="9">
        <v>448.8</v>
      </c>
    </row>
    <row r="348" spans="1:8" x14ac:dyDescent="0.2">
      <c r="A348" s="2">
        <v>7</v>
      </c>
      <c r="B348" s="3" t="s">
        <v>348</v>
      </c>
      <c r="C348" s="2">
        <v>1</v>
      </c>
      <c r="D348" s="4">
        <v>5</v>
      </c>
      <c r="E348" s="4">
        <v>5</v>
      </c>
      <c r="F348" s="4">
        <v>1</v>
      </c>
      <c r="G348" s="4">
        <v>11</v>
      </c>
      <c r="H348" s="5">
        <v>605</v>
      </c>
    </row>
    <row r="349" spans="1:8" x14ac:dyDescent="0.2">
      <c r="A349" s="6">
        <v>7</v>
      </c>
      <c r="B349" s="7" t="s">
        <v>349</v>
      </c>
      <c r="C349" s="6">
        <v>7</v>
      </c>
      <c r="D349" s="8">
        <v>3.6</v>
      </c>
      <c r="E349" s="8">
        <v>1.9</v>
      </c>
      <c r="F349" s="8">
        <v>0</v>
      </c>
      <c r="G349" s="8">
        <v>5.4</v>
      </c>
      <c r="H349" s="9">
        <v>298.10000000000002</v>
      </c>
    </row>
    <row r="350" spans="1:8" x14ac:dyDescent="0.2">
      <c r="A350" s="2">
        <v>7</v>
      </c>
      <c r="B350" s="3" t="s">
        <v>350</v>
      </c>
      <c r="C350" s="2">
        <v>8</v>
      </c>
      <c r="D350" s="4">
        <v>5</v>
      </c>
      <c r="E350" s="4">
        <v>3.1</v>
      </c>
      <c r="F350" s="4">
        <v>0.4</v>
      </c>
      <c r="G350" s="4">
        <v>8.5</v>
      </c>
      <c r="H350" s="5">
        <v>466.95</v>
      </c>
    </row>
    <row r="351" spans="1:8" x14ac:dyDescent="0.2">
      <c r="A351" s="6">
        <v>7</v>
      </c>
      <c r="B351" s="7" t="s">
        <v>351</v>
      </c>
      <c r="C351" s="6">
        <v>2</v>
      </c>
      <c r="D351" s="8">
        <v>5</v>
      </c>
      <c r="E351" s="8">
        <v>3</v>
      </c>
      <c r="F351" s="8">
        <v>0</v>
      </c>
      <c r="G351" s="8">
        <v>8</v>
      </c>
      <c r="H351" s="9">
        <v>440</v>
      </c>
    </row>
    <row r="352" spans="1:8" x14ac:dyDescent="0.2">
      <c r="A352" s="2">
        <v>7</v>
      </c>
      <c r="B352" s="3" t="s">
        <v>352</v>
      </c>
      <c r="C352" s="2">
        <v>1</v>
      </c>
      <c r="D352" s="4">
        <v>0</v>
      </c>
      <c r="E352" s="4">
        <v>1</v>
      </c>
      <c r="F352" s="4">
        <v>0</v>
      </c>
      <c r="G352" s="4">
        <v>1</v>
      </c>
      <c r="H352" s="5">
        <v>55</v>
      </c>
    </row>
    <row r="353" spans="1:8" x14ac:dyDescent="0.2">
      <c r="A353" s="6">
        <v>7</v>
      </c>
      <c r="B353" s="7" t="s">
        <v>353</v>
      </c>
      <c r="C353" s="6">
        <v>13</v>
      </c>
      <c r="D353" s="8">
        <v>5</v>
      </c>
      <c r="E353" s="8">
        <v>4.2</v>
      </c>
      <c r="F353" s="8">
        <v>0.1</v>
      </c>
      <c r="G353" s="8">
        <v>9.1999999999999993</v>
      </c>
      <c r="H353" s="9">
        <v>507.1</v>
      </c>
    </row>
    <row r="354" spans="1:8" x14ac:dyDescent="0.2">
      <c r="A354" s="2">
        <v>7</v>
      </c>
      <c r="B354" s="3" t="s">
        <v>354</v>
      </c>
      <c r="C354" s="2">
        <v>0</v>
      </c>
      <c r="D354" s="4">
        <v>0</v>
      </c>
      <c r="E354" s="4">
        <v>0</v>
      </c>
      <c r="F354" s="4">
        <v>0</v>
      </c>
      <c r="G354" s="4">
        <v>0</v>
      </c>
      <c r="H354" s="5">
        <v>0</v>
      </c>
    </row>
    <row r="355" spans="1:8" x14ac:dyDescent="0.2">
      <c r="A355" s="6">
        <v>7</v>
      </c>
      <c r="B355" s="7" t="s">
        <v>355</v>
      </c>
      <c r="C355" s="6">
        <v>0</v>
      </c>
      <c r="D355" s="8">
        <v>0</v>
      </c>
      <c r="E355" s="8">
        <v>0</v>
      </c>
      <c r="F355" s="8">
        <v>0</v>
      </c>
      <c r="G355" s="8">
        <v>0</v>
      </c>
      <c r="H355" s="9">
        <v>0</v>
      </c>
    </row>
    <row r="356" spans="1:8" x14ac:dyDescent="0.2">
      <c r="A356" s="2">
        <v>7</v>
      </c>
      <c r="B356" s="3" t="s">
        <v>356</v>
      </c>
      <c r="C356" s="2">
        <v>4</v>
      </c>
      <c r="D356" s="4">
        <v>7.5</v>
      </c>
      <c r="E356" s="4">
        <v>25</v>
      </c>
      <c r="F356" s="4">
        <v>2</v>
      </c>
      <c r="G356" s="4">
        <v>34.5</v>
      </c>
      <c r="H356" s="5">
        <v>1897.5</v>
      </c>
    </row>
    <row r="357" spans="1:8" x14ac:dyDescent="0.2">
      <c r="A357" s="6">
        <v>7</v>
      </c>
      <c r="B357" s="7" t="s">
        <v>357</v>
      </c>
      <c r="C357" s="6">
        <v>40</v>
      </c>
      <c r="D357" s="8">
        <v>7.1</v>
      </c>
      <c r="E357" s="8">
        <v>23.9</v>
      </c>
      <c r="F357" s="8">
        <v>1.7</v>
      </c>
      <c r="G357" s="8">
        <v>32.6</v>
      </c>
      <c r="H357" s="9">
        <v>1794.1</v>
      </c>
    </row>
    <row r="358" spans="1:8" x14ac:dyDescent="0.2">
      <c r="A358" s="2">
        <v>7</v>
      </c>
      <c r="B358" s="3" t="s">
        <v>358</v>
      </c>
      <c r="C358" s="2">
        <v>21</v>
      </c>
      <c r="D358" s="4">
        <v>5.9</v>
      </c>
      <c r="E358" s="4">
        <v>20</v>
      </c>
      <c r="F358" s="4">
        <v>1</v>
      </c>
      <c r="G358" s="4">
        <v>26.8</v>
      </c>
      <c r="H358" s="5">
        <v>1474</v>
      </c>
    </row>
    <row r="359" spans="1:8" x14ac:dyDescent="0.2">
      <c r="A359" s="6">
        <v>7</v>
      </c>
      <c r="B359" s="7" t="s">
        <v>359</v>
      </c>
      <c r="C359" s="6">
        <v>2</v>
      </c>
      <c r="D359" s="8">
        <v>8.5</v>
      </c>
      <c r="E359" s="8">
        <v>24.5</v>
      </c>
      <c r="F359" s="8">
        <v>2</v>
      </c>
      <c r="G359" s="8">
        <v>35</v>
      </c>
      <c r="H359" s="9">
        <v>1925</v>
      </c>
    </row>
    <row r="360" spans="1:8" x14ac:dyDescent="0.2">
      <c r="A360" s="2">
        <v>7</v>
      </c>
      <c r="B360" s="3" t="s">
        <v>360</v>
      </c>
      <c r="C360" s="2">
        <v>2</v>
      </c>
      <c r="D360" s="4">
        <v>4.5</v>
      </c>
      <c r="E360" s="4">
        <v>4.5</v>
      </c>
      <c r="F360" s="4">
        <v>0</v>
      </c>
      <c r="G360" s="4">
        <v>9</v>
      </c>
      <c r="H360" s="5">
        <v>495</v>
      </c>
    </row>
    <row r="361" spans="1:8" x14ac:dyDescent="0.2">
      <c r="A361" s="6">
        <v>7</v>
      </c>
      <c r="B361" s="7" t="s">
        <v>361</v>
      </c>
      <c r="C361" s="6">
        <v>1</v>
      </c>
      <c r="D361" s="8">
        <v>5</v>
      </c>
      <c r="E361" s="8">
        <v>10</v>
      </c>
      <c r="F361" s="8">
        <v>0</v>
      </c>
      <c r="G361" s="8">
        <v>15</v>
      </c>
      <c r="H361" s="9">
        <v>825</v>
      </c>
    </row>
    <row r="362" spans="1:8" x14ac:dyDescent="0.2">
      <c r="A362" s="2">
        <v>8</v>
      </c>
      <c r="B362" s="3" t="s">
        <v>362</v>
      </c>
      <c r="C362" s="2">
        <v>0</v>
      </c>
      <c r="D362" s="4">
        <v>0</v>
      </c>
      <c r="E362" s="4">
        <v>0</v>
      </c>
      <c r="F362" s="4">
        <v>0</v>
      </c>
      <c r="G362" s="4">
        <v>0</v>
      </c>
      <c r="H362" s="5">
        <v>0</v>
      </c>
    </row>
    <row r="363" spans="1:8" x14ac:dyDescent="0.2">
      <c r="A363" s="6">
        <v>8</v>
      </c>
      <c r="B363" s="7" t="s">
        <v>363</v>
      </c>
      <c r="C363" s="6">
        <v>1</v>
      </c>
      <c r="D363" s="8">
        <v>8</v>
      </c>
      <c r="E363" s="8">
        <v>16</v>
      </c>
      <c r="F363" s="8">
        <v>0</v>
      </c>
      <c r="G363" s="8">
        <v>24</v>
      </c>
      <c r="H363" s="9">
        <v>1320</v>
      </c>
    </row>
    <row r="364" spans="1:8" x14ac:dyDescent="0.2">
      <c r="A364" s="2">
        <v>8</v>
      </c>
      <c r="B364" s="3" t="s">
        <v>364</v>
      </c>
      <c r="C364" s="2">
        <v>105</v>
      </c>
      <c r="D364" s="4">
        <v>4.2</v>
      </c>
      <c r="E364" s="4">
        <v>2.7</v>
      </c>
      <c r="F364" s="4">
        <v>0.2</v>
      </c>
      <c r="G364" s="4">
        <v>7</v>
      </c>
      <c r="H364" s="5">
        <v>392.7</v>
      </c>
    </row>
    <row r="365" spans="1:8" x14ac:dyDescent="0.2">
      <c r="A365" s="6">
        <v>8</v>
      </c>
      <c r="B365" s="7" t="s">
        <v>365</v>
      </c>
      <c r="C365" s="6">
        <v>62</v>
      </c>
      <c r="D365" s="8">
        <v>5.0999999999999996</v>
      </c>
      <c r="E365" s="8">
        <v>5.9</v>
      </c>
      <c r="F365" s="8">
        <v>0.7</v>
      </c>
      <c r="G365" s="8">
        <v>11.7</v>
      </c>
      <c r="H365" s="9">
        <v>645.15</v>
      </c>
    </row>
    <row r="366" spans="1:8" x14ac:dyDescent="0.2">
      <c r="A366" s="2">
        <v>8</v>
      </c>
      <c r="B366" s="3" t="s">
        <v>366</v>
      </c>
      <c r="C366" s="2">
        <v>1</v>
      </c>
      <c r="D366" s="4">
        <v>5</v>
      </c>
      <c r="E366" s="4">
        <v>3</v>
      </c>
      <c r="F366" s="4">
        <v>0</v>
      </c>
      <c r="G366" s="4">
        <v>8</v>
      </c>
      <c r="H366" s="5">
        <v>440</v>
      </c>
    </row>
    <row r="367" spans="1:8" x14ac:dyDescent="0.2">
      <c r="A367" s="6">
        <v>8</v>
      </c>
      <c r="B367" s="7" t="s">
        <v>367</v>
      </c>
      <c r="C367" s="6">
        <v>9</v>
      </c>
      <c r="D367" s="8">
        <v>4.2</v>
      </c>
      <c r="E367" s="8">
        <v>3.2</v>
      </c>
      <c r="F367" s="8">
        <v>1</v>
      </c>
      <c r="G367" s="8">
        <v>8.4</v>
      </c>
      <c r="H367" s="9">
        <v>464.2</v>
      </c>
    </row>
    <row r="368" spans="1:8" x14ac:dyDescent="0.2">
      <c r="A368" s="2">
        <v>8</v>
      </c>
      <c r="B368" s="3" t="s">
        <v>368</v>
      </c>
      <c r="C368" s="2">
        <v>1</v>
      </c>
      <c r="D368" s="4">
        <v>5</v>
      </c>
      <c r="E368" s="4">
        <v>2</v>
      </c>
      <c r="F368" s="4">
        <v>2</v>
      </c>
      <c r="G368" s="4">
        <v>9</v>
      </c>
      <c r="H368" s="5">
        <v>495</v>
      </c>
    </row>
    <row r="369" spans="1:8" x14ac:dyDescent="0.2">
      <c r="A369" s="6">
        <v>8</v>
      </c>
      <c r="B369" s="7" t="s">
        <v>369</v>
      </c>
      <c r="C369" s="6">
        <v>91</v>
      </c>
      <c r="D369" s="8">
        <v>4.3</v>
      </c>
      <c r="E369" s="8">
        <v>2.2000000000000002</v>
      </c>
      <c r="F369" s="8">
        <v>0.6</v>
      </c>
      <c r="G369" s="8">
        <v>7.2</v>
      </c>
      <c r="H369" s="9">
        <v>393.8</v>
      </c>
    </row>
    <row r="370" spans="1:8" x14ac:dyDescent="0.2">
      <c r="A370" s="2">
        <v>8</v>
      </c>
      <c r="B370" s="3" t="s">
        <v>370</v>
      </c>
      <c r="C370" s="2">
        <v>4</v>
      </c>
      <c r="D370" s="4">
        <v>6</v>
      </c>
      <c r="E370" s="4">
        <v>6</v>
      </c>
      <c r="F370" s="4">
        <v>1.5</v>
      </c>
      <c r="G370" s="4">
        <v>13.5</v>
      </c>
      <c r="H370" s="5">
        <v>742.5</v>
      </c>
    </row>
    <row r="371" spans="1:8" x14ac:dyDescent="0.2">
      <c r="A371" s="6">
        <v>8</v>
      </c>
      <c r="B371" s="7" t="s">
        <v>371</v>
      </c>
      <c r="C371" s="6">
        <v>1</v>
      </c>
      <c r="D371" s="8">
        <v>5</v>
      </c>
      <c r="E371" s="8">
        <v>2</v>
      </c>
      <c r="F371" s="8">
        <v>1</v>
      </c>
      <c r="G371" s="8">
        <v>8</v>
      </c>
      <c r="H371" s="9">
        <v>440</v>
      </c>
    </row>
    <row r="372" spans="1:8" x14ac:dyDescent="0.2">
      <c r="A372" s="2">
        <v>8</v>
      </c>
      <c r="B372" s="3" t="s">
        <v>372</v>
      </c>
      <c r="C372" s="2">
        <v>3</v>
      </c>
      <c r="D372" s="4">
        <v>4</v>
      </c>
      <c r="E372" s="4">
        <v>1.7</v>
      </c>
      <c r="F372" s="4">
        <v>1</v>
      </c>
      <c r="G372" s="4">
        <v>6.7</v>
      </c>
      <c r="H372" s="5">
        <v>366.3</v>
      </c>
    </row>
    <row r="373" spans="1:8" x14ac:dyDescent="0.2">
      <c r="A373" s="6">
        <v>8</v>
      </c>
      <c r="B373" s="7" t="s">
        <v>373</v>
      </c>
      <c r="C373" s="6">
        <v>0</v>
      </c>
      <c r="D373" s="8">
        <v>0</v>
      </c>
      <c r="E373" s="8">
        <v>0</v>
      </c>
      <c r="F373" s="8">
        <v>0</v>
      </c>
      <c r="G373" s="8">
        <v>0</v>
      </c>
      <c r="H373" s="9">
        <v>0</v>
      </c>
    </row>
    <row r="374" spans="1:8" x14ac:dyDescent="0.2">
      <c r="A374" s="2">
        <v>8</v>
      </c>
      <c r="B374" s="3" t="s">
        <v>374</v>
      </c>
      <c r="C374" s="2">
        <v>1</v>
      </c>
      <c r="D374" s="4">
        <v>6</v>
      </c>
      <c r="E374" s="4">
        <v>5</v>
      </c>
      <c r="F374" s="4">
        <v>3</v>
      </c>
      <c r="G374" s="4">
        <v>14</v>
      </c>
      <c r="H374" s="5">
        <v>770</v>
      </c>
    </row>
    <row r="375" spans="1:8" x14ac:dyDescent="0.2">
      <c r="A375" s="6">
        <v>8</v>
      </c>
      <c r="B375" s="7" t="s">
        <v>375</v>
      </c>
      <c r="C375" s="6">
        <v>2</v>
      </c>
      <c r="D375" s="8">
        <v>4</v>
      </c>
      <c r="E375" s="8">
        <v>2</v>
      </c>
      <c r="F375" s="8">
        <v>1</v>
      </c>
      <c r="G375" s="8">
        <v>7</v>
      </c>
      <c r="H375" s="9">
        <v>385</v>
      </c>
    </row>
    <row r="376" spans="1:8" x14ac:dyDescent="0.2">
      <c r="A376" s="2">
        <v>8</v>
      </c>
      <c r="B376" s="3" t="s">
        <v>376</v>
      </c>
      <c r="C376" s="2">
        <v>75</v>
      </c>
      <c r="D376" s="4">
        <v>4.0999999999999996</v>
      </c>
      <c r="E376" s="4">
        <v>2.2999999999999998</v>
      </c>
      <c r="F376" s="4">
        <v>0.1</v>
      </c>
      <c r="G376" s="4">
        <v>6.6</v>
      </c>
      <c r="H376" s="5">
        <v>361.35</v>
      </c>
    </row>
    <row r="377" spans="1:8" x14ac:dyDescent="0.2">
      <c r="A377" s="6">
        <v>8</v>
      </c>
      <c r="B377" s="7" t="s">
        <v>377</v>
      </c>
      <c r="C377" s="6">
        <v>43</v>
      </c>
      <c r="D377" s="8">
        <v>4.9000000000000004</v>
      </c>
      <c r="E377" s="8">
        <v>4</v>
      </c>
      <c r="F377" s="8">
        <v>0.1</v>
      </c>
      <c r="G377" s="8">
        <v>9</v>
      </c>
      <c r="H377" s="9">
        <v>493.9</v>
      </c>
    </row>
    <row r="378" spans="1:8" x14ac:dyDescent="0.2">
      <c r="A378" s="2">
        <v>8</v>
      </c>
      <c r="B378" s="3" t="s">
        <v>378</v>
      </c>
      <c r="C378" s="2">
        <v>5</v>
      </c>
      <c r="D378" s="4">
        <v>6.2</v>
      </c>
      <c r="E378" s="4">
        <v>11.6</v>
      </c>
      <c r="F378" s="4">
        <v>1</v>
      </c>
      <c r="G378" s="4">
        <v>18.8</v>
      </c>
      <c r="H378" s="5">
        <v>1034</v>
      </c>
    </row>
    <row r="379" spans="1:8" x14ac:dyDescent="0.2">
      <c r="A379" s="6">
        <v>8</v>
      </c>
      <c r="B379" s="7" t="s">
        <v>379</v>
      </c>
      <c r="C379" s="6">
        <v>1</v>
      </c>
      <c r="D379" s="8">
        <v>12</v>
      </c>
      <c r="E379" s="8">
        <v>20</v>
      </c>
      <c r="F379" s="8">
        <v>0</v>
      </c>
      <c r="G379" s="8">
        <v>32</v>
      </c>
      <c r="H379" s="9">
        <v>1760</v>
      </c>
    </row>
    <row r="380" spans="1:8" x14ac:dyDescent="0.2">
      <c r="A380" s="2">
        <v>8</v>
      </c>
      <c r="B380" s="3" t="s">
        <v>380</v>
      </c>
      <c r="C380" s="2">
        <v>779</v>
      </c>
      <c r="D380" s="4">
        <v>4.4000000000000004</v>
      </c>
      <c r="E380" s="4">
        <v>2</v>
      </c>
      <c r="F380" s="4">
        <v>0.5</v>
      </c>
      <c r="G380" s="4">
        <v>6.9</v>
      </c>
      <c r="H380" s="5">
        <v>379.5</v>
      </c>
    </row>
    <row r="381" spans="1:8" x14ac:dyDescent="0.2">
      <c r="A381" s="6">
        <v>8</v>
      </c>
      <c r="B381" s="7" t="s">
        <v>381</v>
      </c>
      <c r="C381" s="6">
        <v>1</v>
      </c>
      <c r="D381" s="8">
        <v>5</v>
      </c>
      <c r="E381" s="8">
        <v>2</v>
      </c>
      <c r="F381" s="8">
        <v>0</v>
      </c>
      <c r="G381" s="8">
        <v>7</v>
      </c>
      <c r="H381" s="9">
        <v>385</v>
      </c>
    </row>
    <row r="382" spans="1:8" x14ac:dyDescent="0.2">
      <c r="A382" s="2">
        <v>8</v>
      </c>
      <c r="B382" s="3" t="s">
        <v>382</v>
      </c>
      <c r="C382" s="2">
        <v>447</v>
      </c>
      <c r="D382" s="4">
        <v>4.5</v>
      </c>
      <c r="E382" s="4">
        <v>3.3</v>
      </c>
      <c r="F382" s="4">
        <v>0.5</v>
      </c>
      <c r="G382" s="4">
        <v>8.1999999999999993</v>
      </c>
      <c r="H382" s="5">
        <v>453.2</v>
      </c>
    </row>
    <row r="383" spans="1:8" x14ac:dyDescent="0.2">
      <c r="A383" s="6">
        <v>8</v>
      </c>
      <c r="B383" s="7" t="s">
        <v>383</v>
      </c>
      <c r="C383" s="6">
        <v>90</v>
      </c>
      <c r="D383" s="8">
        <v>4.9000000000000004</v>
      </c>
      <c r="E383" s="8">
        <v>3.2</v>
      </c>
      <c r="F383" s="8">
        <v>0.3</v>
      </c>
      <c r="G383" s="8">
        <v>8.4</v>
      </c>
      <c r="H383" s="9">
        <v>464.2</v>
      </c>
    </row>
    <row r="384" spans="1:8" x14ac:dyDescent="0.2">
      <c r="A384" s="2">
        <v>8</v>
      </c>
      <c r="B384" s="3" t="s">
        <v>384</v>
      </c>
      <c r="C384" s="2">
        <v>1</v>
      </c>
      <c r="D384" s="4">
        <v>6</v>
      </c>
      <c r="E384" s="4">
        <v>3</v>
      </c>
      <c r="F384" s="4">
        <v>2</v>
      </c>
      <c r="G384" s="4">
        <v>11</v>
      </c>
      <c r="H384" s="5">
        <v>605</v>
      </c>
    </row>
    <row r="385" spans="1:8" x14ac:dyDescent="0.2">
      <c r="A385" s="6">
        <v>8</v>
      </c>
      <c r="B385" s="7" t="s">
        <v>385</v>
      </c>
      <c r="C385" s="6">
        <v>1</v>
      </c>
      <c r="D385" s="8">
        <v>4</v>
      </c>
      <c r="E385" s="8">
        <v>2</v>
      </c>
      <c r="F385" s="8">
        <v>0</v>
      </c>
      <c r="G385" s="8">
        <v>6</v>
      </c>
      <c r="H385" s="9">
        <v>330</v>
      </c>
    </row>
    <row r="386" spans="1:8" x14ac:dyDescent="0.2">
      <c r="A386" s="2">
        <v>8</v>
      </c>
      <c r="B386" s="3" t="s">
        <v>386</v>
      </c>
      <c r="C386" s="2">
        <v>97</v>
      </c>
      <c r="D386" s="4">
        <v>4.8</v>
      </c>
      <c r="E386" s="4">
        <v>3.7</v>
      </c>
      <c r="F386" s="4">
        <v>0.8</v>
      </c>
      <c r="G386" s="4">
        <v>9.1999999999999993</v>
      </c>
      <c r="H386" s="5">
        <v>507.65</v>
      </c>
    </row>
    <row r="387" spans="1:8" x14ac:dyDescent="0.2">
      <c r="A387" s="6">
        <v>8</v>
      </c>
      <c r="B387" s="7" t="s">
        <v>387</v>
      </c>
      <c r="C387" s="6">
        <v>1</v>
      </c>
      <c r="D387" s="8">
        <v>5</v>
      </c>
      <c r="E387" s="8">
        <v>3</v>
      </c>
      <c r="F387" s="8">
        <v>0</v>
      </c>
      <c r="G387" s="8">
        <v>8</v>
      </c>
      <c r="H387" s="9">
        <v>440</v>
      </c>
    </row>
    <row r="388" spans="1:8" x14ac:dyDescent="0.2">
      <c r="A388" s="2">
        <v>8</v>
      </c>
      <c r="B388" s="3" t="s">
        <v>388</v>
      </c>
      <c r="C388" s="2">
        <v>0</v>
      </c>
      <c r="D388" s="4">
        <v>0</v>
      </c>
      <c r="E388" s="4">
        <v>0</v>
      </c>
      <c r="F388" s="4">
        <v>0</v>
      </c>
      <c r="G388" s="4">
        <v>0</v>
      </c>
      <c r="H388" s="5">
        <v>0</v>
      </c>
    </row>
    <row r="389" spans="1:8" x14ac:dyDescent="0.2">
      <c r="A389" s="6">
        <v>8</v>
      </c>
      <c r="B389" s="7" t="s">
        <v>389</v>
      </c>
      <c r="C389" s="6">
        <v>8</v>
      </c>
      <c r="D389" s="8">
        <v>5</v>
      </c>
      <c r="E389" s="8">
        <v>4</v>
      </c>
      <c r="F389" s="8">
        <v>0.1</v>
      </c>
      <c r="G389" s="8">
        <v>9.1</v>
      </c>
      <c r="H389" s="9">
        <v>501.6</v>
      </c>
    </row>
    <row r="390" spans="1:8" x14ac:dyDescent="0.2">
      <c r="A390" s="2">
        <v>8</v>
      </c>
      <c r="B390" s="3" t="s">
        <v>390</v>
      </c>
      <c r="C390" s="2">
        <v>2</v>
      </c>
      <c r="D390" s="4">
        <v>8</v>
      </c>
      <c r="E390" s="4">
        <v>7</v>
      </c>
      <c r="F390" s="4">
        <v>1.5</v>
      </c>
      <c r="G390" s="4">
        <v>16.5</v>
      </c>
      <c r="H390" s="5">
        <v>907.5</v>
      </c>
    </row>
    <row r="391" spans="1:8" x14ac:dyDescent="0.2">
      <c r="A391" s="6">
        <v>8</v>
      </c>
      <c r="B391" s="7" t="s">
        <v>391</v>
      </c>
      <c r="C391" s="6">
        <v>1</v>
      </c>
      <c r="D391" s="8">
        <v>0</v>
      </c>
      <c r="E391" s="8">
        <v>1</v>
      </c>
      <c r="F391" s="8">
        <v>1</v>
      </c>
      <c r="G391" s="8">
        <v>2</v>
      </c>
      <c r="H391" s="9">
        <v>110</v>
      </c>
    </row>
    <row r="392" spans="1:8" x14ac:dyDescent="0.2">
      <c r="A392" s="2">
        <v>8</v>
      </c>
      <c r="B392" s="3" t="s">
        <v>392</v>
      </c>
      <c r="C392" s="2">
        <v>454</v>
      </c>
      <c r="D392" s="4">
        <v>3.9</v>
      </c>
      <c r="E392" s="4">
        <v>1.2</v>
      </c>
      <c r="F392" s="4">
        <v>0.1</v>
      </c>
      <c r="G392" s="4">
        <v>5.2</v>
      </c>
      <c r="H392" s="5">
        <v>286.55</v>
      </c>
    </row>
    <row r="393" spans="1:8" x14ac:dyDescent="0.2">
      <c r="A393" s="6">
        <v>8</v>
      </c>
      <c r="B393" s="7" t="s">
        <v>393</v>
      </c>
      <c r="C393" s="6">
        <v>29</v>
      </c>
      <c r="D393" s="8">
        <v>5.0999999999999996</v>
      </c>
      <c r="E393" s="8">
        <v>6.4</v>
      </c>
      <c r="F393" s="8">
        <v>1.2</v>
      </c>
      <c r="G393" s="8">
        <v>12.7</v>
      </c>
      <c r="H393" s="9">
        <v>696.85</v>
      </c>
    </row>
    <row r="394" spans="1:8" x14ac:dyDescent="0.2">
      <c r="A394" s="2">
        <v>8</v>
      </c>
      <c r="B394" s="3" t="s">
        <v>394</v>
      </c>
      <c r="C394" s="2">
        <v>737</v>
      </c>
      <c r="D394" s="4">
        <v>4</v>
      </c>
      <c r="E394" s="4">
        <v>3.6</v>
      </c>
      <c r="F394" s="4">
        <v>0.8</v>
      </c>
      <c r="G394" s="4">
        <v>8.3000000000000007</v>
      </c>
      <c r="H394" s="5">
        <v>457.6</v>
      </c>
    </row>
    <row r="395" spans="1:8" x14ac:dyDescent="0.2">
      <c r="A395" s="6">
        <v>8</v>
      </c>
      <c r="B395" s="7" t="s">
        <v>395</v>
      </c>
      <c r="C395" s="6">
        <v>1</v>
      </c>
      <c r="D395" s="8">
        <v>5</v>
      </c>
      <c r="E395" s="8">
        <v>8</v>
      </c>
      <c r="F395" s="8">
        <v>0</v>
      </c>
      <c r="G395" s="8">
        <v>13</v>
      </c>
      <c r="H395" s="9">
        <v>715</v>
      </c>
    </row>
    <row r="396" spans="1:8" x14ac:dyDescent="0.2">
      <c r="A396" s="2">
        <v>8</v>
      </c>
      <c r="B396" s="3" t="s">
        <v>396</v>
      </c>
      <c r="C396" s="2">
        <v>1</v>
      </c>
      <c r="D396" s="4">
        <v>4</v>
      </c>
      <c r="E396" s="4">
        <v>4</v>
      </c>
      <c r="F396" s="4">
        <v>0</v>
      </c>
      <c r="G396" s="4">
        <v>8</v>
      </c>
      <c r="H396" s="5">
        <v>440</v>
      </c>
    </row>
    <row r="397" spans="1:8" x14ac:dyDescent="0.2">
      <c r="A397" s="6">
        <v>8</v>
      </c>
      <c r="B397" s="7" t="s">
        <v>397</v>
      </c>
      <c r="C397" s="6">
        <v>1</v>
      </c>
      <c r="D397" s="8">
        <v>0</v>
      </c>
      <c r="E397" s="8">
        <v>2</v>
      </c>
      <c r="F397" s="8">
        <v>0</v>
      </c>
      <c r="G397" s="8">
        <v>2</v>
      </c>
      <c r="H397" s="9">
        <v>110</v>
      </c>
    </row>
    <row r="398" spans="1:8" x14ac:dyDescent="0.2">
      <c r="A398" s="2">
        <v>8</v>
      </c>
      <c r="B398" s="3" t="s">
        <v>398</v>
      </c>
      <c r="C398" s="2">
        <v>6</v>
      </c>
      <c r="D398" s="4">
        <v>2.2000000000000002</v>
      </c>
      <c r="E398" s="4">
        <v>2</v>
      </c>
      <c r="F398" s="4">
        <v>0.3</v>
      </c>
      <c r="G398" s="4">
        <v>4.5</v>
      </c>
      <c r="H398" s="5">
        <v>246.95</v>
      </c>
    </row>
    <row r="399" spans="1:8" x14ac:dyDescent="0.2">
      <c r="A399" s="6">
        <v>8</v>
      </c>
      <c r="B399" s="7" t="s">
        <v>399</v>
      </c>
      <c r="C399" s="6">
        <v>5</v>
      </c>
      <c r="D399" s="8">
        <v>4</v>
      </c>
      <c r="E399" s="8">
        <v>5.8</v>
      </c>
      <c r="F399" s="8">
        <v>0.6</v>
      </c>
      <c r="G399" s="8">
        <v>10.4</v>
      </c>
      <c r="H399" s="9">
        <v>572</v>
      </c>
    </row>
    <row r="400" spans="1:8" x14ac:dyDescent="0.2">
      <c r="A400" s="2">
        <v>8</v>
      </c>
      <c r="B400" s="3" t="s">
        <v>400</v>
      </c>
      <c r="C400" s="2">
        <v>5</v>
      </c>
      <c r="D400" s="4">
        <v>4.8</v>
      </c>
      <c r="E400" s="4">
        <v>5.4</v>
      </c>
      <c r="F400" s="4">
        <v>0</v>
      </c>
      <c r="G400" s="4">
        <v>10.199999999999999</v>
      </c>
      <c r="H400" s="5">
        <v>561</v>
      </c>
    </row>
    <row r="401" spans="1:8" x14ac:dyDescent="0.2">
      <c r="A401" s="6">
        <v>8</v>
      </c>
      <c r="B401" s="7" t="s">
        <v>401</v>
      </c>
      <c r="C401" s="6">
        <v>1</v>
      </c>
      <c r="D401" s="8">
        <v>0</v>
      </c>
      <c r="E401" s="8">
        <v>2</v>
      </c>
      <c r="F401" s="8">
        <v>0</v>
      </c>
      <c r="G401" s="8">
        <v>2</v>
      </c>
      <c r="H401" s="9">
        <v>110</v>
      </c>
    </row>
    <row r="402" spans="1:8" x14ac:dyDescent="0.2">
      <c r="A402" s="2">
        <v>8</v>
      </c>
      <c r="B402" s="3" t="s">
        <v>402</v>
      </c>
      <c r="C402" s="2">
        <v>7</v>
      </c>
      <c r="D402" s="4">
        <v>4</v>
      </c>
      <c r="E402" s="4">
        <v>4</v>
      </c>
      <c r="F402" s="4">
        <v>1</v>
      </c>
      <c r="G402" s="4">
        <v>9</v>
      </c>
      <c r="H402" s="5">
        <v>495</v>
      </c>
    </row>
    <row r="403" spans="1:8" x14ac:dyDescent="0.2">
      <c r="A403" s="6">
        <v>8</v>
      </c>
      <c r="B403" s="7" t="s">
        <v>403</v>
      </c>
      <c r="C403" s="6">
        <v>14</v>
      </c>
      <c r="D403" s="8">
        <v>9.8000000000000007</v>
      </c>
      <c r="E403" s="8">
        <v>10.5</v>
      </c>
      <c r="F403" s="8">
        <v>2.5</v>
      </c>
      <c r="G403" s="8">
        <v>22.8</v>
      </c>
      <c r="H403" s="9">
        <v>1254</v>
      </c>
    </row>
    <row r="404" spans="1:8" x14ac:dyDescent="0.2">
      <c r="A404" s="2">
        <v>8</v>
      </c>
      <c r="B404" s="3" t="s">
        <v>404</v>
      </c>
      <c r="C404" s="2">
        <v>19</v>
      </c>
      <c r="D404" s="4">
        <v>10.3</v>
      </c>
      <c r="E404" s="4">
        <v>8.6999999999999993</v>
      </c>
      <c r="F404" s="4">
        <v>2.1</v>
      </c>
      <c r="G404" s="4">
        <v>21.1</v>
      </c>
      <c r="H404" s="5">
        <v>1159.95</v>
      </c>
    </row>
    <row r="405" spans="1:8" x14ac:dyDescent="0.2">
      <c r="A405" s="6">
        <v>8</v>
      </c>
      <c r="B405" s="7" t="s">
        <v>405</v>
      </c>
      <c r="C405" s="6">
        <v>0</v>
      </c>
      <c r="D405" s="8">
        <v>0</v>
      </c>
      <c r="E405" s="8">
        <v>0</v>
      </c>
      <c r="F405" s="8">
        <v>0</v>
      </c>
      <c r="G405" s="8">
        <v>0</v>
      </c>
      <c r="H405" s="9">
        <v>0</v>
      </c>
    </row>
    <row r="406" spans="1:8" x14ac:dyDescent="0.2">
      <c r="A406" s="2">
        <v>8</v>
      </c>
      <c r="B406" s="3" t="s">
        <v>406</v>
      </c>
      <c r="C406" s="2">
        <v>8</v>
      </c>
      <c r="D406" s="4">
        <v>8</v>
      </c>
      <c r="E406" s="4">
        <v>6.9</v>
      </c>
      <c r="F406" s="4">
        <v>1</v>
      </c>
      <c r="G406" s="4">
        <v>15.9</v>
      </c>
      <c r="H406" s="5">
        <v>872.85</v>
      </c>
    </row>
    <row r="407" spans="1:8" x14ac:dyDescent="0.2">
      <c r="A407" s="6">
        <v>8</v>
      </c>
      <c r="B407" s="7" t="s">
        <v>407</v>
      </c>
      <c r="C407" s="6">
        <v>121</v>
      </c>
      <c r="D407" s="8">
        <v>8</v>
      </c>
      <c r="E407" s="8">
        <v>6.4</v>
      </c>
      <c r="F407" s="8">
        <v>1.6</v>
      </c>
      <c r="G407" s="8">
        <v>15.9</v>
      </c>
      <c r="H407" s="9">
        <v>875.05</v>
      </c>
    </row>
    <row r="408" spans="1:8" x14ac:dyDescent="0.2">
      <c r="A408" s="2">
        <v>8</v>
      </c>
      <c r="B408" s="3" t="s">
        <v>408</v>
      </c>
      <c r="C408" s="2">
        <v>9</v>
      </c>
      <c r="D408" s="4">
        <v>7.2</v>
      </c>
      <c r="E408" s="4">
        <v>9.6</v>
      </c>
      <c r="F408" s="4">
        <v>2.2999999999999998</v>
      </c>
      <c r="G408" s="4">
        <v>19.100000000000001</v>
      </c>
      <c r="H408" s="5">
        <v>1050.5</v>
      </c>
    </row>
    <row r="409" spans="1:8" x14ac:dyDescent="0.2">
      <c r="A409" s="6">
        <v>8</v>
      </c>
      <c r="B409" s="7" t="s">
        <v>409</v>
      </c>
      <c r="C409" s="6">
        <v>6</v>
      </c>
      <c r="D409" s="8">
        <v>3.8</v>
      </c>
      <c r="E409" s="8">
        <v>3.8</v>
      </c>
      <c r="F409" s="8">
        <v>0.5</v>
      </c>
      <c r="G409" s="8">
        <v>8.1999999999999993</v>
      </c>
      <c r="H409" s="9">
        <v>448.8</v>
      </c>
    </row>
    <row r="410" spans="1:8" x14ac:dyDescent="0.2">
      <c r="A410" s="2">
        <v>8</v>
      </c>
      <c r="B410" s="3" t="s">
        <v>410</v>
      </c>
      <c r="C410" s="2">
        <v>15</v>
      </c>
      <c r="D410" s="4">
        <v>2.9</v>
      </c>
      <c r="E410" s="4">
        <v>3</v>
      </c>
      <c r="F410" s="4">
        <v>0.1</v>
      </c>
      <c r="G410" s="4">
        <v>6.1</v>
      </c>
      <c r="H410" s="5">
        <v>333.3</v>
      </c>
    </row>
    <row r="411" spans="1:8" x14ac:dyDescent="0.2">
      <c r="A411" s="6">
        <v>8</v>
      </c>
      <c r="B411" s="7" t="s">
        <v>411</v>
      </c>
      <c r="C411" s="6">
        <v>0</v>
      </c>
      <c r="D411" s="8">
        <v>0</v>
      </c>
      <c r="E411" s="8">
        <v>0</v>
      </c>
      <c r="F411" s="8">
        <v>0</v>
      </c>
      <c r="G411" s="8">
        <v>0</v>
      </c>
      <c r="H411" s="9">
        <v>0</v>
      </c>
    </row>
    <row r="412" spans="1:8" x14ac:dyDescent="0.2">
      <c r="A412" s="2">
        <v>8</v>
      </c>
      <c r="B412" s="3" t="s">
        <v>412</v>
      </c>
      <c r="C412" s="2">
        <v>14</v>
      </c>
      <c r="D412" s="4">
        <v>3.1</v>
      </c>
      <c r="E412" s="4">
        <v>3.4</v>
      </c>
      <c r="F412" s="4">
        <v>1.1000000000000001</v>
      </c>
      <c r="G412" s="4">
        <v>7.6</v>
      </c>
      <c r="H412" s="5">
        <v>419.65</v>
      </c>
    </row>
    <row r="413" spans="1:8" x14ac:dyDescent="0.2">
      <c r="A413" s="6">
        <v>8</v>
      </c>
      <c r="B413" s="7" t="s">
        <v>413</v>
      </c>
      <c r="C413" s="6">
        <v>304</v>
      </c>
      <c r="D413" s="8">
        <v>7.5</v>
      </c>
      <c r="E413" s="8">
        <v>10.5</v>
      </c>
      <c r="F413" s="8">
        <v>1</v>
      </c>
      <c r="G413" s="8">
        <v>18.899999999999999</v>
      </c>
      <c r="H413" s="9">
        <v>1037.8499999999999</v>
      </c>
    </row>
    <row r="414" spans="1:8" x14ac:dyDescent="0.2">
      <c r="A414" s="2">
        <v>9</v>
      </c>
      <c r="B414" s="3" t="s">
        <v>414</v>
      </c>
      <c r="C414" s="2">
        <v>0</v>
      </c>
      <c r="D414" s="4">
        <v>0</v>
      </c>
      <c r="E414" s="4">
        <v>0</v>
      </c>
      <c r="F414" s="4">
        <v>0</v>
      </c>
      <c r="G414" s="4">
        <v>0</v>
      </c>
      <c r="H414" s="5">
        <v>0</v>
      </c>
    </row>
    <row r="415" spans="1:8" x14ac:dyDescent="0.2">
      <c r="A415" s="6">
        <v>9</v>
      </c>
      <c r="B415" s="7" t="s">
        <v>415</v>
      </c>
      <c r="C415" s="6">
        <v>29</v>
      </c>
      <c r="D415" s="8">
        <v>8</v>
      </c>
      <c r="E415" s="8">
        <v>6.9</v>
      </c>
      <c r="F415" s="8">
        <v>1.8</v>
      </c>
      <c r="G415" s="8">
        <v>16.7</v>
      </c>
      <c r="H415" s="9">
        <v>919.6</v>
      </c>
    </row>
    <row r="416" spans="1:8" x14ac:dyDescent="0.2">
      <c r="A416" s="2">
        <v>9</v>
      </c>
      <c r="B416" s="3" t="s">
        <v>416</v>
      </c>
      <c r="C416" s="2">
        <v>7</v>
      </c>
      <c r="D416" s="4">
        <v>10</v>
      </c>
      <c r="E416" s="4">
        <v>12.1</v>
      </c>
      <c r="F416" s="4">
        <v>1.6</v>
      </c>
      <c r="G416" s="4">
        <v>23.7</v>
      </c>
      <c r="H416" s="5">
        <v>1304.05</v>
      </c>
    </row>
    <row r="417" spans="1:8" x14ac:dyDescent="0.2">
      <c r="A417" s="6">
        <v>9</v>
      </c>
      <c r="B417" s="7" t="s">
        <v>417</v>
      </c>
      <c r="C417" s="6">
        <v>102</v>
      </c>
      <c r="D417" s="8">
        <v>5.9</v>
      </c>
      <c r="E417" s="8">
        <v>5</v>
      </c>
      <c r="F417" s="8">
        <v>1</v>
      </c>
      <c r="G417" s="8">
        <v>12</v>
      </c>
      <c r="H417" s="9">
        <v>657.8</v>
      </c>
    </row>
    <row r="418" spans="1:8" x14ac:dyDescent="0.2">
      <c r="A418" s="2">
        <v>9</v>
      </c>
      <c r="B418" s="3" t="s">
        <v>418</v>
      </c>
      <c r="C418" s="2">
        <v>1</v>
      </c>
      <c r="D418" s="4">
        <v>5</v>
      </c>
      <c r="E418" s="4">
        <v>6</v>
      </c>
      <c r="F418" s="4">
        <v>1</v>
      </c>
      <c r="G418" s="4">
        <v>12</v>
      </c>
      <c r="H418" s="5">
        <v>660</v>
      </c>
    </row>
    <row r="419" spans="1:8" x14ac:dyDescent="0.2">
      <c r="A419" s="6">
        <v>9</v>
      </c>
      <c r="B419" s="7" t="s">
        <v>419</v>
      </c>
      <c r="C419" s="6">
        <v>39</v>
      </c>
      <c r="D419" s="8">
        <v>4.4000000000000004</v>
      </c>
      <c r="E419" s="8">
        <v>3.5</v>
      </c>
      <c r="F419" s="8">
        <v>0.7</v>
      </c>
      <c r="G419" s="8">
        <v>8.6</v>
      </c>
      <c r="H419" s="9">
        <v>474.65</v>
      </c>
    </row>
    <row r="420" spans="1:8" x14ac:dyDescent="0.2">
      <c r="A420" s="2">
        <v>9</v>
      </c>
      <c r="B420" s="3" t="s">
        <v>420</v>
      </c>
      <c r="C420" s="2">
        <v>10</v>
      </c>
      <c r="D420" s="4">
        <v>4.8</v>
      </c>
      <c r="E420" s="4">
        <v>6.5</v>
      </c>
      <c r="F420" s="4">
        <v>0.4</v>
      </c>
      <c r="G420" s="4">
        <v>11.7</v>
      </c>
      <c r="H420" s="5">
        <v>643.5</v>
      </c>
    </row>
    <row r="421" spans="1:8" x14ac:dyDescent="0.2">
      <c r="A421" s="6">
        <v>9</v>
      </c>
      <c r="B421" s="7" t="s">
        <v>421</v>
      </c>
      <c r="C421" s="6">
        <v>22</v>
      </c>
      <c r="D421" s="8">
        <v>6.4</v>
      </c>
      <c r="E421" s="8">
        <v>8</v>
      </c>
      <c r="F421" s="8">
        <v>0.7</v>
      </c>
      <c r="G421" s="8">
        <v>15.2</v>
      </c>
      <c r="H421" s="9">
        <v>833.8</v>
      </c>
    </row>
    <row r="422" spans="1:8" x14ac:dyDescent="0.2">
      <c r="A422" s="2">
        <v>9</v>
      </c>
      <c r="B422" s="3" t="s">
        <v>422</v>
      </c>
      <c r="C422" s="2">
        <v>1</v>
      </c>
      <c r="D422" s="4">
        <v>0</v>
      </c>
      <c r="E422" s="4">
        <v>9</v>
      </c>
      <c r="F422" s="4">
        <v>0</v>
      </c>
      <c r="G422" s="4">
        <v>9</v>
      </c>
      <c r="H422" s="5">
        <v>495</v>
      </c>
    </row>
    <row r="423" spans="1:8" x14ac:dyDescent="0.2">
      <c r="A423" s="6">
        <v>9</v>
      </c>
      <c r="B423" s="7" t="s">
        <v>423</v>
      </c>
      <c r="C423" s="6">
        <v>1</v>
      </c>
      <c r="D423" s="8">
        <v>6</v>
      </c>
      <c r="E423" s="8">
        <v>8</v>
      </c>
      <c r="F423" s="8">
        <v>0</v>
      </c>
      <c r="G423" s="8">
        <v>14</v>
      </c>
      <c r="H423" s="9">
        <v>770</v>
      </c>
    </row>
    <row r="424" spans="1:8" x14ac:dyDescent="0.2">
      <c r="A424" s="2">
        <v>9</v>
      </c>
      <c r="B424" s="3" t="s">
        <v>424</v>
      </c>
      <c r="C424" s="2">
        <v>439</v>
      </c>
      <c r="D424" s="4">
        <v>4</v>
      </c>
      <c r="E424" s="4">
        <v>2.2000000000000002</v>
      </c>
      <c r="F424" s="4">
        <v>0.5</v>
      </c>
      <c r="G424" s="4">
        <v>6.7</v>
      </c>
      <c r="H424" s="5">
        <v>370.15</v>
      </c>
    </row>
    <row r="425" spans="1:8" x14ac:dyDescent="0.2">
      <c r="A425" s="6">
        <v>9</v>
      </c>
      <c r="B425" s="7" t="s">
        <v>425</v>
      </c>
      <c r="C425" s="6">
        <v>2</v>
      </c>
      <c r="D425" s="8">
        <v>4</v>
      </c>
      <c r="E425" s="8">
        <v>2</v>
      </c>
      <c r="F425" s="8">
        <v>0</v>
      </c>
      <c r="G425" s="8">
        <v>6</v>
      </c>
      <c r="H425" s="9">
        <v>330</v>
      </c>
    </row>
    <row r="426" spans="1:8" x14ac:dyDescent="0.2">
      <c r="A426" s="2">
        <v>9</v>
      </c>
      <c r="B426" s="3" t="s">
        <v>426</v>
      </c>
      <c r="C426" s="2">
        <v>1</v>
      </c>
      <c r="D426" s="4">
        <v>4</v>
      </c>
      <c r="E426" s="4">
        <v>3</v>
      </c>
      <c r="F426" s="4">
        <v>0</v>
      </c>
      <c r="G426" s="4">
        <v>7</v>
      </c>
      <c r="H426" s="5">
        <v>385</v>
      </c>
    </row>
    <row r="427" spans="1:8" x14ac:dyDescent="0.2">
      <c r="A427" s="6">
        <v>9</v>
      </c>
      <c r="B427" s="7" t="s">
        <v>427</v>
      </c>
      <c r="C427" s="6">
        <v>85</v>
      </c>
      <c r="D427" s="8">
        <v>4.0999999999999996</v>
      </c>
      <c r="E427" s="8">
        <v>2.8</v>
      </c>
      <c r="F427" s="8">
        <v>0.2</v>
      </c>
      <c r="G427" s="8">
        <v>7.1</v>
      </c>
      <c r="H427" s="9">
        <v>391.6</v>
      </c>
    </row>
    <row r="428" spans="1:8" x14ac:dyDescent="0.2">
      <c r="A428" s="2">
        <v>9</v>
      </c>
      <c r="B428" s="3" t="s">
        <v>428</v>
      </c>
      <c r="C428" s="2">
        <v>10</v>
      </c>
      <c r="D428" s="4">
        <v>4</v>
      </c>
      <c r="E428" s="4">
        <v>3.2</v>
      </c>
      <c r="F428" s="4">
        <v>0.9</v>
      </c>
      <c r="G428" s="4">
        <v>8.1</v>
      </c>
      <c r="H428" s="5">
        <v>445.5</v>
      </c>
    </row>
    <row r="429" spans="1:8" x14ac:dyDescent="0.2">
      <c r="A429" s="6">
        <v>9</v>
      </c>
      <c r="B429" s="7" t="s">
        <v>429</v>
      </c>
      <c r="C429" s="6">
        <v>82</v>
      </c>
      <c r="D429" s="8">
        <v>4</v>
      </c>
      <c r="E429" s="8">
        <v>2.9</v>
      </c>
      <c r="F429" s="8">
        <v>0.5</v>
      </c>
      <c r="G429" s="8">
        <v>7.3</v>
      </c>
      <c r="H429" s="9">
        <v>401.5</v>
      </c>
    </row>
    <row r="430" spans="1:8" x14ac:dyDescent="0.2">
      <c r="A430" s="2">
        <v>9</v>
      </c>
      <c r="B430" s="3" t="s">
        <v>430</v>
      </c>
      <c r="C430" s="2">
        <v>1</v>
      </c>
      <c r="D430" s="4">
        <v>4</v>
      </c>
      <c r="E430" s="4">
        <v>2</v>
      </c>
      <c r="F430" s="4">
        <v>0</v>
      </c>
      <c r="G430" s="4">
        <v>6</v>
      </c>
      <c r="H430" s="5">
        <v>330</v>
      </c>
    </row>
    <row r="431" spans="1:8" x14ac:dyDescent="0.2">
      <c r="A431" s="6">
        <v>9</v>
      </c>
      <c r="B431" s="7" t="s">
        <v>431</v>
      </c>
      <c r="C431" s="6">
        <v>616</v>
      </c>
      <c r="D431" s="8">
        <v>4</v>
      </c>
      <c r="E431" s="8">
        <v>2.1</v>
      </c>
      <c r="F431" s="8">
        <v>0.5</v>
      </c>
      <c r="G431" s="8">
        <v>6.5</v>
      </c>
      <c r="H431" s="9">
        <v>359.7</v>
      </c>
    </row>
    <row r="432" spans="1:8" x14ac:dyDescent="0.2">
      <c r="A432" s="2">
        <v>9</v>
      </c>
      <c r="B432" s="3" t="s">
        <v>432</v>
      </c>
      <c r="C432" s="2">
        <v>11</v>
      </c>
      <c r="D432" s="4">
        <v>3.6</v>
      </c>
      <c r="E432" s="4">
        <v>2.6</v>
      </c>
      <c r="F432" s="4">
        <v>0.4</v>
      </c>
      <c r="G432" s="4">
        <v>6.6</v>
      </c>
      <c r="H432" s="5">
        <v>364.1</v>
      </c>
    </row>
    <row r="433" spans="1:8" x14ac:dyDescent="0.2">
      <c r="A433" s="6">
        <v>9</v>
      </c>
      <c r="B433" s="7" t="s">
        <v>433</v>
      </c>
      <c r="C433" s="6">
        <v>243</v>
      </c>
      <c r="D433" s="8">
        <v>4</v>
      </c>
      <c r="E433" s="8">
        <v>2.1</v>
      </c>
      <c r="F433" s="8">
        <v>0.3</v>
      </c>
      <c r="G433" s="8">
        <v>6.4</v>
      </c>
      <c r="H433" s="9">
        <v>353.65</v>
      </c>
    </row>
    <row r="434" spans="1:8" x14ac:dyDescent="0.2">
      <c r="A434" s="2">
        <v>9</v>
      </c>
      <c r="B434" s="3" t="s">
        <v>434</v>
      </c>
      <c r="C434" s="2">
        <v>143</v>
      </c>
      <c r="D434" s="4">
        <v>5.9</v>
      </c>
      <c r="E434" s="4">
        <v>7</v>
      </c>
      <c r="F434" s="4">
        <v>1.1000000000000001</v>
      </c>
      <c r="G434" s="4">
        <v>14</v>
      </c>
      <c r="H434" s="5">
        <v>767.25</v>
      </c>
    </row>
    <row r="435" spans="1:8" x14ac:dyDescent="0.2">
      <c r="A435" s="6">
        <v>9</v>
      </c>
      <c r="B435" s="7" t="s">
        <v>435</v>
      </c>
      <c r="C435" s="6">
        <v>14</v>
      </c>
      <c r="D435" s="8">
        <v>4.9000000000000004</v>
      </c>
      <c r="E435" s="8">
        <v>3.8</v>
      </c>
      <c r="F435" s="8">
        <v>0.1</v>
      </c>
      <c r="G435" s="8">
        <v>8.8000000000000007</v>
      </c>
      <c r="H435" s="9">
        <v>482.35</v>
      </c>
    </row>
    <row r="436" spans="1:8" x14ac:dyDescent="0.2">
      <c r="A436" s="2">
        <v>9</v>
      </c>
      <c r="B436" s="3" t="s">
        <v>436</v>
      </c>
      <c r="C436" s="2">
        <v>109</v>
      </c>
      <c r="D436" s="4">
        <v>3.8</v>
      </c>
      <c r="E436" s="4">
        <v>4.0999999999999996</v>
      </c>
      <c r="F436" s="4">
        <v>0.8</v>
      </c>
      <c r="G436" s="4">
        <v>8.6999999999999993</v>
      </c>
      <c r="H436" s="5">
        <v>476.3</v>
      </c>
    </row>
    <row r="437" spans="1:8" x14ac:dyDescent="0.2">
      <c r="A437" s="6">
        <v>9</v>
      </c>
      <c r="B437" s="7" t="s">
        <v>437</v>
      </c>
      <c r="C437" s="6">
        <v>1</v>
      </c>
      <c r="D437" s="8">
        <v>5</v>
      </c>
      <c r="E437" s="8">
        <v>4</v>
      </c>
      <c r="F437" s="8">
        <v>3</v>
      </c>
      <c r="G437" s="8">
        <v>12</v>
      </c>
      <c r="H437" s="9">
        <v>660</v>
      </c>
    </row>
    <row r="438" spans="1:8" x14ac:dyDescent="0.2">
      <c r="A438" s="2">
        <v>9</v>
      </c>
      <c r="B438" s="3" t="s">
        <v>438</v>
      </c>
      <c r="C438" s="2">
        <v>0</v>
      </c>
      <c r="D438" s="4">
        <v>0</v>
      </c>
      <c r="E438" s="4">
        <v>0</v>
      </c>
      <c r="F438" s="4">
        <v>0</v>
      </c>
      <c r="G438" s="4">
        <v>0</v>
      </c>
      <c r="H438" s="5">
        <v>0</v>
      </c>
    </row>
    <row r="439" spans="1:8" x14ac:dyDescent="0.2">
      <c r="A439" s="6">
        <v>9</v>
      </c>
      <c r="B439" s="7" t="s">
        <v>439</v>
      </c>
      <c r="C439" s="6">
        <v>1</v>
      </c>
      <c r="D439" s="8">
        <v>6</v>
      </c>
      <c r="E439" s="8">
        <v>5</v>
      </c>
      <c r="F439" s="8">
        <v>2</v>
      </c>
      <c r="G439" s="8">
        <v>13</v>
      </c>
      <c r="H439" s="9">
        <v>715</v>
      </c>
    </row>
    <row r="440" spans="1:8" x14ac:dyDescent="0.2">
      <c r="A440" s="2">
        <v>9</v>
      </c>
      <c r="B440" s="3" t="s">
        <v>440</v>
      </c>
      <c r="C440" s="2">
        <v>1</v>
      </c>
      <c r="D440" s="4">
        <v>0</v>
      </c>
      <c r="E440" s="4">
        <v>4</v>
      </c>
      <c r="F440" s="4">
        <v>0</v>
      </c>
      <c r="G440" s="4">
        <v>4</v>
      </c>
      <c r="H440" s="5">
        <v>220</v>
      </c>
    </row>
    <row r="441" spans="1:8" x14ac:dyDescent="0.2">
      <c r="A441" s="6">
        <v>9</v>
      </c>
      <c r="B441" s="7" t="s">
        <v>441</v>
      </c>
      <c r="C441" s="6">
        <v>1</v>
      </c>
      <c r="D441" s="8">
        <v>4</v>
      </c>
      <c r="E441" s="8">
        <v>2</v>
      </c>
      <c r="F441" s="8">
        <v>1</v>
      </c>
      <c r="G441" s="8">
        <v>7</v>
      </c>
      <c r="H441" s="9">
        <v>385</v>
      </c>
    </row>
    <row r="442" spans="1:8" x14ac:dyDescent="0.2">
      <c r="A442" s="2">
        <v>9</v>
      </c>
      <c r="B442" s="3" t="s">
        <v>442</v>
      </c>
      <c r="C442" s="2">
        <v>0</v>
      </c>
      <c r="D442" s="4">
        <v>0</v>
      </c>
      <c r="E442" s="4">
        <v>0</v>
      </c>
      <c r="F442" s="4">
        <v>0</v>
      </c>
      <c r="G442" s="4">
        <v>0</v>
      </c>
      <c r="H442" s="5">
        <v>0</v>
      </c>
    </row>
    <row r="443" spans="1:8" x14ac:dyDescent="0.2">
      <c r="A443" s="6">
        <v>9</v>
      </c>
      <c r="B443" s="7" t="s">
        <v>443</v>
      </c>
      <c r="C443" s="6">
        <v>0</v>
      </c>
      <c r="D443" s="8">
        <v>0</v>
      </c>
      <c r="E443" s="8">
        <v>0</v>
      </c>
      <c r="F443" s="8">
        <v>0</v>
      </c>
      <c r="G443" s="8">
        <v>0</v>
      </c>
      <c r="H443" s="9">
        <v>0</v>
      </c>
    </row>
    <row r="444" spans="1:8" x14ac:dyDescent="0.2">
      <c r="A444" s="2">
        <v>9</v>
      </c>
      <c r="B444" s="3" t="s">
        <v>444</v>
      </c>
      <c r="C444" s="2">
        <v>2</v>
      </c>
      <c r="D444" s="4">
        <v>8</v>
      </c>
      <c r="E444" s="4">
        <v>9</v>
      </c>
      <c r="F444" s="4">
        <v>0.5</v>
      </c>
      <c r="G444" s="4">
        <v>17.5</v>
      </c>
      <c r="H444" s="5">
        <v>962.5</v>
      </c>
    </row>
    <row r="445" spans="1:8" x14ac:dyDescent="0.2">
      <c r="A445" s="6">
        <v>9</v>
      </c>
      <c r="B445" s="7" t="s">
        <v>445</v>
      </c>
      <c r="C445" s="6">
        <v>1</v>
      </c>
      <c r="D445" s="8">
        <v>5</v>
      </c>
      <c r="E445" s="8">
        <v>14</v>
      </c>
      <c r="F445" s="8">
        <v>4</v>
      </c>
      <c r="G445" s="8">
        <v>23</v>
      </c>
      <c r="H445" s="9">
        <v>1265</v>
      </c>
    </row>
    <row r="446" spans="1:8" x14ac:dyDescent="0.2">
      <c r="A446" s="2">
        <v>9</v>
      </c>
      <c r="B446" s="3" t="s">
        <v>446</v>
      </c>
      <c r="C446" s="2">
        <v>2</v>
      </c>
      <c r="D446" s="4">
        <v>2</v>
      </c>
      <c r="E446" s="4">
        <v>2</v>
      </c>
      <c r="F446" s="4">
        <v>1</v>
      </c>
      <c r="G446" s="4">
        <v>5</v>
      </c>
      <c r="H446" s="5">
        <v>275</v>
      </c>
    </row>
    <row r="447" spans="1:8" x14ac:dyDescent="0.2">
      <c r="A447" s="6">
        <v>9</v>
      </c>
      <c r="B447" s="7" t="s">
        <v>447</v>
      </c>
      <c r="C447" s="6">
        <v>6</v>
      </c>
      <c r="D447" s="8">
        <v>4</v>
      </c>
      <c r="E447" s="8">
        <v>3</v>
      </c>
      <c r="F447" s="8">
        <v>0.2</v>
      </c>
      <c r="G447" s="8">
        <v>7.2</v>
      </c>
      <c r="H447" s="9">
        <v>393.8</v>
      </c>
    </row>
    <row r="448" spans="1:8" x14ac:dyDescent="0.2">
      <c r="A448" s="2">
        <v>9</v>
      </c>
      <c r="B448" s="3" t="s">
        <v>448</v>
      </c>
      <c r="C448" s="2">
        <v>1</v>
      </c>
      <c r="D448" s="4">
        <v>4</v>
      </c>
      <c r="E448" s="4">
        <v>3</v>
      </c>
      <c r="F448" s="4">
        <v>0</v>
      </c>
      <c r="G448" s="4">
        <v>7</v>
      </c>
      <c r="H448" s="5">
        <v>385</v>
      </c>
    </row>
    <row r="449" spans="1:8" x14ac:dyDescent="0.2">
      <c r="A449" s="6">
        <v>9</v>
      </c>
      <c r="B449" s="7" t="s">
        <v>449</v>
      </c>
      <c r="C449" s="6">
        <v>599</v>
      </c>
      <c r="D449" s="8">
        <v>4.0999999999999996</v>
      </c>
      <c r="E449" s="8">
        <v>3.2</v>
      </c>
      <c r="F449" s="8">
        <v>0.7</v>
      </c>
      <c r="G449" s="8">
        <v>8</v>
      </c>
      <c r="H449" s="9">
        <v>438.9</v>
      </c>
    </row>
    <row r="450" spans="1:8" x14ac:dyDescent="0.2">
      <c r="A450" s="2">
        <v>9</v>
      </c>
      <c r="B450" s="3" t="s">
        <v>450</v>
      </c>
      <c r="C450" s="2">
        <v>2</v>
      </c>
      <c r="D450" s="4">
        <v>8</v>
      </c>
      <c r="E450" s="4">
        <v>7</v>
      </c>
      <c r="F450" s="4">
        <v>0</v>
      </c>
      <c r="G450" s="4">
        <v>15</v>
      </c>
      <c r="H450" s="5">
        <v>825</v>
      </c>
    </row>
    <row r="451" spans="1:8" x14ac:dyDescent="0.2">
      <c r="A451" s="6">
        <v>9</v>
      </c>
      <c r="B451" s="7" t="s">
        <v>451</v>
      </c>
      <c r="C451" s="6">
        <v>1</v>
      </c>
      <c r="D451" s="8">
        <v>8</v>
      </c>
      <c r="E451" s="8">
        <v>11</v>
      </c>
      <c r="F451" s="8">
        <v>0</v>
      </c>
      <c r="G451" s="8">
        <v>19</v>
      </c>
      <c r="H451" s="9">
        <v>1045</v>
      </c>
    </row>
    <row r="452" spans="1:8" x14ac:dyDescent="0.2">
      <c r="A452" s="2">
        <v>9</v>
      </c>
      <c r="B452" s="3" t="s">
        <v>452</v>
      </c>
      <c r="C452" s="2">
        <v>190</v>
      </c>
      <c r="D452" s="4">
        <v>8.9</v>
      </c>
      <c r="E452" s="4">
        <v>9.4</v>
      </c>
      <c r="F452" s="4">
        <v>0.6</v>
      </c>
      <c r="G452" s="4">
        <v>18.899999999999999</v>
      </c>
      <c r="H452" s="5">
        <v>1037.8499999999999</v>
      </c>
    </row>
    <row r="453" spans="1:8" x14ac:dyDescent="0.2">
      <c r="A453" s="6">
        <v>9</v>
      </c>
      <c r="B453" s="7" t="s">
        <v>453</v>
      </c>
      <c r="C453" s="6">
        <v>154</v>
      </c>
      <c r="D453" s="8">
        <v>8</v>
      </c>
      <c r="E453" s="8">
        <v>7.2</v>
      </c>
      <c r="F453" s="8">
        <v>0.8</v>
      </c>
      <c r="G453" s="8">
        <v>16</v>
      </c>
      <c r="H453" s="9">
        <v>880</v>
      </c>
    </row>
    <row r="454" spans="1:8" x14ac:dyDescent="0.2">
      <c r="A454" s="2">
        <v>9</v>
      </c>
      <c r="B454" s="3" t="s">
        <v>454</v>
      </c>
      <c r="C454" s="2">
        <v>5</v>
      </c>
      <c r="D454" s="4">
        <v>3.2</v>
      </c>
      <c r="E454" s="4">
        <v>3.8</v>
      </c>
      <c r="F454" s="4">
        <v>0</v>
      </c>
      <c r="G454" s="4">
        <v>7</v>
      </c>
      <c r="H454" s="5">
        <v>385</v>
      </c>
    </row>
    <row r="455" spans="1:8" x14ac:dyDescent="0.2">
      <c r="A455" s="6">
        <v>9</v>
      </c>
      <c r="B455" s="7" t="s">
        <v>455</v>
      </c>
      <c r="C455" s="6">
        <v>12</v>
      </c>
      <c r="D455" s="8">
        <v>3.9</v>
      </c>
      <c r="E455" s="8">
        <v>3.7</v>
      </c>
      <c r="F455" s="8">
        <v>0.2</v>
      </c>
      <c r="G455" s="8">
        <v>7.7</v>
      </c>
      <c r="H455" s="9">
        <v>425.15</v>
      </c>
    </row>
    <row r="456" spans="1:8" x14ac:dyDescent="0.2">
      <c r="A456" s="2">
        <v>9</v>
      </c>
      <c r="B456" s="3" t="s">
        <v>456</v>
      </c>
      <c r="C456" s="2">
        <v>1</v>
      </c>
      <c r="D456" s="4">
        <v>0</v>
      </c>
      <c r="E456" s="4">
        <v>0</v>
      </c>
      <c r="F456" s="4">
        <v>0</v>
      </c>
      <c r="G456" s="4">
        <v>0</v>
      </c>
      <c r="H456" s="5">
        <v>0</v>
      </c>
    </row>
    <row r="457" spans="1:8" x14ac:dyDescent="0.2">
      <c r="A457" s="6">
        <v>9</v>
      </c>
      <c r="B457" s="7" t="s">
        <v>457</v>
      </c>
      <c r="C457" s="6">
        <v>15</v>
      </c>
      <c r="D457" s="8">
        <v>8</v>
      </c>
      <c r="E457" s="8">
        <v>9.3000000000000007</v>
      </c>
      <c r="F457" s="8">
        <v>1.1000000000000001</v>
      </c>
      <c r="G457" s="8">
        <v>18.399999999999999</v>
      </c>
      <c r="H457" s="9">
        <v>1011.45</v>
      </c>
    </row>
    <row r="458" spans="1:8" x14ac:dyDescent="0.2">
      <c r="A458" s="2">
        <v>9</v>
      </c>
      <c r="B458" s="3" t="s">
        <v>458</v>
      </c>
      <c r="C458" s="2">
        <v>29</v>
      </c>
      <c r="D458" s="4">
        <v>5.0999999999999996</v>
      </c>
      <c r="E458" s="4">
        <v>4.5</v>
      </c>
      <c r="F458" s="4">
        <v>0.9</v>
      </c>
      <c r="G458" s="4">
        <v>10.4</v>
      </c>
      <c r="H458" s="5">
        <v>572</v>
      </c>
    </row>
    <row r="459" spans="1:8" x14ac:dyDescent="0.2">
      <c r="A459" s="6">
        <v>9</v>
      </c>
      <c r="B459" s="7" t="s">
        <v>459</v>
      </c>
      <c r="C459" s="6">
        <v>4</v>
      </c>
      <c r="D459" s="8">
        <v>8</v>
      </c>
      <c r="E459" s="8">
        <v>9.3000000000000007</v>
      </c>
      <c r="F459" s="8">
        <v>2</v>
      </c>
      <c r="G459" s="8">
        <v>19.3</v>
      </c>
      <c r="H459" s="9">
        <v>1058.75</v>
      </c>
    </row>
    <row r="460" spans="1:8" x14ac:dyDescent="0.2">
      <c r="A460" s="2">
        <v>9</v>
      </c>
      <c r="B460" s="3" t="s">
        <v>460</v>
      </c>
      <c r="C460" s="2">
        <v>1</v>
      </c>
      <c r="D460" s="4">
        <v>4</v>
      </c>
      <c r="E460" s="4">
        <v>2</v>
      </c>
      <c r="F460" s="4">
        <v>0</v>
      </c>
      <c r="G460" s="4">
        <v>6</v>
      </c>
      <c r="H460" s="5">
        <v>330</v>
      </c>
    </row>
    <row r="461" spans="1:8" x14ac:dyDescent="0.2">
      <c r="A461" s="6">
        <v>9</v>
      </c>
      <c r="B461" s="7" t="s">
        <v>461</v>
      </c>
      <c r="C461" s="6">
        <v>118</v>
      </c>
      <c r="D461" s="8">
        <v>6.4</v>
      </c>
      <c r="E461" s="8">
        <v>4.8</v>
      </c>
      <c r="F461" s="8">
        <v>0.9</v>
      </c>
      <c r="G461" s="8">
        <v>12.1</v>
      </c>
      <c r="H461" s="9">
        <v>666.05</v>
      </c>
    </row>
    <row r="462" spans="1:8" x14ac:dyDescent="0.2">
      <c r="A462" s="2">
        <v>9</v>
      </c>
      <c r="B462" s="3" t="s">
        <v>462</v>
      </c>
      <c r="C462" s="2">
        <v>34</v>
      </c>
      <c r="D462" s="4">
        <v>6</v>
      </c>
      <c r="E462" s="4">
        <v>6</v>
      </c>
      <c r="F462" s="4">
        <v>0.2</v>
      </c>
      <c r="G462" s="4">
        <v>12.2</v>
      </c>
      <c r="H462" s="5">
        <v>669.35</v>
      </c>
    </row>
    <row r="463" spans="1:8" x14ac:dyDescent="0.2">
      <c r="A463" s="6">
        <v>9</v>
      </c>
      <c r="B463" s="7" t="s">
        <v>463</v>
      </c>
      <c r="C463" s="6">
        <v>63</v>
      </c>
      <c r="D463" s="8">
        <v>5.7</v>
      </c>
      <c r="E463" s="8">
        <v>5.3</v>
      </c>
      <c r="F463" s="8">
        <v>0.7</v>
      </c>
      <c r="G463" s="8">
        <v>11.6</v>
      </c>
      <c r="H463" s="9">
        <v>636.35</v>
      </c>
    </row>
    <row r="464" spans="1:8" x14ac:dyDescent="0.2">
      <c r="A464" s="2">
        <v>9</v>
      </c>
      <c r="B464" s="3" t="s">
        <v>464</v>
      </c>
      <c r="C464" s="2">
        <v>31</v>
      </c>
      <c r="D464" s="4">
        <v>7.1</v>
      </c>
      <c r="E464" s="4">
        <v>8.1999999999999993</v>
      </c>
      <c r="F464" s="4">
        <v>0.6</v>
      </c>
      <c r="G464" s="4">
        <v>15.9</v>
      </c>
      <c r="H464" s="5">
        <v>873.95</v>
      </c>
    </row>
    <row r="465" spans="1:8" x14ac:dyDescent="0.2">
      <c r="A465" s="6">
        <v>9</v>
      </c>
      <c r="B465" s="7" t="s">
        <v>465</v>
      </c>
      <c r="C465" s="6">
        <v>2507</v>
      </c>
      <c r="D465" s="8">
        <v>6</v>
      </c>
      <c r="E465" s="8">
        <v>5.8</v>
      </c>
      <c r="F465" s="8">
        <v>0.7</v>
      </c>
      <c r="G465" s="8">
        <v>12.4</v>
      </c>
      <c r="H465" s="9">
        <v>684.2</v>
      </c>
    </row>
    <row r="466" spans="1:8" x14ac:dyDescent="0.2">
      <c r="A466" s="2">
        <v>10</v>
      </c>
      <c r="B466" s="3" t="s">
        <v>466</v>
      </c>
      <c r="C466" s="2">
        <v>304</v>
      </c>
      <c r="D466" s="4">
        <v>6.2</v>
      </c>
      <c r="E466" s="4">
        <v>5.6</v>
      </c>
      <c r="F466" s="4">
        <v>0.8</v>
      </c>
      <c r="G466" s="4">
        <v>12.6</v>
      </c>
      <c r="H466" s="5">
        <v>693</v>
      </c>
    </row>
    <row r="467" spans="1:8" x14ac:dyDescent="0.2">
      <c r="A467" s="6">
        <v>10</v>
      </c>
      <c r="B467" s="7" t="s">
        <v>467</v>
      </c>
      <c r="C467" s="6">
        <v>1</v>
      </c>
      <c r="D467" s="8">
        <v>6</v>
      </c>
      <c r="E467" s="8">
        <v>6</v>
      </c>
      <c r="F467" s="8">
        <v>0</v>
      </c>
      <c r="G467" s="8">
        <v>12</v>
      </c>
      <c r="H467" s="9">
        <v>660</v>
      </c>
    </row>
    <row r="468" spans="1:8" x14ac:dyDescent="0.2">
      <c r="A468" s="2">
        <v>10</v>
      </c>
      <c r="B468" s="3" t="s">
        <v>468</v>
      </c>
      <c r="C468" s="2">
        <v>125</v>
      </c>
      <c r="D468" s="4">
        <v>6</v>
      </c>
      <c r="E468" s="4">
        <v>6.6</v>
      </c>
      <c r="F468" s="4">
        <v>0.6</v>
      </c>
      <c r="G468" s="4">
        <v>13.2</v>
      </c>
      <c r="H468" s="5">
        <v>728.2</v>
      </c>
    </row>
    <row r="469" spans="1:8" x14ac:dyDescent="0.2">
      <c r="A469" s="6">
        <v>10</v>
      </c>
      <c r="B469" s="7" t="s">
        <v>469</v>
      </c>
      <c r="C469" s="6">
        <v>25</v>
      </c>
      <c r="D469" s="8">
        <v>6</v>
      </c>
      <c r="E469" s="8">
        <v>6.4</v>
      </c>
      <c r="F469" s="8">
        <v>0.6</v>
      </c>
      <c r="G469" s="8">
        <v>13</v>
      </c>
      <c r="H469" s="9">
        <v>712.8</v>
      </c>
    </row>
    <row r="470" spans="1:8" x14ac:dyDescent="0.2">
      <c r="A470" s="2">
        <v>10</v>
      </c>
      <c r="B470" s="3" t="s">
        <v>470</v>
      </c>
      <c r="C470" s="2">
        <v>1</v>
      </c>
      <c r="D470" s="4">
        <v>8</v>
      </c>
      <c r="E470" s="4">
        <v>7</v>
      </c>
      <c r="F470" s="4">
        <v>3</v>
      </c>
      <c r="G470" s="4">
        <v>18</v>
      </c>
      <c r="H470" s="5">
        <v>990</v>
      </c>
    </row>
    <row r="471" spans="1:8" x14ac:dyDescent="0.2">
      <c r="A471" s="6">
        <v>10</v>
      </c>
      <c r="B471" s="7" t="s">
        <v>471</v>
      </c>
      <c r="C471" s="6">
        <v>1</v>
      </c>
      <c r="D471" s="8">
        <v>6</v>
      </c>
      <c r="E471" s="8">
        <v>5</v>
      </c>
      <c r="F471" s="8">
        <v>1</v>
      </c>
      <c r="G471" s="8">
        <v>12</v>
      </c>
      <c r="H471" s="9">
        <v>660</v>
      </c>
    </row>
    <row r="472" spans="1:8" x14ac:dyDescent="0.2">
      <c r="A472" s="2">
        <v>10</v>
      </c>
      <c r="B472" s="3" t="s">
        <v>472</v>
      </c>
      <c r="C472" s="2">
        <v>6</v>
      </c>
      <c r="D472" s="4">
        <v>6.3</v>
      </c>
      <c r="E472" s="4">
        <v>12.5</v>
      </c>
      <c r="F472" s="4">
        <v>1.2</v>
      </c>
      <c r="G472" s="4">
        <v>20</v>
      </c>
      <c r="H472" s="5">
        <v>1099.45</v>
      </c>
    </row>
    <row r="473" spans="1:8" x14ac:dyDescent="0.2">
      <c r="A473" s="6">
        <v>10</v>
      </c>
      <c r="B473" s="7" t="s">
        <v>473</v>
      </c>
      <c r="C473" s="6">
        <v>3</v>
      </c>
      <c r="D473" s="8">
        <v>7</v>
      </c>
      <c r="E473" s="8">
        <v>8.6999999999999993</v>
      </c>
      <c r="F473" s="8">
        <v>0.3</v>
      </c>
      <c r="G473" s="8">
        <v>16</v>
      </c>
      <c r="H473" s="9">
        <v>879.45</v>
      </c>
    </row>
    <row r="474" spans="1:8" x14ac:dyDescent="0.2">
      <c r="A474" s="2">
        <v>10</v>
      </c>
      <c r="B474" s="3" t="s">
        <v>474</v>
      </c>
      <c r="C474" s="2">
        <v>2</v>
      </c>
      <c r="D474" s="4">
        <v>6.5</v>
      </c>
      <c r="E474" s="4">
        <v>7</v>
      </c>
      <c r="F474" s="4">
        <v>0</v>
      </c>
      <c r="G474" s="4">
        <v>13.5</v>
      </c>
      <c r="H474" s="5">
        <v>742.5</v>
      </c>
    </row>
    <row r="475" spans="1:8" x14ac:dyDescent="0.2">
      <c r="A475" s="6">
        <v>10</v>
      </c>
      <c r="B475" s="7" t="s">
        <v>475</v>
      </c>
      <c r="C475" s="6">
        <v>2</v>
      </c>
      <c r="D475" s="8">
        <v>8</v>
      </c>
      <c r="E475" s="8">
        <v>5</v>
      </c>
      <c r="F475" s="8">
        <v>0</v>
      </c>
      <c r="G475" s="8">
        <v>13</v>
      </c>
      <c r="H475" s="9">
        <v>715</v>
      </c>
    </row>
    <row r="476" spans="1:8" x14ac:dyDescent="0.2">
      <c r="A476" s="2">
        <v>10</v>
      </c>
      <c r="B476" s="3" t="s">
        <v>476</v>
      </c>
      <c r="C476" s="2">
        <v>30</v>
      </c>
      <c r="D476" s="4">
        <v>7.8</v>
      </c>
      <c r="E476" s="4">
        <v>8.3000000000000007</v>
      </c>
      <c r="F476" s="4">
        <v>0.8</v>
      </c>
      <c r="G476" s="4">
        <v>16.899999999999999</v>
      </c>
      <c r="H476" s="5">
        <v>929.5</v>
      </c>
    </row>
    <row r="477" spans="1:8" x14ac:dyDescent="0.2">
      <c r="A477" s="6">
        <v>10</v>
      </c>
      <c r="B477" s="7" t="s">
        <v>477</v>
      </c>
      <c r="C477" s="6">
        <v>14</v>
      </c>
      <c r="D477" s="8">
        <v>4</v>
      </c>
      <c r="E477" s="8">
        <v>4.4000000000000004</v>
      </c>
      <c r="F477" s="8">
        <v>1</v>
      </c>
      <c r="G477" s="8">
        <v>9.4</v>
      </c>
      <c r="H477" s="9">
        <v>518.1</v>
      </c>
    </row>
    <row r="478" spans="1:8" x14ac:dyDescent="0.2">
      <c r="A478" s="2">
        <v>10</v>
      </c>
      <c r="B478" s="3" t="s">
        <v>478</v>
      </c>
      <c r="C478" s="2">
        <v>53</v>
      </c>
      <c r="D478" s="4">
        <v>3.4</v>
      </c>
      <c r="E478" s="4">
        <v>2.6</v>
      </c>
      <c r="F478" s="4">
        <v>0.7</v>
      </c>
      <c r="G478" s="4">
        <v>6.7</v>
      </c>
      <c r="H478" s="5">
        <v>369.05</v>
      </c>
    </row>
    <row r="479" spans="1:8" x14ac:dyDescent="0.2">
      <c r="A479" s="6">
        <v>10</v>
      </c>
      <c r="B479" s="7" t="s">
        <v>479</v>
      </c>
      <c r="C479" s="6">
        <v>80</v>
      </c>
      <c r="D479" s="8">
        <v>3.9</v>
      </c>
      <c r="E479" s="8">
        <v>3.1</v>
      </c>
      <c r="F479" s="8">
        <v>1.3</v>
      </c>
      <c r="G479" s="8">
        <v>8.1999999999999993</v>
      </c>
      <c r="H479" s="9">
        <v>450.45</v>
      </c>
    </row>
    <row r="480" spans="1:8" x14ac:dyDescent="0.2">
      <c r="A480" s="2">
        <v>10</v>
      </c>
      <c r="B480" s="3" t="s">
        <v>480</v>
      </c>
      <c r="C480" s="2">
        <v>930</v>
      </c>
      <c r="D480" s="4">
        <v>4.8</v>
      </c>
      <c r="E480" s="4">
        <v>5.3</v>
      </c>
      <c r="F480" s="4">
        <v>0.8</v>
      </c>
      <c r="G480" s="4">
        <v>10.9</v>
      </c>
      <c r="H480" s="5">
        <v>598.4</v>
      </c>
    </row>
    <row r="481" spans="1:8" x14ac:dyDescent="0.2">
      <c r="A481" s="6">
        <v>10</v>
      </c>
      <c r="B481" s="7" t="s">
        <v>481</v>
      </c>
      <c r="C481" s="6">
        <v>1</v>
      </c>
      <c r="D481" s="8">
        <v>8</v>
      </c>
      <c r="E481" s="8">
        <v>8</v>
      </c>
      <c r="F481" s="8">
        <v>0</v>
      </c>
      <c r="G481" s="8">
        <v>16</v>
      </c>
      <c r="H481" s="9">
        <v>880</v>
      </c>
    </row>
    <row r="482" spans="1:8" x14ac:dyDescent="0.2">
      <c r="A482" s="2">
        <v>10</v>
      </c>
      <c r="B482" s="3" t="s">
        <v>482</v>
      </c>
      <c r="C482" s="2">
        <v>1</v>
      </c>
      <c r="D482" s="4">
        <v>8</v>
      </c>
      <c r="E482" s="4">
        <v>27</v>
      </c>
      <c r="F482" s="4">
        <v>0</v>
      </c>
      <c r="G482" s="4">
        <v>35</v>
      </c>
      <c r="H482" s="5">
        <v>1925</v>
      </c>
    </row>
    <row r="483" spans="1:8" x14ac:dyDescent="0.2">
      <c r="A483" s="6">
        <v>10</v>
      </c>
      <c r="B483" s="7" t="s">
        <v>483</v>
      </c>
      <c r="C483" s="6">
        <v>13</v>
      </c>
      <c r="D483" s="8">
        <v>8.1999999999999993</v>
      </c>
      <c r="E483" s="8">
        <v>12.8</v>
      </c>
      <c r="F483" s="8">
        <v>1.3</v>
      </c>
      <c r="G483" s="8">
        <v>22.2</v>
      </c>
      <c r="H483" s="9">
        <v>1221.55</v>
      </c>
    </row>
    <row r="484" spans="1:8" x14ac:dyDescent="0.2">
      <c r="A484" s="2">
        <v>10</v>
      </c>
      <c r="B484" s="3" t="s">
        <v>484</v>
      </c>
      <c r="C484" s="2">
        <v>160</v>
      </c>
      <c r="D484" s="4">
        <v>5.4</v>
      </c>
      <c r="E484" s="4">
        <v>4.4000000000000004</v>
      </c>
      <c r="F484" s="4">
        <v>0.7</v>
      </c>
      <c r="G484" s="4">
        <v>10.5</v>
      </c>
      <c r="H484" s="5">
        <v>576.95000000000005</v>
      </c>
    </row>
    <row r="485" spans="1:8" x14ac:dyDescent="0.2">
      <c r="A485" s="6">
        <v>10</v>
      </c>
      <c r="B485" s="7" t="s">
        <v>485</v>
      </c>
      <c r="C485" s="6">
        <v>107</v>
      </c>
      <c r="D485" s="8">
        <v>6.3</v>
      </c>
      <c r="E485" s="8">
        <v>8.6999999999999993</v>
      </c>
      <c r="F485" s="8">
        <v>0.4</v>
      </c>
      <c r="G485" s="8">
        <v>15.3</v>
      </c>
      <c r="H485" s="9">
        <v>842.05</v>
      </c>
    </row>
    <row r="486" spans="1:8" x14ac:dyDescent="0.2">
      <c r="A486" s="2">
        <v>10</v>
      </c>
      <c r="B486" s="3" t="s">
        <v>486</v>
      </c>
      <c r="C486" s="2">
        <v>0</v>
      </c>
      <c r="D486" s="4">
        <v>0</v>
      </c>
      <c r="E486" s="4">
        <v>0</v>
      </c>
      <c r="F486" s="4">
        <v>0</v>
      </c>
      <c r="G486" s="4">
        <v>0</v>
      </c>
      <c r="H486" s="5">
        <v>0</v>
      </c>
    </row>
    <row r="487" spans="1:8" x14ac:dyDescent="0.2">
      <c r="A487" s="6">
        <v>10</v>
      </c>
      <c r="B487" s="7" t="s">
        <v>487</v>
      </c>
      <c r="C487" s="6">
        <v>185</v>
      </c>
      <c r="D487" s="8">
        <v>5.2</v>
      </c>
      <c r="E487" s="8">
        <v>4.7</v>
      </c>
      <c r="F487" s="8">
        <v>0.7</v>
      </c>
      <c r="G487" s="8">
        <v>10.5</v>
      </c>
      <c r="H487" s="9">
        <v>577.5</v>
      </c>
    </row>
    <row r="488" spans="1:8" x14ac:dyDescent="0.2">
      <c r="A488" s="2">
        <v>10</v>
      </c>
      <c r="B488" s="3" t="s">
        <v>488</v>
      </c>
      <c r="C488" s="2">
        <v>94</v>
      </c>
      <c r="D488" s="4">
        <v>5</v>
      </c>
      <c r="E488" s="4">
        <v>5.0999999999999996</v>
      </c>
      <c r="F488" s="4">
        <v>0.6</v>
      </c>
      <c r="G488" s="4">
        <v>10.7</v>
      </c>
      <c r="H488" s="5">
        <v>589.04999999999995</v>
      </c>
    </row>
    <row r="489" spans="1:8" x14ac:dyDescent="0.2">
      <c r="A489" s="6">
        <v>10</v>
      </c>
      <c r="B489" s="7" t="s">
        <v>489</v>
      </c>
      <c r="C489" s="6">
        <v>5</v>
      </c>
      <c r="D489" s="8">
        <v>4.8</v>
      </c>
      <c r="E489" s="8">
        <v>4.8</v>
      </c>
      <c r="F489" s="8">
        <v>0.4</v>
      </c>
      <c r="G489" s="8">
        <v>10</v>
      </c>
      <c r="H489" s="9">
        <v>550</v>
      </c>
    </row>
    <row r="490" spans="1:8" x14ac:dyDescent="0.2">
      <c r="A490" s="2">
        <v>10</v>
      </c>
      <c r="B490" s="3" t="s">
        <v>490</v>
      </c>
      <c r="C490" s="2">
        <v>2</v>
      </c>
      <c r="D490" s="4">
        <v>14</v>
      </c>
      <c r="E490" s="4">
        <v>16</v>
      </c>
      <c r="F490" s="4">
        <v>4</v>
      </c>
      <c r="G490" s="4">
        <v>34</v>
      </c>
      <c r="H490" s="5">
        <v>1870</v>
      </c>
    </row>
    <row r="491" spans="1:8" x14ac:dyDescent="0.2">
      <c r="A491" s="6">
        <v>10</v>
      </c>
      <c r="B491" s="7" t="s">
        <v>491</v>
      </c>
      <c r="C491" s="6">
        <v>1</v>
      </c>
      <c r="D491" s="8">
        <v>5</v>
      </c>
      <c r="E491" s="8">
        <v>6</v>
      </c>
      <c r="F491" s="8">
        <v>0</v>
      </c>
      <c r="G491" s="8">
        <v>11</v>
      </c>
      <c r="H491" s="9">
        <v>605</v>
      </c>
    </row>
    <row r="492" spans="1:8" x14ac:dyDescent="0.2">
      <c r="A492" s="2">
        <v>10</v>
      </c>
      <c r="B492" s="3" t="s">
        <v>492</v>
      </c>
      <c r="C492" s="2">
        <v>1</v>
      </c>
      <c r="D492" s="4">
        <v>5</v>
      </c>
      <c r="E492" s="4">
        <v>6</v>
      </c>
      <c r="F492" s="4">
        <v>0</v>
      </c>
      <c r="G492" s="4">
        <v>11</v>
      </c>
      <c r="H492" s="5">
        <v>605</v>
      </c>
    </row>
    <row r="493" spans="1:8" x14ac:dyDescent="0.2">
      <c r="A493" s="6">
        <v>10</v>
      </c>
      <c r="B493" s="7" t="s">
        <v>493</v>
      </c>
      <c r="C493" s="6">
        <v>144</v>
      </c>
      <c r="D493" s="8">
        <v>7.3</v>
      </c>
      <c r="E493" s="8">
        <v>8</v>
      </c>
      <c r="F493" s="8">
        <v>0.9</v>
      </c>
      <c r="G493" s="8">
        <v>16.2</v>
      </c>
      <c r="H493" s="9">
        <v>891.55</v>
      </c>
    </row>
    <row r="494" spans="1:8" x14ac:dyDescent="0.2">
      <c r="A494" s="2">
        <v>10</v>
      </c>
      <c r="B494" s="3" t="s">
        <v>494</v>
      </c>
      <c r="C494" s="2">
        <v>494</v>
      </c>
      <c r="D494" s="4">
        <v>5.2</v>
      </c>
      <c r="E494" s="4">
        <v>7.1</v>
      </c>
      <c r="F494" s="4">
        <v>1</v>
      </c>
      <c r="G494" s="4">
        <v>13.3</v>
      </c>
      <c r="H494" s="5">
        <v>730.4</v>
      </c>
    </row>
    <row r="495" spans="1:8" x14ac:dyDescent="0.2">
      <c r="A495" s="6">
        <v>10</v>
      </c>
      <c r="B495" s="7" t="s">
        <v>495</v>
      </c>
      <c r="C495" s="6">
        <v>30</v>
      </c>
      <c r="D495" s="8">
        <v>5.7</v>
      </c>
      <c r="E495" s="8">
        <v>5.0999999999999996</v>
      </c>
      <c r="F495" s="8">
        <v>0.5</v>
      </c>
      <c r="G495" s="8">
        <v>11.3</v>
      </c>
      <c r="H495" s="9">
        <v>619.29999999999995</v>
      </c>
    </row>
    <row r="496" spans="1:8" x14ac:dyDescent="0.2">
      <c r="A496" s="2">
        <v>10</v>
      </c>
      <c r="B496" s="3" t="s">
        <v>496</v>
      </c>
      <c r="C496" s="2">
        <v>70</v>
      </c>
      <c r="D496" s="4">
        <v>6.4</v>
      </c>
      <c r="E496" s="4">
        <v>5.0999999999999996</v>
      </c>
      <c r="F496" s="4">
        <v>0.7</v>
      </c>
      <c r="G496" s="4">
        <v>12.2</v>
      </c>
      <c r="H496" s="5">
        <v>673.2</v>
      </c>
    </row>
    <row r="497" spans="1:8" x14ac:dyDescent="0.2">
      <c r="A497" s="6">
        <v>10</v>
      </c>
      <c r="B497" s="7" t="s">
        <v>497</v>
      </c>
      <c r="C497" s="6">
        <v>12</v>
      </c>
      <c r="D497" s="8">
        <v>9.3000000000000007</v>
      </c>
      <c r="E497" s="8">
        <v>11.3</v>
      </c>
      <c r="F497" s="8">
        <v>0.8</v>
      </c>
      <c r="G497" s="8">
        <v>21.3</v>
      </c>
      <c r="H497" s="9">
        <v>1173.1500000000001</v>
      </c>
    </row>
    <row r="498" spans="1:8" x14ac:dyDescent="0.2">
      <c r="A498" s="2">
        <v>10</v>
      </c>
      <c r="B498" s="3" t="s">
        <v>498</v>
      </c>
      <c r="C498" s="2">
        <v>15</v>
      </c>
      <c r="D498" s="4">
        <v>7.1</v>
      </c>
      <c r="E498" s="4">
        <v>4.7</v>
      </c>
      <c r="F498" s="4">
        <v>0.7</v>
      </c>
      <c r="G498" s="4">
        <v>12.5</v>
      </c>
      <c r="H498" s="5">
        <v>684.75</v>
      </c>
    </row>
    <row r="499" spans="1:8" x14ac:dyDescent="0.2">
      <c r="A499" s="6">
        <v>10</v>
      </c>
      <c r="B499" s="7" t="s">
        <v>499</v>
      </c>
      <c r="C499" s="6">
        <v>294</v>
      </c>
      <c r="D499" s="8">
        <v>5.3</v>
      </c>
      <c r="E499" s="8">
        <v>4.5</v>
      </c>
      <c r="F499" s="8">
        <v>0.7</v>
      </c>
      <c r="G499" s="8">
        <v>10.5</v>
      </c>
      <c r="H499" s="9">
        <v>576.95000000000005</v>
      </c>
    </row>
    <row r="500" spans="1:8" x14ac:dyDescent="0.2">
      <c r="A500" s="2">
        <v>10</v>
      </c>
      <c r="B500" s="3" t="s">
        <v>500</v>
      </c>
      <c r="C500" s="2">
        <v>567</v>
      </c>
      <c r="D500" s="4">
        <v>5.0999999999999996</v>
      </c>
      <c r="E500" s="4">
        <v>5</v>
      </c>
      <c r="F500" s="4">
        <v>0.6</v>
      </c>
      <c r="G500" s="4">
        <v>10.7</v>
      </c>
      <c r="H500" s="5">
        <v>590.70000000000005</v>
      </c>
    </row>
    <row r="501" spans="1:8" x14ac:dyDescent="0.2">
      <c r="A501" s="6">
        <v>10</v>
      </c>
      <c r="B501" s="7" t="s">
        <v>501</v>
      </c>
      <c r="C501" s="6">
        <v>12</v>
      </c>
      <c r="D501" s="8">
        <v>5.0999999999999996</v>
      </c>
      <c r="E501" s="8">
        <v>4.7</v>
      </c>
      <c r="F501" s="8">
        <v>0.3</v>
      </c>
      <c r="G501" s="8">
        <v>10</v>
      </c>
      <c r="H501" s="9">
        <v>549.45000000000005</v>
      </c>
    </row>
    <row r="502" spans="1:8" x14ac:dyDescent="0.2">
      <c r="A502" s="2">
        <v>10</v>
      </c>
      <c r="B502" s="3" t="s">
        <v>502</v>
      </c>
      <c r="C502" s="2">
        <v>119</v>
      </c>
      <c r="D502" s="4">
        <v>4.8</v>
      </c>
      <c r="E502" s="4">
        <v>6.9</v>
      </c>
      <c r="F502" s="4">
        <v>0.7</v>
      </c>
      <c r="G502" s="4">
        <v>12.4</v>
      </c>
      <c r="H502" s="5">
        <v>680.9</v>
      </c>
    </row>
    <row r="503" spans="1:8" x14ac:dyDescent="0.2">
      <c r="A503" s="6">
        <v>10</v>
      </c>
      <c r="B503" s="7" t="s">
        <v>503</v>
      </c>
      <c r="C503" s="6">
        <v>1</v>
      </c>
      <c r="D503" s="8">
        <v>10</v>
      </c>
      <c r="E503" s="8">
        <v>10</v>
      </c>
      <c r="F503" s="8">
        <v>4</v>
      </c>
      <c r="G503" s="8">
        <v>24</v>
      </c>
      <c r="H503" s="9">
        <v>1320</v>
      </c>
    </row>
    <row r="504" spans="1:8" x14ac:dyDescent="0.2">
      <c r="A504" s="2">
        <v>10</v>
      </c>
      <c r="B504" s="3" t="s">
        <v>504</v>
      </c>
      <c r="C504" s="2">
        <v>40</v>
      </c>
      <c r="D504" s="4">
        <v>8.3000000000000007</v>
      </c>
      <c r="E504" s="4">
        <v>16.399999999999999</v>
      </c>
      <c r="F504" s="4">
        <v>1.4</v>
      </c>
      <c r="G504" s="4">
        <v>26</v>
      </c>
      <c r="H504" s="5">
        <v>1432.2</v>
      </c>
    </row>
    <row r="505" spans="1:8" x14ac:dyDescent="0.2">
      <c r="A505" s="6">
        <v>10</v>
      </c>
      <c r="B505" s="7" t="s">
        <v>505</v>
      </c>
      <c r="C505" s="6">
        <v>1</v>
      </c>
      <c r="D505" s="8">
        <v>10</v>
      </c>
      <c r="E505" s="8">
        <v>16</v>
      </c>
      <c r="F505" s="8">
        <v>3</v>
      </c>
      <c r="G505" s="8">
        <v>29</v>
      </c>
      <c r="H505" s="9">
        <v>1595</v>
      </c>
    </row>
    <row r="506" spans="1:8" x14ac:dyDescent="0.2">
      <c r="A506" s="2">
        <v>10</v>
      </c>
      <c r="B506" s="3" t="s">
        <v>506</v>
      </c>
      <c r="C506" s="2">
        <v>2</v>
      </c>
      <c r="D506" s="4">
        <v>6.5</v>
      </c>
      <c r="E506" s="4">
        <v>6</v>
      </c>
      <c r="F506" s="4">
        <v>0</v>
      </c>
      <c r="G506" s="4">
        <v>12.5</v>
      </c>
      <c r="H506" s="5">
        <v>687.5</v>
      </c>
    </row>
    <row r="507" spans="1:8" x14ac:dyDescent="0.2">
      <c r="A507" s="6">
        <v>10</v>
      </c>
      <c r="B507" s="7" t="s">
        <v>507</v>
      </c>
      <c r="C507" s="6">
        <v>1</v>
      </c>
      <c r="D507" s="8">
        <v>5</v>
      </c>
      <c r="E507" s="8">
        <v>6</v>
      </c>
      <c r="F507" s="8">
        <v>1</v>
      </c>
      <c r="G507" s="8">
        <v>12</v>
      </c>
      <c r="H507" s="9">
        <v>660</v>
      </c>
    </row>
    <row r="508" spans="1:8" x14ac:dyDescent="0.2">
      <c r="A508" s="2">
        <v>10</v>
      </c>
      <c r="B508" s="3" t="s">
        <v>508</v>
      </c>
      <c r="C508" s="2">
        <v>1581</v>
      </c>
      <c r="D508" s="4">
        <v>5.4</v>
      </c>
      <c r="E508" s="4">
        <v>4.9000000000000004</v>
      </c>
      <c r="F508" s="4">
        <v>0.7</v>
      </c>
      <c r="G508" s="4">
        <v>11.1</v>
      </c>
      <c r="H508" s="5">
        <v>608.29999999999995</v>
      </c>
    </row>
    <row r="509" spans="1:8" x14ac:dyDescent="0.2">
      <c r="A509" s="6">
        <v>10</v>
      </c>
      <c r="B509" s="7" t="s">
        <v>509</v>
      </c>
      <c r="C509" s="6">
        <v>113</v>
      </c>
      <c r="D509" s="8">
        <v>5.4</v>
      </c>
      <c r="E509" s="8">
        <v>5.4</v>
      </c>
      <c r="F509" s="8">
        <v>1.4</v>
      </c>
      <c r="G509" s="8">
        <v>12.2</v>
      </c>
      <c r="H509" s="9">
        <v>671</v>
      </c>
    </row>
    <row r="510" spans="1:8" x14ac:dyDescent="0.2">
      <c r="A510" s="2">
        <v>10</v>
      </c>
      <c r="B510" s="3" t="s">
        <v>510</v>
      </c>
      <c r="C510" s="2">
        <v>6</v>
      </c>
      <c r="D510" s="4">
        <v>6</v>
      </c>
      <c r="E510" s="4">
        <v>7.3</v>
      </c>
      <c r="F510" s="4">
        <v>0.2</v>
      </c>
      <c r="G510" s="4">
        <v>13.5</v>
      </c>
      <c r="H510" s="5">
        <v>742.5</v>
      </c>
    </row>
    <row r="511" spans="1:8" x14ac:dyDescent="0.2">
      <c r="A511" s="6">
        <v>10</v>
      </c>
      <c r="B511" s="7" t="s">
        <v>511</v>
      </c>
      <c r="C511" s="6">
        <v>7</v>
      </c>
      <c r="D511" s="8">
        <v>9</v>
      </c>
      <c r="E511" s="8">
        <v>12</v>
      </c>
      <c r="F511" s="8">
        <v>2.9</v>
      </c>
      <c r="G511" s="8">
        <v>23.9</v>
      </c>
      <c r="H511" s="9">
        <v>1311.75</v>
      </c>
    </row>
    <row r="512" spans="1:8" x14ac:dyDescent="0.2">
      <c r="A512" s="2">
        <v>10</v>
      </c>
      <c r="B512" s="3" t="s">
        <v>512</v>
      </c>
      <c r="C512" s="2">
        <v>11</v>
      </c>
      <c r="D512" s="4">
        <v>4.5</v>
      </c>
      <c r="E512" s="4">
        <v>3.2</v>
      </c>
      <c r="F512" s="4">
        <v>0.4</v>
      </c>
      <c r="G512" s="4">
        <v>8.1</v>
      </c>
      <c r="H512" s="5">
        <v>444.4</v>
      </c>
    </row>
    <row r="513" spans="1:8" x14ac:dyDescent="0.2">
      <c r="A513" s="6">
        <v>10</v>
      </c>
      <c r="B513" s="7" t="s">
        <v>513</v>
      </c>
      <c r="C513" s="6">
        <v>136</v>
      </c>
      <c r="D513" s="8">
        <v>6.7</v>
      </c>
      <c r="E513" s="8">
        <v>8.6999999999999993</v>
      </c>
      <c r="F513" s="8">
        <v>0.4</v>
      </c>
      <c r="G513" s="8">
        <v>15.8</v>
      </c>
      <c r="H513" s="9">
        <v>867.35</v>
      </c>
    </row>
    <row r="514" spans="1:8" x14ac:dyDescent="0.2">
      <c r="A514" s="2">
        <v>10</v>
      </c>
      <c r="B514" s="3" t="s">
        <v>514</v>
      </c>
      <c r="C514" s="2">
        <v>831</v>
      </c>
      <c r="D514" s="4">
        <v>5.6</v>
      </c>
      <c r="E514" s="4">
        <v>4.2</v>
      </c>
      <c r="F514" s="4">
        <v>0.3</v>
      </c>
      <c r="G514" s="4">
        <v>10.1</v>
      </c>
      <c r="H514" s="5">
        <v>557.70000000000005</v>
      </c>
    </row>
    <row r="515" spans="1:8" x14ac:dyDescent="0.2">
      <c r="A515" s="6">
        <v>10</v>
      </c>
      <c r="B515" s="7" t="s">
        <v>515</v>
      </c>
      <c r="C515" s="6">
        <v>2</v>
      </c>
      <c r="D515" s="8">
        <v>8</v>
      </c>
      <c r="E515" s="8">
        <v>5</v>
      </c>
      <c r="F515" s="8">
        <v>0</v>
      </c>
      <c r="G515" s="8">
        <v>13</v>
      </c>
      <c r="H515" s="9">
        <v>715</v>
      </c>
    </row>
    <row r="516" spans="1:8" x14ac:dyDescent="0.2">
      <c r="A516" s="2">
        <v>10</v>
      </c>
      <c r="B516" s="3" t="s">
        <v>516</v>
      </c>
      <c r="C516" s="2">
        <v>1</v>
      </c>
      <c r="D516" s="4">
        <v>6</v>
      </c>
      <c r="E516" s="4">
        <v>3</v>
      </c>
      <c r="F516" s="4">
        <v>0</v>
      </c>
      <c r="G516" s="4">
        <v>9</v>
      </c>
      <c r="H516" s="5">
        <v>495</v>
      </c>
    </row>
    <row r="517" spans="1:8" x14ac:dyDescent="0.2">
      <c r="A517" s="6">
        <v>10</v>
      </c>
      <c r="B517" s="7" t="s">
        <v>517</v>
      </c>
      <c r="C517" s="6">
        <v>1</v>
      </c>
      <c r="D517" s="8">
        <v>6</v>
      </c>
      <c r="E517" s="8">
        <v>8</v>
      </c>
      <c r="F517" s="8">
        <v>1</v>
      </c>
      <c r="G517" s="8">
        <v>15</v>
      </c>
      <c r="H517" s="9">
        <v>825</v>
      </c>
    </row>
    <row r="518" spans="1:8" x14ac:dyDescent="0.2">
      <c r="A518" s="2">
        <v>11</v>
      </c>
      <c r="B518" s="3" t="s">
        <v>518</v>
      </c>
      <c r="C518" s="2">
        <v>11</v>
      </c>
      <c r="D518" s="4">
        <v>6.5</v>
      </c>
      <c r="E518" s="4">
        <v>7.6</v>
      </c>
      <c r="F518" s="4">
        <v>1.1000000000000001</v>
      </c>
      <c r="G518" s="4">
        <v>15.3</v>
      </c>
      <c r="H518" s="5">
        <v>839.3</v>
      </c>
    </row>
    <row r="519" spans="1:8" x14ac:dyDescent="0.2">
      <c r="A519" s="6">
        <v>11</v>
      </c>
      <c r="B519" s="7" t="s">
        <v>519</v>
      </c>
      <c r="C519" s="6">
        <v>1</v>
      </c>
      <c r="D519" s="8">
        <v>6</v>
      </c>
      <c r="E519" s="8">
        <v>6</v>
      </c>
      <c r="F519" s="8">
        <v>0</v>
      </c>
      <c r="G519" s="8">
        <v>12</v>
      </c>
      <c r="H519" s="9">
        <v>660</v>
      </c>
    </row>
    <row r="520" spans="1:8" x14ac:dyDescent="0.2">
      <c r="A520" s="2">
        <v>11</v>
      </c>
      <c r="B520" s="3" t="s">
        <v>520</v>
      </c>
      <c r="C520" s="2">
        <v>1</v>
      </c>
      <c r="D520" s="4">
        <v>7</v>
      </c>
      <c r="E520" s="4">
        <v>21</v>
      </c>
      <c r="F520" s="4">
        <v>3</v>
      </c>
      <c r="G520" s="4">
        <v>31</v>
      </c>
      <c r="H520" s="5">
        <v>1705</v>
      </c>
    </row>
    <row r="521" spans="1:8" x14ac:dyDescent="0.2">
      <c r="A521" s="6">
        <v>11</v>
      </c>
      <c r="B521" s="7" t="s">
        <v>521</v>
      </c>
      <c r="C521" s="6">
        <v>3</v>
      </c>
      <c r="D521" s="8">
        <v>5.3</v>
      </c>
      <c r="E521" s="8">
        <v>4.7</v>
      </c>
      <c r="F521" s="8">
        <v>1.3</v>
      </c>
      <c r="G521" s="8">
        <v>11.3</v>
      </c>
      <c r="H521" s="9">
        <v>622.6</v>
      </c>
    </row>
    <row r="522" spans="1:8" x14ac:dyDescent="0.2">
      <c r="A522" s="2">
        <v>11</v>
      </c>
      <c r="B522" s="3" t="s">
        <v>522</v>
      </c>
      <c r="C522" s="2">
        <v>400</v>
      </c>
      <c r="D522" s="4">
        <v>6.1</v>
      </c>
      <c r="E522" s="4">
        <v>7.7</v>
      </c>
      <c r="F522" s="4">
        <v>0.5</v>
      </c>
      <c r="G522" s="4">
        <v>14.3</v>
      </c>
      <c r="H522" s="5">
        <v>785.4</v>
      </c>
    </row>
    <row r="523" spans="1:8" x14ac:dyDescent="0.2">
      <c r="A523" s="6">
        <v>11</v>
      </c>
      <c r="B523" s="7" t="s">
        <v>523</v>
      </c>
      <c r="C523" s="6">
        <v>1</v>
      </c>
      <c r="D523" s="8">
        <v>4</v>
      </c>
      <c r="E523" s="8">
        <v>2</v>
      </c>
      <c r="F523" s="8">
        <v>0</v>
      </c>
      <c r="G523" s="8">
        <v>6</v>
      </c>
      <c r="H523" s="9">
        <v>330</v>
      </c>
    </row>
    <row r="524" spans="1:8" x14ac:dyDescent="0.2">
      <c r="A524" s="2">
        <v>11</v>
      </c>
      <c r="B524" s="3" t="s">
        <v>524</v>
      </c>
      <c r="C524" s="2">
        <v>1</v>
      </c>
      <c r="D524" s="4">
        <v>10</v>
      </c>
      <c r="E524" s="4">
        <v>12</v>
      </c>
      <c r="F524" s="4">
        <v>0</v>
      </c>
      <c r="G524" s="4">
        <v>22</v>
      </c>
      <c r="H524" s="5">
        <v>1210</v>
      </c>
    </row>
    <row r="525" spans="1:8" x14ac:dyDescent="0.2">
      <c r="A525" s="6">
        <v>11</v>
      </c>
      <c r="B525" s="7" t="s">
        <v>525</v>
      </c>
      <c r="C525" s="6">
        <v>4</v>
      </c>
      <c r="D525" s="8">
        <v>4</v>
      </c>
      <c r="E525" s="8">
        <v>3.3</v>
      </c>
      <c r="F525" s="8">
        <v>0.5</v>
      </c>
      <c r="G525" s="8">
        <v>7.8</v>
      </c>
      <c r="H525" s="9">
        <v>426.25</v>
      </c>
    </row>
    <row r="526" spans="1:8" x14ac:dyDescent="0.2">
      <c r="A526" s="2">
        <v>11</v>
      </c>
      <c r="B526" s="3" t="s">
        <v>526</v>
      </c>
      <c r="C526" s="2">
        <v>4</v>
      </c>
      <c r="D526" s="4">
        <v>5.3</v>
      </c>
      <c r="E526" s="4">
        <v>6</v>
      </c>
      <c r="F526" s="4">
        <v>0.5</v>
      </c>
      <c r="G526" s="4">
        <v>11.8</v>
      </c>
      <c r="H526" s="5">
        <v>646.25</v>
      </c>
    </row>
    <row r="527" spans="1:8" x14ac:dyDescent="0.2">
      <c r="A527" s="6">
        <v>11</v>
      </c>
      <c r="B527" s="7" t="s">
        <v>527</v>
      </c>
      <c r="C527" s="6">
        <v>1</v>
      </c>
      <c r="D527" s="8">
        <v>5</v>
      </c>
      <c r="E527" s="8">
        <v>5</v>
      </c>
      <c r="F527" s="8">
        <v>0</v>
      </c>
      <c r="G527" s="8">
        <v>10</v>
      </c>
      <c r="H527" s="9">
        <v>550</v>
      </c>
    </row>
    <row r="528" spans="1:8" x14ac:dyDescent="0.2">
      <c r="A528" s="2">
        <v>11</v>
      </c>
      <c r="B528" s="3" t="s">
        <v>528</v>
      </c>
      <c r="C528" s="2">
        <v>1</v>
      </c>
      <c r="D528" s="4">
        <v>8</v>
      </c>
      <c r="E528" s="4">
        <v>44</v>
      </c>
      <c r="F528" s="4">
        <v>2</v>
      </c>
      <c r="G528" s="4">
        <v>54</v>
      </c>
      <c r="H528" s="5">
        <v>2970</v>
      </c>
    </row>
    <row r="529" spans="1:8" x14ac:dyDescent="0.2">
      <c r="A529" s="6">
        <v>11</v>
      </c>
      <c r="B529" s="7" t="s">
        <v>529</v>
      </c>
      <c r="C529" s="6">
        <v>2</v>
      </c>
      <c r="D529" s="8">
        <v>5</v>
      </c>
      <c r="E529" s="8">
        <v>13</v>
      </c>
      <c r="F529" s="8">
        <v>0</v>
      </c>
      <c r="G529" s="8">
        <v>18</v>
      </c>
      <c r="H529" s="9">
        <v>990</v>
      </c>
    </row>
    <row r="530" spans="1:8" x14ac:dyDescent="0.2">
      <c r="A530" s="2">
        <v>11</v>
      </c>
      <c r="B530" s="3" t="s">
        <v>530</v>
      </c>
      <c r="C530" s="2">
        <v>1</v>
      </c>
      <c r="D530" s="4">
        <v>7</v>
      </c>
      <c r="E530" s="4">
        <v>8</v>
      </c>
      <c r="F530" s="4">
        <v>2</v>
      </c>
      <c r="G530" s="4">
        <v>17</v>
      </c>
      <c r="H530" s="5">
        <v>935</v>
      </c>
    </row>
    <row r="531" spans="1:8" x14ac:dyDescent="0.2">
      <c r="A531" s="6">
        <v>11</v>
      </c>
      <c r="B531" s="7" t="s">
        <v>531</v>
      </c>
      <c r="C531" s="6">
        <v>1</v>
      </c>
      <c r="D531" s="8">
        <v>5</v>
      </c>
      <c r="E531" s="8">
        <v>11</v>
      </c>
      <c r="F531" s="8">
        <v>0</v>
      </c>
      <c r="G531" s="8">
        <v>16</v>
      </c>
      <c r="H531" s="9">
        <v>880</v>
      </c>
    </row>
    <row r="532" spans="1:8" x14ac:dyDescent="0.2">
      <c r="A532" s="2">
        <v>11</v>
      </c>
      <c r="B532" s="3" t="s">
        <v>532</v>
      </c>
      <c r="C532" s="2">
        <v>4</v>
      </c>
      <c r="D532" s="4">
        <v>4.5</v>
      </c>
      <c r="E532" s="4">
        <v>5</v>
      </c>
      <c r="F532" s="4">
        <v>0.5</v>
      </c>
      <c r="G532" s="4">
        <v>10</v>
      </c>
      <c r="H532" s="5">
        <v>550</v>
      </c>
    </row>
    <row r="533" spans="1:8" x14ac:dyDescent="0.2">
      <c r="A533" s="6">
        <v>11</v>
      </c>
      <c r="B533" s="7" t="s">
        <v>533</v>
      </c>
      <c r="C533" s="6">
        <v>42</v>
      </c>
      <c r="D533" s="8">
        <v>3.4</v>
      </c>
      <c r="E533" s="8">
        <v>2.7</v>
      </c>
      <c r="F533" s="8">
        <v>0.5</v>
      </c>
      <c r="G533" s="8">
        <v>6.7</v>
      </c>
      <c r="H533" s="9">
        <v>366.85</v>
      </c>
    </row>
    <row r="534" spans="1:8" x14ac:dyDescent="0.2">
      <c r="A534" s="2">
        <v>11</v>
      </c>
      <c r="B534" s="3" t="s">
        <v>534</v>
      </c>
      <c r="C534" s="2">
        <v>112</v>
      </c>
      <c r="D534" s="4">
        <v>3.6</v>
      </c>
      <c r="E534" s="4">
        <v>2.7</v>
      </c>
      <c r="F534" s="4">
        <v>0.7</v>
      </c>
      <c r="G534" s="4">
        <v>7</v>
      </c>
      <c r="H534" s="5">
        <v>385</v>
      </c>
    </row>
    <row r="535" spans="1:8" x14ac:dyDescent="0.2">
      <c r="A535" s="6">
        <v>11</v>
      </c>
      <c r="B535" s="7" t="s">
        <v>535</v>
      </c>
      <c r="C535" s="6">
        <v>8316</v>
      </c>
      <c r="D535" s="8">
        <v>1.4</v>
      </c>
      <c r="E535" s="8">
        <v>0.7</v>
      </c>
      <c r="F535" s="8">
        <v>0.3</v>
      </c>
      <c r="G535" s="8">
        <v>2.2999999999999998</v>
      </c>
      <c r="H535" s="9">
        <v>126.5</v>
      </c>
    </row>
    <row r="536" spans="1:8" x14ac:dyDescent="0.2">
      <c r="A536" s="2">
        <v>11</v>
      </c>
      <c r="B536" s="3" t="s">
        <v>536</v>
      </c>
      <c r="C536" s="2">
        <v>212</v>
      </c>
      <c r="D536" s="4">
        <v>2</v>
      </c>
      <c r="E536" s="4">
        <v>0.9</v>
      </c>
      <c r="F536" s="4">
        <v>0.5</v>
      </c>
      <c r="G536" s="4">
        <v>3.4</v>
      </c>
      <c r="H536" s="5">
        <v>187</v>
      </c>
    </row>
    <row r="537" spans="1:8" x14ac:dyDescent="0.2">
      <c r="A537" s="6">
        <v>11</v>
      </c>
      <c r="B537" s="7" t="s">
        <v>537</v>
      </c>
      <c r="C537" s="6">
        <v>1458</v>
      </c>
      <c r="D537" s="8">
        <v>1.2</v>
      </c>
      <c r="E537" s="8">
        <v>0.6</v>
      </c>
      <c r="F537" s="8">
        <v>0.3</v>
      </c>
      <c r="G537" s="8">
        <v>2.1</v>
      </c>
      <c r="H537" s="9">
        <v>112.75</v>
      </c>
    </row>
    <row r="538" spans="1:8" x14ac:dyDescent="0.2">
      <c r="A538" s="2">
        <v>11</v>
      </c>
      <c r="B538" s="3" t="s">
        <v>538</v>
      </c>
      <c r="C538" s="2">
        <v>104</v>
      </c>
      <c r="D538" s="4">
        <v>0.6</v>
      </c>
      <c r="E538" s="4">
        <v>0.3</v>
      </c>
      <c r="F538" s="4">
        <v>0.3</v>
      </c>
      <c r="G538" s="4">
        <v>1.1000000000000001</v>
      </c>
      <c r="H538" s="5">
        <v>62.15</v>
      </c>
    </row>
    <row r="539" spans="1:8" x14ac:dyDescent="0.2">
      <c r="A539" s="6">
        <v>11</v>
      </c>
      <c r="B539" s="7" t="s">
        <v>539</v>
      </c>
      <c r="C539" s="6">
        <v>117</v>
      </c>
      <c r="D539" s="8">
        <v>1.8</v>
      </c>
      <c r="E539" s="8">
        <v>0.9</v>
      </c>
      <c r="F539" s="8">
        <v>0.7</v>
      </c>
      <c r="G539" s="8">
        <v>3.5</v>
      </c>
      <c r="H539" s="9">
        <v>190.85</v>
      </c>
    </row>
    <row r="540" spans="1:8" x14ac:dyDescent="0.2">
      <c r="A540" s="2">
        <v>11</v>
      </c>
      <c r="B540" s="3" t="s">
        <v>540</v>
      </c>
      <c r="C540" s="2">
        <v>1</v>
      </c>
      <c r="D540" s="4">
        <v>4</v>
      </c>
      <c r="E540" s="4">
        <v>5</v>
      </c>
      <c r="F540" s="4">
        <v>0</v>
      </c>
      <c r="G540" s="4">
        <v>9</v>
      </c>
      <c r="H540" s="5">
        <v>495</v>
      </c>
    </row>
    <row r="541" spans="1:8" x14ac:dyDescent="0.2">
      <c r="A541" s="6">
        <v>11</v>
      </c>
      <c r="B541" s="7" t="s">
        <v>541</v>
      </c>
      <c r="C541" s="6">
        <v>230</v>
      </c>
      <c r="D541" s="8">
        <v>2.2000000000000002</v>
      </c>
      <c r="E541" s="8">
        <v>1.1000000000000001</v>
      </c>
      <c r="F541" s="8">
        <v>0.8</v>
      </c>
      <c r="G541" s="8">
        <v>4.0999999999999996</v>
      </c>
      <c r="H541" s="9">
        <v>227.7</v>
      </c>
    </row>
    <row r="542" spans="1:8" x14ac:dyDescent="0.2">
      <c r="A542" s="2">
        <v>11</v>
      </c>
      <c r="B542" s="3" t="s">
        <v>542</v>
      </c>
      <c r="C542" s="2">
        <v>32</v>
      </c>
      <c r="D542" s="4">
        <v>0.1</v>
      </c>
      <c r="E542" s="4">
        <v>0.1</v>
      </c>
      <c r="F542" s="4">
        <v>0.1</v>
      </c>
      <c r="G542" s="4">
        <v>0.3</v>
      </c>
      <c r="H542" s="5">
        <v>16.5</v>
      </c>
    </row>
    <row r="543" spans="1:8" x14ac:dyDescent="0.2">
      <c r="A543" s="6">
        <v>11</v>
      </c>
      <c r="B543" s="7" t="s">
        <v>543</v>
      </c>
      <c r="C543" s="6">
        <v>221</v>
      </c>
      <c r="D543" s="8">
        <v>2.5</v>
      </c>
      <c r="E543" s="8">
        <v>1.3</v>
      </c>
      <c r="F543" s="8">
        <v>0.5</v>
      </c>
      <c r="G543" s="8">
        <v>4.2</v>
      </c>
      <c r="H543" s="9">
        <v>231.55</v>
      </c>
    </row>
    <row r="544" spans="1:8" x14ac:dyDescent="0.2">
      <c r="A544" s="2">
        <v>11</v>
      </c>
      <c r="B544" s="3" t="s">
        <v>544</v>
      </c>
      <c r="C544" s="2">
        <v>1</v>
      </c>
      <c r="D544" s="4">
        <v>0</v>
      </c>
      <c r="E544" s="4">
        <v>0</v>
      </c>
      <c r="F544" s="4">
        <v>0</v>
      </c>
      <c r="G544" s="4">
        <v>0</v>
      </c>
      <c r="H544" s="5">
        <v>0</v>
      </c>
    </row>
    <row r="545" spans="1:8" x14ac:dyDescent="0.2">
      <c r="A545" s="6">
        <v>11</v>
      </c>
      <c r="B545" s="7" t="s">
        <v>545</v>
      </c>
      <c r="C545" s="6">
        <v>31</v>
      </c>
      <c r="D545" s="8">
        <v>1.8</v>
      </c>
      <c r="E545" s="8">
        <v>0.8</v>
      </c>
      <c r="F545" s="8">
        <v>0.4</v>
      </c>
      <c r="G545" s="8">
        <v>3</v>
      </c>
      <c r="H545" s="9">
        <v>163.9</v>
      </c>
    </row>
    <row r="546" spans="1:8" x14ac:dyDescent="0.2">
      <c r="A546" s="2">
        <v>11</v>
      </c>
      <c r="B546" s="3" t="s">
        <v>544</v>
      </c>
      <c r="C546" s="2">
        <v>22</v>
      </c>
      <c r="D546" s="4">
        <v>2.6</v>
      </c>
      <c r="E546" s="4">
        <v>1.2</v>
      </c>
      <c r="F546" s="4">
        <v>1.1000000000000001</v>
      </c>
      <c r="G546" s="4">
        <v>4.9000000000000004</v>
      </c>
      <c r="H546" s="5">
        <v>271.7</v>
      </c>
    </row>
    <row r="547" spans="1:8" x14ac:dyDescent="0.2">
      <c r="A547" s="6">
        <v>11</v>
      </c>
      <c r="B547" s="7" t="s">
        <v>546</v>
      </c>
      <c r="C547" s="6">
        <v>3</v>
      </c>
      <c r="D547" s="8">
        <v>0</v>
      </c>
      <c r="E547" s="8">
        <v>0</v>
      </c>
      <c r="F547" s="8">
        <v>0</v>
      </c>
      <c r="G547" s="8">
        <v>0</v>
      </c>
      <c r="H547" s="9">
        <v>0</v>
      </c>
    </row>
    <row r="548" spans="1:8" x14ac:dyDescent="0.2">
      <c r="A548" s="2">
        <v>11</v>
      </c>
      <c r="B548" s="3" t="s">
        <v>547</v>
      </c>
      <c r="C548" s="2">
        <v>4</v>
      </c>
      <c r="D548" s="4">
        <v>5</v>
      </c>
      <c r="E548" s="4">
        <v>4</v>
      </c>
      <c r="F548" s="4">
        <v>1</v>
      </c>
      <c r="G548" s="4">
        <v>10</v>
      </c>
      <c r="H548" s="5">
        <v>550</v>
      </c>
    </row>
    <row r="549" spans="1:8" x14ac:dyDescent="0.2">
      <c r="A549" s="6">
        <v>11</v>
      </c>
      <c r="B549" s="7" t="s">
        <v>548</v>
      </c>
      <c r="C549" s="6">
        <v>1</v>
      </c>
      <c r="D549" s="8">
        <v>0</v>
      </c>
      <c r="E549" s="8">
        <v>8</v>
      </c>
      <c r="F549" s="8">
        <v>0</v>
      </c>
      <c r="G549" s="8">
        <v>8</v>
      </c>
      <c r="H549" s="9">
        <v>440</v>
      </c>
    </row>
    <row r="550" spans="1:8" x14ac:dyDescent="0.2">
      <c r="A550" s="2">
        <v>11</v>
      </c>
      <c r="B550" s="3" t="s">
        <v>549</v>
      </c>
      <c r="C550" s="2">
        <v>281</v>
      </c>
      <c r="D550" s="4">
        <v>5.9</v>
      </c>
      <c r="E550" s="4">
        <v>10.8</v>
      </c>
      <c r="F550" s="4">
        <v>1.3</v>
      </c>
      <c r="G550" s="4">
        <v>18</v>
      </c>
      <c r="H550" s="5">
        <v>987.25</v>
      </c>
    </row>
    <row r="551" spans="1:8" x14ac:dyDescent="0.2">
      <c r="A551" s="6">
        <v>11</v>
      </c>
      <c r="B551" s="7" t="s">
        <v>550</v>
      </c>
      <c r="C551" s="6">
        <v>1</v>
      </c>
      <c r="D551" s="8">
        <v>4</v>
      </c>
      <c r="E551" s="8">
        <v>7</v>
      </c>
      <c r="F551" s="8">
        <v>0</v>
      </c>
      <c r="G551" s="8">
        <v>11</v>
      </c>
      <c r="H551" s="9">
        <v>605</v>
      </c>
    </row>
    <row r="552" spans="1:8" x14ac:dyDescent="0.2">
      <c r="A552" s="2">
        <v>11</v>
      </c>
      <c r="B552" s="3" t="s">
        <v>551</v>
      </c>
      <c r="C552" s="2">
        <v>1</v>
      </c>
      <c r="D552" s="4">
        <v>4</v>
      </c>
      <c r="E552" s="4">
        <v>7</v>
      </c>
      <c r="F552" s="4">
        <v>0</v>
      </c>
      <c r="G552" s="4">
        <v>11</v>
      </c>
      <c r="H552" s="5">
        <v>605</v>
      </c>
    </row>
    <row r="553" spans="1:8" x14ac:dyDescent="0.2">
      <c r="A553" s="6">
        <v>11</v>
      </c>
      <c r="B553" s="7" t="s">
        <v>552</v>
      </c>
      <c r="C553" s="6">
        <v>115</v>
      </c>
      <c r="D553" s="8">
        <v>7.9</v>
      </c>
      <c r="E553" s="8">
        <v>7.5</v>
      </c>
      <c r="F553" s="8">
        <v>0.9</v>
      </c>
      <c r="G553" s="8">
        <v>16.399999999999999</v>
      </c>
      <c r="H553" s="9">
        <v>900.35</v>
      </c>
    </row>
    <row r="554" spans="1:8" x14ac:dyDescent="0.2">
      <c r="A554" s="2">
        <v>11</v>
      </c>
      <c r="B554" s="3" t="s">
        <v>553</v>
      </c>
      <c r="C554" s="2">
        <v>136</v>
      </c>
      <c r="D554" s="4">
        <v>5.7</v>
      </c>
      <c r="E554" s="4">
        <v>4.8</v>
      </c>
      <c r="F554" s="4">
        <v>0.6</v>
      </c>
      <c r="G554" s="4">
        <v>11.2</v>
      </c>
      <c r="H554" s="5">
        <v>613.25</v>
      </c>
    </row>
    <row r="555" spans="1:8" x14ac:dyDescent="0.2">
      <c r="A555" s="6">
        <v>11</v>
      </c>
      <c r="B555" s="7" t="s">
        <v>554</v>
      </c>
      <c r="C555" s="6">
        <v>135</v>
      </c>
      <c r="D555" s="8">
        <v>5.9</v>
      </c>
      <c r="E555" s="8">
        <v>4.8</v>
      </c>
      <c r="F555" s="8">
        <v>0.7</v>
      </c>
      <c r="G555" s="8">
        <v>11.4</v>
      </c>
      <c r="H555" s="9">
        <v>624.79999999999995</v>
      </c>
    </row>
    <row r="556" spans="1:8" x14ac:dyDescent="0.2">
      <c r="A556" s="2">
        <v>11</v>
      </c>
      <c r="B556" s="3" t="s">
        <v>555</v>
      </c>
      <c r="C556" s="2">
        <v>5</v>
      </c>
      <c r="D556" s="4">
        <v>5</v>
      </c>
      <c r="E556" s="4">
        <v>2.4</v>
      </c>
      <c r="F556" s="4">
        <v>0</v>
      </c>
      <c r="G556" s="4">
        <v>7.4</v>
      </c>
      <c r="H556" s="5">
        <v>407</v>
      </c>
    </row>
    <row r="557" spans="1:8" x14ac:dyDescent="0.2">
      <c r="A557" s="6">
        <v>11</v>
      </c>
      <c r="B557" s="7" t="s">
        <v>556</v>
      </c>
      <c r="C557" s="6">
        <v>4</v>
      </c>
      <c r="D557" s="8">
        <v>6</v>
      </c>
      <c r="E557" s="8">
        <v>7.5</v>
      </c>
      <c r="F557" s="8">
        <v>0.8</v>
      </c>
      <c r="G557" s="8">
        <v>14.3</v>
      </c>
      <c r="H557" s="9">
        <v>783.75</v>
      </c>
    </row>
    <row r="558" spans="1:8" x14ac:dyDescent="0.2">
      <c r="A558" s="2">
        <v>11</v>
      </c>
      <c r="B558" s="3" t="s">
        <v>557</v>
      </c>
      <c r="C558" s="2">
        <v>11</v>
      </c>
      <c r="D558" s="4">
        <v>8.5</v>
      </c>
      <c r="E558" s="4">
        <v>12.5</v>
      </c>
      <c r="F558" s="4">
        <v>1.3</v>
      </c>
      <c r="G558" s="4">
        <v>22.3</v>
      </c>
      <c r="H558" s="5">
        <v>1224.3</v>
      </c>
    </row>
    <row r="559" spans="1:8" x14ac:dyDescent="0.2">
      <c r="A559" s="6">
        <v>11</v>
      </c>
      <c r="B559" s="7" t="s">
        <v>558</v>
      </c>
      <c r="C559" s="6">
        <v>1</v>
      </c>
      <c r="D559" s="8">
        <v>4</v>
      </c>
      <c r="E559" s="8">
        <v>3</v>
      </c>
      <c r="F559" s="8">
        <v>0</v>
      </c>
      <c r="G559" s="8">
        <v>7</v>
      </c>
      <c r="H559" s="9">
        <v>385</v>
      </c>
    </row>
    <row r="560" spans="1:8" x14ac:dyDescent="0.2">
      <c r="A560" s="2">
        <v>11</v>
      </c>
      <c r="B560" s="3" t="s">
        <v>559</v>
      </c>
      <c r="C560" s="2">
        <v>164</v>
      </c>
      <c r="D560" s="4">
        <v>8</v>
      </c>
      <c r="E560" s="4">
        <v>7.3</v>
      </c>
      <c r="F560" s="4">
        <v>1.8</v>
      </c>
      <c r="G560" s="4">
        <v>17.100000000000001</v>
      </c>
      <c r="H560" s="5">
        <v>938.85</v>
      </c>
    </row>
    <row r="561" spans="1:8" x14ac:dyDescent="0.2">
      <c r="A561" s="6">
        <v>11</v>
      </c>
      <c r="B561" s="7" t="s">
        <v>560</v>
      </c>
      <c r="C561" s="6">
        <v>1</v>
      </c>
      <c r="D561" s="8">
        <v>4</v>
      </c>
      <c r="E561" s="8">
        <v>5</v>
      </c>
      <c r="F561" s="8">
        <v>0</v>
      </c>
      <c r="G561" s="8">
        <v>9</v>
      </c>
      <c r="H561" s="9">
        <v>495</v>
      </c>
    </row>
    <row r="562" spans="1:8" x14ac:dyDescent="0.2">
      <c r="A562" s="2">
        <v>11</v>
      </c>
      <c r="B562" s="3" t="s">
        <v>561</v>
      </c>
      <c r="C562" s="2">
        <v>21</v>
      </c>
      <c r="D562" s="4">
        <v>4.8</v>
      </c>
      <c r="E562" s="4">
        <v>4.3</v>
      </c>
      <c r="F562" s="4">
        <v>0.6</v>
      </c>
      <c r="G562" s="4">
        <v>9.6</v>
      </c>
      <c r="H562" s="5">
        <v>528.54999999999995</v>
      </c>
    </row>
    <row r="563" spans="1:8" x14ac:dyDescent="0.2">
      <c r="A563" s="6">
        <v>11</v>
      </c>
      <c r="B563" s="7" t="s">
        <v>562</v>
      </c>
      <c r="C563" s="6">
        <v>140</v>
      </c>
      <c r="D563" s="8">
        <v>4.5</v>
      </c>
      <c r="E563" s="8">
        <v>4.8</v>
      </c>
      <c r="F563" s="8">
        <v>0.9</v>
      </c>
      <c r="G563" s="8">
        <v>10.199999999999999</v>
      </c>
      <c r="H563" s="9">
        <v>559.9</v>
      </c>
    </row>
    <row r="564" spans="1:8" x14ac:dyDescent="0.2">
      <c r="A564" s="2">
        <v>11</v>
      </c>
      <c r="B564" s="3" t="s">
        <v>563</v>
      </c>
      <c r="C564" s="2">
        <v>7</v>
      </c>
      <c r="D564" s="4">
        <v>6</v>
      </c>
      <c r="E564" s="4">
        <v>6.3</v>
      </c>
      <c r="F564" s="4">
        <v>0.3</v>
      </c>
      <c r="G564" s="4">
        <v>12.6</v>
      </c>
      <c r="H564" s="5">
        <v>690.8</v>
      </c>
    </row>
    <row r="565" spans="1:8" x14ac:dyDescent="0.2">
      <c r="A565" s="6">
        <v>11</v>
      </c>
      <c r="B565" s="7" t="s">
        <v>564</v>
      </c>
      <c r="C565" s="6">
        <v>37</v>
      </c>
      <c r="D565" s="8">
        <v>4.0999999999999996</v>
      </c>
      <c r="E565" s="8">
        <v>3.2</v>
      </c>
      <c r="F565" s="8">
        <v>0.3</v>
      </c>
      <c r="G565" s="8">
        <v>7.5</v>
      </c>
      <c r="H565" s="9">
        <v>412.5</v>
      </c>
    </row>
    <row r="566" spans="1:8" x14ac:dyDescent="0.2">
      <c r="A566" s="2">
        <v>11</v>
      </c>
      <c r="B566" s="3" t="s">
        <v>565</v>
      </c>
      <c r="C566" s="2">
        <v>250</v>
      </c>
      <c r="D566" s="4">
        <v>4</v>
      </c>
      <c r="E566" s="4">
        <v>2.9</v>
      </c>
      <c r="F566" s="4">
        <v>0.2</v>
      </c>
      <c r="G566" s="4">
        <v>7.2</v>
      </c>
      <c r="H566" s="5">
        <v>396</v>
      </c>
    </row>
    <row r="567" spans="1:8" x14ac:dyDescent="0.2">
      <c r="A567" s="6">
        <v>11</v>
      </c>
      <c r="B567" s="7" t="s">
        <v>566</v>
      </c>
      <c r="C567" s="6">
        <v>522</v>
      </c>
      <c r="D567" s="8">
        <v>3.9</v>
      </c>
      <c r="E567" s="8">
        <v>2.5</v>
      </c>
      <c r="F567" s="8">
        <v>0.6</v>
      </c>
      <c r="G567" s="8">
        <v>6.9</v>
      </c>
      <c r="H567" s="9">
        <v>381.15</v>
      </c>
    </row>
    <row r="568" spans="1:8" x14ac:dyDescent="0.2">
      <c r="A568" s="2">
        <v>11</v>
      </c>
      <c r="B568" s="3" t="s">
        <v>567</v>
      </c>
      <c r="C568" s="2">
        <v>1528</v>
      </c>
      <c r="D568" s="4">
        <v>4.0999999999999996</v>
      </c>
      <c r="E568" s="4">
        <v>3.1</v>
      </c>
      <c r="F568" s="4">
        <v>0.6</v>
      </c>
      <c r="G568" s="4">
        <v>7.7</v>
      </c>
      <c r="H568" s="5">
        <v>425.7</v>
      </c>
    </row>
    <row r="569" spans="1:8" x14ac:dyDescent="0.2">
      <c r="A569" s="6">
        <v>11</v>
      </c>
      <c r="B569" s="7" t="s">
        <v>568</v>
      </c>
      <c r="C569" s="6">
        <v>269</v>
      </c>
      <c r="D569" s="8">
        <v>4.2</v>
      </c>
      <c r="E569" s="8">
        <v>3.6</v>
      </c>
      <c r="F569" s="8">
        <v>0.3</v>
      </c>
      <c r="G569" s="8">
        <v>8.1</v>
      </c>
      <c r="H569" s="9">
        <v>442.75</v>
      </c>
    </row>
    <row r="570" spans="1:8" x14ac:dyDescent="0.2">
      <c r="A570" s="2">
        <v>12</v>
      </c>
      <c r="B570" s="3" t="s">
        <v>569</v>
      </c>
      <c r="C570" s="2">
        <v>27</v>
      </c>
      <c r="D570" s="4">
        <v>4.0999999999999996</v>
      </c>
      <c r="E570" s="4">
        <v>2.8</v>
      </c>
      <c r="F570" s="4">
        <v>0.5</v>
      </c>
      <c r="G570" s="4">
        <v>7.4</v>
      </c>
      <c r="H570" s="5">
        <v>406.45</v>
      </c>
    </row>
    <row r="571" spans="1:8" x14ac:dyDescent="0.2">
      <c r="A571" s="6">
        <v>12</v>
      </c>
      <c r="B571" s="7" t="s">
        <v>570</v>
      </c>
      <c r="C571" s="6">
        <v>1</v>
      </c>
      <c r="D571" s="8">
        <v>2</v>
      </c>
      <c r="E571" s="8">
        <v>5</v>
      </c>
      <c r="F571" s="8">
        <v>0</v>
      </c>
      <c r="G571" s="8">
        <v>7</v>
      </c>
      <c r="H571" s="9">
        <v>385</v>
      </c>
    </row>
    <row r="572" spans="1:8" x14ac:dyDescent="0.2">
      <c r="A572" s="2">
        <v>12</v>
      </c>
      <c r="B572" s="3" t="s">
        <v>571</v>
      </c>
      <c r="C572" s="2">
        <v>33</v>
      </c>
      <c r="D572" s="4">
        <v>4.2</v>
      </c>
      <c r="E572" s="4">
        <v>1.9</v>
      </c>
      <c r="F572" s="4">
        <v>0.5</v>
      </c>
      <c r="G572" s="4">
        <v>6.6</v>
      </c>
      <c r="H572" s="5">
        <v>362.45</v>
      </c>
    </row>
    <row r="573" spans="1:8" x14ac:dyDescent="0.2">
      <c r="A573" s="6">
        <v>12</v>
      </c>
      <c r="B573" s="7" t="s">
        <v>572</v>
      </c>
      <c r="C573" s="6">
        <v>276</v>
      </c>
      <c r="D573" s="8">
        <v>7.9</v>
      </c>
      <c r="E573" s="8">
        <v>7.7</v>
      </c>
      <c r="F573" s="8">
        <v>1.4</v>
      </c>
      <c r="G573" s="8">
        <v>17</v>
      </c>
      <c r="H573" s="9">
        <v>937.2</v>
      </c>
    </row>
    <row r="574" spans="1:8" x14ac:dyDescent="0.2">
      <c r="A574" s="2">
        <v>12</v>
      </c>
      <c r="B574" s="3" t="s">
        <v>573</v>
      </c>
      <c r="C574" s="2">
        <v>1</v>
      </c>
      <c r="D574" s="4">
        <v>8</v>
      </c>
      <c r="E574" s="4">
        <v>4</v>
      </c>
      <c r="F574" s="4">
        <v>1</v>
      </c>
      <c r="G574" s="4">
        <v>13</v>
      </c>
      <c r="H574" s="5">
        <v>715</v>
      </c>
    </row>
    <row r="575" spans="1:8" x14ac:dyDescent="0.2">
      <c r="A575" s="6">
        <v>12</v>
      </c>
      <c r="B575" s="7" t="s">
        <v>574</v>
      </c>
      <c r="C575" s="6">
        <v>304</v>
      </c>
      <c r="D575" s="8">
        <v>8</v>
      </c>
      <c r="E575" s="8">
        <v>6.7</v>
      </c>
      <c r="F575" s="8">
        <v>0.5</v>
      </c>
      <c r="G575" s="8">
        <v>15.1</v>
      </c>
      <c r="H575" s="9">
        <v>832.15</v>
      </c>
    </row>
    <row r="576" spans="1:8" x14ac:dyDescent="0.2">
      <c r="A576" s="2">
        <v>12</v>
      </c>
      <c r="B576" s="3" t="s">
        <v>575</v>
      </c>
      <c r="C576" s="2">
        <v>41</v>
      </c>
      <c r="D576" s="4">
        <v>8</v>
      </c>
      <c r="E576" s="4">
        <v>5.7</v>
      </c>
      <c r="F576" s="4">
        <v>0.4</v>
      </c>
      <c r="G576" s="4">
        <v>14.1</v>
      </c>
      <c r="H576" s="5">
        <v>775.5</v>
      </c>
    </row>
    <row r="577" spans="1:8" x14ac:dyDescent="0.2">
      <c r="A577" s="6">
        <v>12</v>
      </c>
      <c r="B577" s="7" t="s">
        <v>576</v>
      </c>
      <c r="C577" s="6">
        <v>2</v>
      </c>
      <c r="D577" s="8">
        <v>2</v>
      </c>
      <c r="E577" s="8">
        <v>2.5</v>
      </c>
      <c r="F577" s="8">
        <v>0</v>
      </c>
      <c r="G577" s="8">
        <v>4.5</v>
      </c>
      <c r="H577" s="9">
        <v>247.5</v>
      </c>
    </row>
    <row r="578" spans="1:8" x14ac:dyDescent="0.2">
      <c r="A578" s="2">
        <v>12</v>
      </c>
      <c r="B578" s="3" t="s">
        <v>577</v>
      </c>
      <c r="C578" s="2">
        <v>1</v>
      </c>
      <c r="D578" s="4">
        <v>0</v>
      </c>
      <c r="E578" s="4">
        <v>3</v>
      </c>
      <c r="F578" s="4">
        <v>0</v>
      </c>
      <c r="G578" s="4">
        <v>3</v>
      </c>
      <c r="H578" s="5">
        <v>165</v>
      </c>
    </row>
    <row r="579" spans="1:8" x14ac:dyDescent="0.2">
      <c r="A579" s="6">
        <v>12</v>
      </c>
      <c r="B579" s="7" t="s">
        <v>578</v>
      </c>
      <c r="C579" s="6">
        <v>1</v>
      </c>
      <c r="D579" s="8">
        <v>5</v>
      </c>
      <c r="E579" s="8">
        <v>5</v>
      </c>
      <c r="F579" s="8">
        <v>0</v>
      </c>
      <c r="G579" s="8">
        <v>10</v>
      </c>
      <c r="H579" s="9">
        <v>550</v>
      </c>
    </row>
    <row r="580" spans="1:8" x14ac:dyDescent="0.2">
      <c r="A580" s="2">
        <v>12</v>
      </c>
      <c r="B580" s="3" t="s">
        <v>579</v>
      </c>
      <c r="C580" s="2">
        <v>0</v>
      </c>
      <c r="D580" s="4">
        <v>0</v>
      </c>
      <c r="E580" s="4">
        <v>0</v>
      </c>
      <c r="F580" s="4">
        <v>0</v>
      </c>
      <c r="G580" s="4">
        <v>0</v>
      </c>
      <c r="H580" s="5">
        <v>0</v>
      </c>
    </row>
    <row r="581" spans="1:8" x14ac:dyDescent="0.2">
      <c r="A581" s="6">
        <v>12</v>
      </c>
      <c r="B581" s="7" t="s">
        <v>580</v>
      </c>
      <c r="C581" s="6">
        <v>2</v>
      </c>
      <c r="D581" s="8">
        <v>4.5</v>
      </c>
      <c r="E581" s="8">
        <v>6</v>
      </c>
      <c r="F581" s="8">
        <v>0.5</v>
      </c>
      <c r="G581" s="8">
        <v>11</v>
      </c>
      <c r="H581" s="9">
        <v>605</v>
      </c>
    </row>
    <row r="582" spans="1:8" x14ac:dyDescent="0.2">
      <c r="A582" s="2">
        <v>12</v>
      </c>
      <c r="B582" s="3" t="s">
        <v>581</v>
      </c>
      <c r="C582" s="2">
        <v>1</v>
      </c>
      <c r="D582" s="4">
        <v>5</v>
      </c>
      <c r="E582" s="4">
        <v>5</v>
      </c>
      <c r="F582" s="4">
        <v>0</v>
      </c>
      <c r="G582" s="4">
        <v>10</v>
      </c>
      <c r="H582" s="5">
        <v>550</v>
      </c>
    </row>
    <row r="583" spans="1:8" x14ac:dyDescent="0.2">
      <c r="A583" s="6">
        <v>12</v>
      </c>
      <c r="B583" s="7" t="s">
        <v>582</v>
      </c>
      <c r="C583" s="6">
        <v>1</v>
      </c>
      <c r="D583" s="8">
        <v>4</v>
      </c>
      <c r="E583" s="8">
        <v>4</v>
      </c>
      <c r="F583" s="8">
        <v>0</v>
      </c>
      <c r="G583" s="8">
        <v>8</v>
      </c>
      <c r="H583" s="9">
        <v>440</v>
      </c>
    </row>
    <row r="584" spans="1:8" x14ac:dyDescent="0.2">
      <c r="A584" s="2">
        <v>12</v>
      </c>
      <c r="B584" s="3" t="s">
        <v>583</v>
      </c>
      <c r="C584" s="2">
        <v>1</v>
      </c>
      <c r="D584" s="4">
        <v>4</v>
      </c>
      <c r="E584" s="4">
        <v>20</v>
      </c>
      <c r="F584" s="4">
        <v>1</v>
      </c>
      <c r="G584" s="4">
        <v>25</v>
      </c>
      <c r="H584" s="5">
        <v>1375</v>
      </c>
    </row>
    <row r="585" spans="1:8" x14ac:dyDescent="0.2">
      <c r="A585" s="6">
        <v>12</v>
      </c>
      <c r="B585" s="7" t="s">
        <v>584</v>
      </c>
      <c r="C585" s="6">
        <v>1</v>
      </c>
      <c r="D585" s="8">
        <v>4</v>
      </c>
      <c r="E585" s="8">
        <v>5</v>
      </c>
      <c r="F585" s="8">
        <v>0</v>
      </c>
      <c r="G585" s="8">
        <v>9</v>
      </c>
      <c r="H585" s="9">
        <v>495</v>
      </c>
    </row>
    <row r="586" spans="1:8" x14ac:dyDescent="0.2">
      <c r="A586" s="2">
        <v>12</v>
      </c>
      <c r="B586" s="3" t="s">
        <v>585</v>
      </c>
      <c r="C586" s="2">
        <v>735</v>
      </c>
      <c r="D586" s="4">
        <v>1.9</v>
      </c>
      <c r="E586" s="4">
        <v>1</v>
      </c>
      <c r="F586" s="4">
        <v>0.1</v>
      </c>
      <c r="G586" s="4">
        <v>2.9</v>
      </c>
      <c r="H586" s="5">
        <v>161.69999999999999</v>
      </c>
    </row>
    <row r="587" spans="1:8" x14ac:dyDescent="0.2">
      <c r="A587" s="6">
        <v>12</v>
      </c>
      <c r="B587" s="7" t="s">
        <v>586</v>
      </c>
      <c r="C587" s="6">
        <v>0</v>
      </c>
      <c r="D587" s="8">
        <v>0</v>
      </c>
      <c r="E587" s="8">
        <v>0</v>
      </c>
      <c r="F587" s="8">
        <v>0</v>
      </c>
      <c r="G587" s="8">
        <v>0</v>
      </c>
      <c r="H587" s="9">
        <v>0</v>
      </c>
    </row>
    <row r="588" spans="1:8" x14ac:dyDescent="0.2">
      <c r="A588" s="2">
        <v>12</v>
      </c>
      <c r="B588" s="3" t="s">
        <v>587</v>
      </c>
      <c r="C588" s="2">
        <v>13</v>
      </c>
      <c r="D588" s="4">
        <v>4.8</v>
      </c>
      <c r="E588" s="4">
        <v>4.8</v>
      </c>
      <c r="F588" s="4">
        <v>0.7</v>
      </c>
      <c r="G588" s="4">
        <v>10.4</v>
      </c>
      <c r="H588" s="5">
        <v>570.35</v>
      </c>
    </row>
    <row r="589" spans="1:8" x14ac:dyDescent="0.2">
      <c r="A589" s="6">
        <v>12</v>
      </c>
      <c r="B589" s="7" t="s">
        <v>588</v>
      </c>
      <c r="C589" s="6">
        <v>9</v>
      </c>
      <c r="D589" s="8">
        <v>4.4000000000000004</v>
      </c>
      <c r="E589" s="8">
        <v>3.4</v>
      </c>
      <c r="F589" s="8">
        <v>0.1</v>
      </c>
      <c r="G589" s="8">
        <v>8</v>
      </c>
      <c r="H589" s="9">
        <v>439.45</v>
      </c>
    </row>
    <row r="590" spans="1:8" x14ac:dyDescent="0.2">
      <c r="A590" s="2">
        <v>12</v>
      </c>
      <c r="B590" s="3" t="s">
        <v>589</v>
      </c>
      <c r="C590" s="2">
        <v>1</v>
      </c>
      <c r="D590" s="4">
        <v>6</v>
      </c>
      <c r="E590" s="4">
        <v>5.3</v>
      </c>
      <c r="F590" s="4">
        <v>2</v>
      </c>
      <c r="G590" s="4">
        <v>13.3</v>
      </c>
      <c r="H590" s="5">
        <v>729.85</v>
      </c>
    </row>
    <row r="591" spans="1:8" x14ac:dyDescent="0.2">
      <c r="A591" s="6">
        <v>12</v>
      </c>
      <c r="B591" s="7" t="s">
        <v>590</v>
      </c>
      <c r="C591" s="6">
        <v>1</v>
      </c>
      <c r="D591" s="8">
        <v>8</v>
      </c>
      <c r="E591" s="8">
        <v>16</v>
      </c>
      <c r="F591" s="8">
        <v>2</v>
      </c>
      <c r="G591" s="8">
        <v>26</v>
      </c>
      <c r="H591" s="9">
        <v>1430</v>
      </c>
    </row>
    <row r="592" spans="1:8" x14ac:dyDescent="0.2">
      <c r="A592" s="2">
        <v>12</v>
      </c>
      <c r="B592" s="3" t="s">
        <v>591</v>
      </c>
      <c r="C592" s="2">
        <v>1</v>
      </c>
      <c r="D592" s="4">
        <v>6</v>
      </c>
      <c r="E592" s="4">
        <v>12</v>
      </c>
      <c r="F592" s="4">
        <v>0</v>
      </c>
      <c r="G592" s="4">
        <v>18</v>
      </c>
      <c r="H592" s="5">
        <v>990</v>
      </c>
    </row>
    <row r="593" spans="1:8" x14ac:dyDescent="0.2">
      <c r="A593" s="6">
        <v>12</v>
      </c>
      <c r="B593" s="7" t="s">
        <v>592</v>
      </c>
      <c r="C593" s="6">
        <v>1</v>
      </c>
      <c r="D593" s="8">
        <v>6</v>
      </c>
      <c r="E593" s="8">
        <v>11</v>
      </c>
      <c r="F593" s="8">
        <v>0</v>
      </c>
      <c r="G593" s="8">
        <v>17</v>
      </c>
      <c r="H593" s="9">
        <v>935</v>
      </c>
    </row>
    <row r="594" spans="1:8" x14ac:dyDescent="0.2">
      <c r="A594" s="2">
        <v>12</v>
      </c>
      <c r="B594" s="3" t="s">
        <v>593</v>
      </c>
      <c r="C594" s="2">
        <v>2</v>
      </c>
      <c r="D594" s="4">
        <v>3</v>
      </c>
      <c r="E594" s="4">
        <v>3</v>
      </c>
      <c r="F594" s="4">
        <v>1</v>
      </c>
      <c r="G594" s="4">
        <v>7</v>
      </c>
      <c r="H594" s="5">
        <v>385</v>
      </c>
    </row>
    <row r="595" spans="1:8" x14ac:dyDescent="0.2">
      <c r="A595" s="6">
        <v>12</v>
      </c>
      <c r="B595" s="7" t="s">
        <v>594</v>
      </c>
      <c r="C595" s="6">
        <v>53</v>
      </c>
      <c r="D595" s="8">
        <v>7.6</v>
      </c>
      <c r="E595" s="8">
        <v>12.5</v>
      </c>
      <c r="F595" s="8">
        <v>1.3</v>
      </c>
      <c r="G595" s="8">
        <v>21.5</v>
      </c>
      <c r="H595" s="9">
        <v>1181.95</v>
      </c>
    </row>
    <row r="596" spans="1:8" x14ac:dyDescent="0.2">
      <c r="A596" s="2">
        <v>12</v>
      </c>
      <c r="B596" s="3" t="s">
        <v>595</v>
      </c>
      <c r="C596" s="2">
        <v>1040</v>
      </c>
      <c r="D596" s="4">
        <v>8</v>
      </c>
      <c r="E596" s="4">
        <v>8</v>
      </c>
      <c r="F596" s="4">
        <v>1.6</v>
      </c>
      <c r="G596" s="4">
        <v>17.600000000000001</v>
      </c>
      <c r="H596" s="5">
        <v>966.9</v>
      </c>
    </row>
    <row r="597" spans="1:8" x14ac:dyDescent="0.2">
      <c r="A597" s="6">
        <v>12</v>
      </c>
      <c r="B597" s="7" t="s">
        <v>596</v>
      </c>
      <c r="C597" s="6">
        <v>4480</v>
      </c>
      <c r="D597" s="8">
        <v>7.9</v>
      </c>
      <c r="E597" s="8">
        <v>7.9</v>
      </c>
      <c r="F597" s="8">
        <v>1.4</v>
      </c>
      <c r="G597" s="8">
        <v>17.2</v>
      </c>
      <c r="H597" s="9">
        <v>947.1</v>
      </c>
    </row>
    <row r="598" spans="1:8" x14ac:dyDescent="0.2">
      <c r="A598" s="2">
        <v>12</v>
      </c>
      <c r="B598" s="3" t="s">
        <v>597</v>
      </c>
      <c r="C598" s="2">
        <v>33</v>
      </c>
      <c r="D598" s="4">
        <v>8.1</v>
      </c>
      <c r="E598" s="4">
        <v>8.8000000000000007</v>
      </c>
      <c r="F598" s="4">
        <v>1.8</v>
      </c>
      <c r="G598" s="4">
        <v>18.600000000000001</v>
      </c>
      <c r="H598" s="5">
        <v>1024.0999999999999</v>
      </c>
    </row>
    <row r="599" spans="1:8" x14ac:dyDescent="0.2">
      <c r="A599" s="6">
        <v>12</v>
      </c>
      <c r="B599" s="7" t="s">
        <v>598</v>
      </c>
      <c r="C599" s="6">
        <v>1</v>
      </c>
      <c r="D599" s="8">
        <v>8</v>
      </c>
      <c r="E599" s="8">
        <v>7</v>
      </c>
      <c r="F599" s="8">
        <v>1</v>
      </c>
      <c r="G599" s="8">
        <v>16</v>
      </c>
      <c r="H599" s="9">
        <v>880</v>
      </c>
    </row>
    <row r="600" spans="1:8" x14ac:dyDescent="0.2">
      <c r="A600" s="2">
        <v>12</v>
      </c>
      <c r="B600" s="3" t="s">
        <v>599</v>
      </c>
      <c r="C600" s="2">
        <v>10</v>
      </c>
      <c r="D600" s="4">
        <v>8</v>
      </c>
      <c r="E600" s="4">
        <v>10.199999999999999</v>
      </c>
      <c r="F600" s="4">
        <v>2.1</v>
      </c>
      <c r="G600" s="4">
        <v>20.3</v>
      </c>
      <c r="H600" s="5">
        <v>1116.5</v>
      </c>
    </row>
    <row r="601" spans="1:8" x14ac:dyDescent="0.2">
      <c r="A601" s="6">
        <v>12</v>
      </c>
      <c r="B601" s="7" t="s">
        <v>600</v>
      </c>
      <c r="C601" s="6">
        <v>8</v>
      </c>
      <c r="D601" s="8">
        <v>8</v>
      </c>
      <c r="E601" s="8">
        <v>13.8</v>
      </c>
      <c r="F601" s="8">
        <v>2.8</v>
      </c>
      <c r="G601" s="8">
        <v>24.5</v>
      </c>
      <c r="H601" s="9">
        <v>1347.5</v>
      </c>
    </row>
    <row r="602" spans="1:8" x14ac:dyDescent="0.2">
      <c r="A602" s="2">
        <v>12</v>
      </c>
      <c r="B602" s="3" t="s">
        <v>601</v>
      </c>
      <c r="C602" s="2">
        <v>1053</v>
      </c>
      <c r="D602" s="4">
        <v>8</v>
      </c>
      <c r="E602" s="4">
        <v>8.6</v>
      </c>
      <c r="F602" s="4">
        <v>1.7</v>
      </c>
      <c r="G602" s="4">
        <v>18.2</v>
      </c>
      <c r="H602" s="5">
        <v>1001</v>
      </c>
    </row>
    <row r="603" spans="1:8" x14ac:dyDescent="0.2">
      <c r="A603" s="6">
        <v>12</v>
      </c>
      <c r="B603" s="7" t="s">
        <v>602</v>
      </c>
      <c r="C603" s="6">
        <v>2409</v>
      </c>
      <c r="D603" s="8">
        <v>8</v>
      </c>
      <c r="E603" s="8">
        <v>8.1</v>
      </c>
      <c r="F603" s="8">
        <v>1.5</v>
      </c>
      <c r="G603" s="8">
        <v>17.600000000000001</v>
      </c>
      <c r="H603" s="9">
        <v>965.8</v>
      </c>
    </row>
    <row r="604" spans="1:8" x14ac:dyDescent="0.2">
      <c r="A604" s="2">
        <v>12</v>
      </c>
      <c r="B604" s="3" t="s">
        <v>602</v>
      </c>
      <c r="C604" s="2">
        <v>2409</v>
      </c>
      <c r="D604" s="4">
        <v>8</v>
      </c>
      <c r="E604" s="4">
        <v>8.1</v>
      </c>
      <c r="F604" s="4">
        <v>1.5</v>
      </c>
      <c r="G604" s="4">
        <v>17.600000000000001</v>
      </c>
      <c r="H604" s="5">
        <v>965.8</v>
      </c>
    </row>
    <row r="605" spans="1:8" x14ac:dyDescent="0.2">
      <c r="A605" s="6">
        <v>12</v>
      </c>
      <c r="B605" s="7" t="s">
        <v>603</v>
      </c>
      <c r="C605" s="6">
        <v>1</v>
      </c>
      <c r="D605" s="8">
        <v>5</v>
      </c>
      <c r="E605" s="8">
        <v>3</v>
      </c>
      <c r="F605" s="8">
        <v>0</v>
      </c>
      <c r="G605" s="8">
        <v>8</v>
      </c>
      <c r="H605" s="9">
        <v>440</v>
      </c>
    </row>
    <row r="606" spans="1:8" x14ac:dyDescent="0.2">
      <c r="A606" s="2">
        <v>12</v>
      </c>
      <c r="B606" s="3" t="s">
        <v>604</v>
      </c>
      <c r="C606" s="2">
        <v>272</v>
      </c>
      <c r="D606" s="4">
        <v>3.6</v>
      </c>
      <c r="E606" s="4">
        <v>3.8</v>
      </c>
      <c r="F606" s="4">
        <v>0.6</v>
      </c>
      <c r="G606" s="4">
        <v>7.9</v>
      </c>
      <c r="H606" s="5">
        <v>436.7</v>
      </c>
    </row>
    <row r="607" spans="1:8" x14ac:dyDescent="0.2">
      <c r="A607" s="6">
        <v>12</v>
      </c>
      <c r="B607" s="7" t="s">
        <v>605</v>
      </c>
      <c r="C607" s="6">
        <v>1</v>
      </c>
      <c r="D607" s="8">
        <v>6</v>
      </c>
      <c r="E607" s="8">
        <v>5</v>
      </c>
      <c r="F607" s="8">
        <v>3</v>
      </c>
      <c r="G607" s="8">
        <v>14</v>
      </c>
      <c r="H607" s="9">
        <v>770</v>
      </c>
    </row>
    <row r="608" spans="1:8" x14ac:dyDescent="0.2">
      <c r="A608" s="2">
        <v>12</v>
      </c>
      <c r="B608" s="3" t="s">
        <v>606</v>
      </c>
      <c r="C608" s="2">
        <v>5</v>
      </c>
      <c r="D608" s="4">
        <v>4</v>
      </c>
      <c r="E608" s="4">
        <v>2</v>
      </c>
      <c r="F608" s="4">
        <v>0.2</v>
      </c>
      <c r="G608" s="4">
        <v>6.2</v>
      </c>
      <c r="H608" s="5">
        <v>341</v>
      </c>
    </row>
    <row r="609" spans="1:8" x14ac:dyDescent="0.2">
      <c r="A609" s="6">
        <v>12</v>
      </c>
      <c r="B609" s="7" t="s">
        <v>607</v>
      </c>
      <c r="C609" s="6">
        <v>3</v>
      </c>
      <c r="D609" s="8">
        <v>3.7</v>
      </c>
      <c r="E609" s="8">
        <v>3.3</v>
      </c>
      <c r="F609" s="8">
        <v>0.3</v>
      </c>
      <c r="G609" s="8">
        <v>7.3</v>
      </c>
      <c r="H609" s="9">
        <v>402.6</v>
      </c>
    </row>
    <row r="610" spans="1:8" x14ac:dyDescent="0.2">
      <c r="A610" s="2">
        <v>12</v>
      </c>
      <c r="B610" s="3" t="s">
        <v>608</v>
      </c>
      <c r="C610" s="2">
        <v>1</v>
      </c>
      <c r="D610" s="4">
        <v>4</v>
      </c>
      <c r="E610" s="4">
        <v>5</v>
      </c>
      <c r="F610" s="4">
        <v>0</v>
      </c>
      <c r="G610" s="4">
        <v>9</v>
      </c>
      <c r="H610" s="5">
        <v>495</v>
      </c>
    </row>
    <row r="611" spans="1:8" x14ac:dyDescent="0.2">
      <c r="A611" s="6">
        <v>12</v>
      </c>
      <c r="B611" s="7" t="s">
        <v>609</v>
      </c>
      <c r="C611" s="6">
        <v>1</v>
      </c>
      <c r="D611" s="8">
        <v>6</v>
      </c>
      <c r="E611" s="8">
        <v>12</v>
      </c>
      <c r="F611" s="8">
        <v>0</v>
      </c>
      <c r="G611" s="8">
        <v>18</v>
      </c>
      <c r="H611" s="9">
        <v>990</v>
      </c>
    </row>
    <row r="612" spans="1:8" x14ac:dyDescent="0.2">
      <c r="A612" s="2">
        <v>12</v>
      </c>
      <c r="B612" s="3" t="s">
        <v>610</v>
      </c>
      <c r="C612" s="2">
        <v>1</v>
      </c>
      <c r="D612" s="4">
        <v>8</v>
      </c>
      <c r="E612" s="4">
        <v>13</v>
      </c>
      <c r="F612" s="4">
        <v>0</v>
      </c>
      <c r="G612" s="4">
        <v>21</v>
      </c>
      <c r="H612" s="5">
        <v>1155</v>
      </c>
    </row>
    <row r="613" spans="1:8" x14ac:dyDescent="0.2">
      <c r="A613" s="6">
        <v>12</v>
      </c>
      <c r="B613" s="7" t="s">
        <v>611</v>
      </c>
      <c r="C613" s="6">
        <v>0</v>
      </c>
      <c r="D613" s="8">
        <v>0</v>
      </c>
      <c r="E613" s="8">
        <v>0</v>
      </c>
      <c r="F613" s="8">
        <v>0</v>
      </c>
      <c r="G613" s="8">
        <v>0</v>
      </c>
      <c r="H613" s="9">
        <v>0</v>
      </c>
    </row>
    <row r="614" spans="1:8" x14ac:dyDescent="0.2">
      <c r="A614" s="2">
        <v>12</v>
      </c>
      <c r="B614" s="3" t="s">
        <v>612</v>
      </c>
      <c r="C614" s="2">
        <v>8</v>
      </c>
      <c r="D614" s="4">
        <v>5.0999999999999996</v>
      </c>
      <c r="E614" s="4">
        <v>8.5</v>
      </c>
      <c r="F614" s="4">
        <v>0.9</v>
      </c>
      <c r="G614" s="4">
        <v>14.5</v>
      </c>
      <c r="H614" s="5">
        <v>796.95</v>
      </c>
    </row>
    <row r="615" spans="1:8" x14ac:dyDescent="0.2">
      <c r="A615" s="6">
        <v>12</v>
      </c>
      <c r="B615" s="7" t="s">
        <v>613</v>
      </c>
      <c r="C615" s="6">
        <v>1</v>
      </c>
      <c r="D615" s="8">
        <v>0</v>
      </c>
      <c r="E615" s="8">
        <v>3</v>
      </c>
      <c r="F615" s="8">
        <v>0</v>
      </c>
      <c r="G615" s="8">
        <v>3</v>
      </c>
      <c r="H615" s="9">
        <v>165</v>
      </c>
    </row>
    <row r="616" spans="1:8" x14ac:dyDescent="0.2">
      <c r="A616" s="2">
        <v>12</v>
      </c>
      <c r="B616" s="3" t="s">
        <v>614</v>
      </c>
      <c r="C616" s="2">
        <v>1</v>
      </c>
      <c r="D616" s="4">
        <v>6</v>
      </c>
      <c r="E616" s="4">
        <v>3</v>
      </c>
      <c r="F616" s="4">
        <v>0</v>
      </c>
      <c r="G616" s="4">
        <v>9</v>
      </c>
      <c r="H616" s="5">
        <v>495</v>
      </c>
    </row>
    <row r="617" spans="1:8" x14ac:dyDescent="0.2">
      <c r="A617" s="6">
        <v>12</v>
      </c>
      <c r="B617" s="7" t="s">
        <v>615</v>
      </c>
      <c r="C617" s="6">
        <v>53</v>
      </c>
      <c r="D617" s="8">
        <v>4.8</v>
      </c>
      <c r="E617" s="8">
        <v>5</v>
      </c>
      <c r="F617" s="8">
        <v>0.8</v>
      </c>
      <c r="G617" s="8">
        <v>10.6</v>
      </c>
      <c r="H617" s="9">
        <v>580.79999999999995</v>
      </c>
    </row>
    <row r="618" spans="1:8" x14ac:dyDescent="0.2">
      <c r="A618" s="2">
        <v>12</v>
      </c>
      <c r="B618" s="3" t="s">
        <v>616</v>
      </c>
      <c r="C618" s="2">
        <v>52</v>
      </c>
      <c r="D618" s="4">
        <v>4.2</v>
      </c>
      <c r="E618" s="4">
        <v>2.5</v>
      </c>
      <c r="F618" s="4">
        <v>0.2</v>
      </c>
      <c r="G618" s="4">
        <v>6.8</v>
      </c>
      <c r="H618" s="5">
        <v>372.9</v>
      </c>
    </row>
    <row r="619" spans="1:8" x14ac:dyDescent="0.2">
      <c r="A619" s="6">
        <v>12</v>
      </c>
      <c r="B619" s="7" t="s">
        <v>617</v>
      </c>
      <c r="C619" s="6">
        <v>4</v>
      </c>
      <c r="D619" s="8">
        <v>10</v>
      </c>
      <c r="E619" s="8">
        <v>15.5</v>
      </c>
      <c r="F619" s="8">
        <v>0.5</v>
      </c>
      <c r="G619" s="8">
        <v>26</v>
      </c>
      <c r="H619" s="9">
        <v>1430</v>
      </c>
    </row>
    <row r="620" spans="1:8" x14ac:dyDescent="0.2">
      <c r="A620" s="2">
        <v>12</v>
      </c>
      <c r="B620" s="3" t="s">
        <v>618</v>
      </c>
      <c r="C620" s="2">
        <v>24</v>
      </c>
      <c r="D620" s="4">
        <v>9</v>
      </c>
      <c r="E620" s="4">
        <v>27.2</v>
      </c>
      <c r="F620" s="4">
        <v>2.2999999999999998</v>
      </c>
      <c r="G620" s="4">
        <v>38.5</v>
      </c>
      <c r="H620" s="5">
        <v>2119.15</v>
      </c>
    </row>
    <row r="621" spans="1:8" x14ac:dyDescent="0.2">
      <c r="A621" s="6">
        <v>12</v>
      </c>
      <c r="B621" s="7" t="s">
        <v>619</v>
      </c>
      <c r="C621" s="6">
        <v>3</v>
      </c>
      <c r="D621" s="8">
        <v>3</v>
      </c>
      <c r="E621" s="8">
        <v>5.7</v>
      </c>
      <c r="F621" s="8">
        <v>0.3</v>
      </c>
      <c r="G621" s="8">
        <v>9</v>
      </c>
      <c r="H621" s="9">
        <v>494.45</v>
      </c>
    </row>
    <row r="622" spans="1:8" x14ac:dyDescent="0.2">
      <c r="A622" s="2">
        <v>13</v>
      </c>
      <c r="B622" s="3" t="s">
        <v>620</v>
      </c>
      <c r="C622" s="2">
        <v>42</v>
      </c>
      <c r="D622" s="4">
        <v>8.1999999999999993</v>
      </c>
      <c r="E622" s="4">
        <v>7.8</v>
      </c>
      <c r="F622" s="4">
        <v>1.5</v>
      </c>
      <c r="G622" s="4">
        <v>17.399999999999999</v>
      </c>
      <c r="H622" s="5">
        <v>955.35</v>
      </c>
    </row>
    <row r="623" spans="1:8" x14ac:dyDescent="0.2">
      <c r="A623" s="6">
        <v>13</v>
      </c>
      <c r="B623" s="7" t="s">
        <v>621</v>
      </c>
      <c r="C623" s="6">
        <v>441</v>
      </c>
      <c r="D623" s="8">
        <v>8</v>
      </c>
      <c r="E623" s="8">
        <v>7.1</v>
      </c>
      <c r="F623" s="8">
        <v>0.8</v>
      </c>
      <c r="G623" s="8">
        <v>15.9</v>
      </c>
      <c r="H623" s="9">
        <v>872.85</v>
      </c>
    </row>
    <row r="624" spans="1:8" x14ac:dyDescent="0.2">
      <c r="A624" s="2">
        <v>13</v>
      </c>
      <c r="B624" s="3" t="s">
        <v>622</v>
      </c>
      <c r="C624" s="2">
        <v>81</v>
      </c>
      <c r="D624" s="4">
        <v>9.6</v>
      </c>
      <c r="E624" s="4">
        <v>21.6</v>
      </c>
      <c r="F624" s="4">
        <v>0.9</v>
      </c>
      <c r="G624" s="4">
        <v>32.200000000000003</v>
      </c>
      <c r="H624" s="5">
        <v>1768.25</v>
      </c>
    </row>
    <row r="625" spans="1:8" x14ac:dyDescent="0.2">
      <c r="A625" s="6">
        <v>13</v>
      </c>
      <c r="B625" s="7" t="s">
        <v>623</v>
      </c>
      <c r="C625" s="6">
        <v>21</v>
      </c>
      <c r="D625" s="8">
        <v>8.9</v>
      </c>
      <c r="E625" s="8">
        <v>11</v>
      </c>
      <c r="F625" s="8">
        <v>1.4</v>
      </c>
      <c r="G625" s="8">
        <v>21.3</v>
      </c>
      <c r="H625" s="9">
        <v>1172.05</v>
      </c>
    </row>
    <row r="626" spans="1:8" x14ac:dyDescent="0.2">
      <c r="A626" s="2">
        <v>13</v>
      </c>
      <c r="B626" s="3" t="s">
        <v>624</v>
      </c>
      <c r="C626" s="2">
        <v>2</v>
      </c>
      <c r="D626" s="4">
        <v>10</v>
      </c>
      <c r="E626" s="4">
        <v>24</v>
      </c>
      <c r="F626" s="4">
        <v>0.5</v>
      </c>
      <c r="G626" s="4">
        <v>34.5</v>
      </c>
      <c r="H626" s="5">
        <v>1897.5</v>
      </c>
    </row>
    <row r="627" spans="1:8" x14ac:dyDescent="0.2">
      <c r="A627" s="6">
        <v>13</v>
      </c>
      <c r="B627" s="7" t="s">
        <v>625</v>
      </c>
      <c r="C627" s="6">
        <v>0</v>
      </c>
      <c r="D627" s="8">
        <v>0</v>
      </c>
      <c r="E627" s="8">
        <v>0</v>
      </c>
      <c r="F627" s="8">
        <v>0</v>
      </c>
      <c r="G627" s="8">
        <v>0</v>
      </c>
      <c r="H627" s="9">
        <v>0</v>
      </c>
    </row>
    <row r="628" spans="1:8" x14ac:dyDescent="0.2">
      <c r="A628" s="2">
        <v>13</v>
      </c>
      <c r="B628" s="3" t="s">
        <v>626</v>
      </c>
      <c r="C628" s="2">
        <v>3</v>
      </c>
      <c r="D628" s="4">
        <v>7.3</v>
      </c>
      <c r="E628" s="4">
        <v>4.3</v>
      </c>
      <c r="F628" s="4">
        <v>1.7</v>
      </c>
      <c r="G628" s="4">
        <v>13.3</v>
      </c>
      <c r="H628" s="5">
        <v>732.6</v>
      </c>
    </row>
    <row r="629" spans="1:8" x14ac:dyDescent="0.2">
      <c r="A629" s="6">
        <v>13</v>
      </c>
      <c r="B629" s="7" t="s">
        <v>627</v>
      </c>
      <c r="C629" s="6">
        <v>0</v>
      </c>
      <c r="D629" s="8">
        <v>0</v>
      </c>
      <c r="E629" s="8">
        <v>0</v>
      </c>
      <c r="F629" s="8">
        <v>0</v>
      </c>
      <c r="G629" s="8">
        <v>0</v>
      </c>
      <c r="H629" s="9">
        <v>0</v>
      </c>
    </row>
    <row r="630" spans="1:8" x14ac:dyDescent="0.2">
      <c r="A630" s="2">
        <v>13</v>
      </c>
      <c r="B630" s="3" t="s">
        <v>628</v>
      </c>
      <c r="C630" s="2">
        <v>27</v>
      </c>
      <c r="D630" s="4">
        <v>5.0999999999999996</v>
      </c>
      <c r="E630" s="4">
        <v>7.3</v>
      </c>
      <c r="F630" s="4">
        <v>1.9</v>
      </c>
      <c r="G630" s="4">
        <v>14.3</v>
      </c>
      <c r="H630" s="5">
        <v>783.75</v>
      </c>
    </row>
    <row r="631" spans="1:8" x14ac:dyDescent="0.2">
      <c r="A631" s="6">
        <v>13</v>
      </c>
      <c r="B631" s="7" t="s">
        <v>629</v>
      </c>
      <c r="C631" s="6">
        <v>3</v>
      </c>
      <c r="D631" s="8">
        <v>6</v>
      </c>
      <c r="E631" s="8">
        <v>16.3</v>
      </c>
      <c r="F631" s="8">
        <v>0.3</v>
      </c>
      <c r="G631" s="8">
        <v>22.7</v>
      </c>
      <c r="H631" s="9">
        <v>1246.3</v>
      </c>
    </row>
    <row r="632" spans="1:8" x14ac:dyDescent="0.2">
      <c r="A632" s="2">
        <v>13</v>
      </c>
      <c r="B632" s="3" t="s">
        <v>630</v>
      </c>
      <c r="C632" s="2">
        <v>35</v>
      </c>
      <c r="D632" s="4">
        <v>5.2</v>
      </c>
      <c r="E632" s="4">
        <v>12.6</v>
      </c>
      <c r="F632" s="4">
        <v>1.1000000000000001</v>
      </c>
      <c r="G632" s="4">
        <v>18.899999999999999</v>
      </c>
      <c r="H632" s="5">
        <v>1037.8499999999999</v>
      </c>
    </row>
    <row r="633" spans="1:8" x14ac:dyDescent="0.2">
      <c r="A633" s="6">
        <v>13</v>
      </c>
      <c r="B633" s="7" t="s">
        <v>631</v>
      </c>
      <c r="C633" s="6">
        <v>0</v>
      </c>
      <c r="D633" s="8">
        <v>0</v>
      </c>
      <c r="E633" s="8">
        <v>0</v>
      </c>
      <c r="F633" s="8">
        <v>0</v>
      </c>
      <c r="G633" s="8">
        <v>0</v>
      </c>
      <c r="H633" s="9">
        <v>0</v>
      </c>
    </row>
    <row r="634" spans="1:8" x14ac:dyDescent="0.2">
      <c r="A634" s="2">
        <v>13</v>
      </c>
      <c r="B634" s="3" t="s">
        <v>632</v>
      </c>
      <c r="C634" s="2">
        <v>16</v>
      </c>
      <c r="D634" s="4">
        <v>4.3</v>
      </c>
      <c r="E634" s="4">
        <v>2.2999999999999998</v>
      </c>
      <c r="F634" s="4">
        <v>0.2</v>
      </c>
      <c r="G634" s="4">
        <v>6.8</v>
      </c>
      <c r="H634" s="5">
        <v>374</v>
      </c>
    </row>
    <row r="635" spans="1:8" x14ac:dyDescent="0.2">
      <c r="A635" s="6">
        <v>13</v>
      </c>
      <c r="B635" s="7" t="s">
        <v>633</v>
      </c>
      <c r="C635" s="6">
        <v>1</v>
      </c>
      <c r="D635" s="8">
        <v>4</v>
      </c>
      <c r="E635" s="8">
        <v>3</v>
      </c>
      <c r="F635" s="8">
        <v>0</v>
      </c>
      <c r="G635" s="8">
        <v>7</v>
      </c>
      <c r="H635" s="9">
        <v>385</v>
      </c>
    </row>
    <row r="636" spans="1:8" x14ac:dyDescent="0.2">
      <c r="A636" s="2">
        <v>13</v>
      </c>
      <c r="B636" s="3" t="s">
        <v>634</v>
      </c>
      <c r="C636" s="2">
        <v>2</v>
      </c>
      <c r="D636" s="4">
        <v>8</v>
      </c>
      <c r="E636" s="4">
        <v>10.5</v>
      </c>
      <c r="F636" s="4">
        <v>2</v>
      </c>
      <c r="G636" s="4">
        <v>20.5</v>
      </c>
      <c r="H636" s="5">
        <v>1127.5</v>
      </c>
    </row>
    <row r="637" spans="1:8" x14ac:dyDescent="0.2">
      <c r="A637" s="6">
        <v>13</v>
      </c>
      <c r="B637" s="7" t="s">
        <v>635</v>
      </c>
      <c r="C637" s="6">
        <v>11</v>
      </c>
      <c r="D637" s="8">
        <v>4.0999999999999996</v>
      </c>
      <c r="E637" s="8">
        <v>3.2</v>
      </c>
      <c r="F637" s="8">
        <v>0.8</v>
      </c>
      <c r="G637" s="8">
        <v>8.1</v>
      </c>
      <c r="H637" s="9">
        <v>444.4</v>
      </c>
    </row>
    <row r="638" spans="1:8" x14ac:dyDescent="0.2">
      <c r="A638" s="2">
        <v>13</v>
      </c>
      <c r="B638" s="3" t="s">
        <v>636</v>
      </c>
      <c r="C638" s="2">
        <v>14</v>
      </c>
      <c r="D638" s="4">
        <v>4.5</v>
      </c>
      <c r="E638" s="4">
        <v>4</v>
      </c>
      <c r="F638" s="4">
        <v>1.6</v>
      </c>
      <c r="G638" s="4">
        <v>10.1</v>
      </c>
      <c r="H638" s="5">
        <v>553.85</v>
      </c>
    </row>
    <row r="639" spans="1:8" x14ac:dyDescent="0.2">
      <c r="A639" s="6">
        <v>13</v>
      </c>
      <c r="B639" s="7" t="s">
        <v>637</v>
      </c>
      <c r="C639" s="6">
        <v>1</v>
      </c>
      <c r="D639" s="8">
        <v>8</v>
      </c>
      <c r="E639" s="8">
        <v>6</v>
      </c>
      <c r="F639" s="8">
        <v>1</v>
      </c>
      <c r="G639" s="8">
        <v>15</v>
      </c>
      <c r="H639" s="9">
        <v>825</v>
      </c>
    </row>
    <row r="640" spans="1:8" x14ac:dyDescent="0.2">
      <c r="A640" s="2">
        <v>13</v>
      </c>
      <c r="B640" s="3" t="s">
        <v>638</v>
      </c>
      <c r="C640" s="2">
        <v>5</v>
      </c>
      <c r="D640" s="4">
        <v>4.5999999999999996</v>
      </c>
      <c r="E640" s="4">
        <v>4.4000000000000004</v>
      </c>
      <c r="F640" s="4">
        <v>0.6</v>
      </c>
      <c r="G640" s="4">
        <v>9.6</v>
      </c>
      <c r="H640" s="5">
        <v>528</v>
      </c>
    </row>
    <row r="641" spans="1:8" x14ac:dyDescent="0.2">
      <c r="A641" s="6">
        <v>13</v>
      </c>
      <c r="B641" s="7" t="s">
        <v>639</v>
      </c>
      <c r="C641" s="6">
        <v>93</v>
      </c>
      <c r="D641" s="8">
        <v>5.3</v>
      </c>
      <c r="E641" s="8">
        <v>2.8</v>
      </c>
      <c r="F641" s="8">
        <v>0.7</v>
      </c>
      <c r="G641" s="8">
        <v>8.8000000000000007</v>
      </c>
      <c r="H641" s="9">
        <v>484</v>
      </c>
    </row>
    <row r="642" spans="1:8" x14ac:dyDescent="0.2">
      <c r="A642" s="2">
        <v>13</v>
      </c>
      <c r="B642" s="3" t="s">
        <v>640</v>
      </c>
      <c r="C642" s="2">
        <v>6</v>
      </c>
      <c r="D642" s="4">
        <v>1.2</v>
      </c>
      <c r="E642" s="4">
        <v>1.3</v>
      </c>
      <c r="F642" s="4">
        <v>0</v>
      </c>
      <c r="G642" s="4">
        <v>2.5</v>
      </c>
      <c r="H642" s="5">
        <v>136.94999999999999</v>
      </c>
    </row>
    <row r="643" spans="1:8" x14ac:dyDescent="0.2">
      <c r="A643" s="6">
        <v>13</v>
      </c>
      <c r="B643" s="7" t="s">
        <v>641</v>
      </c>
      <c r="C643" s="6">
        <v>11</v>
      </c>
      <c r="D643" s="8">
        <v>17.5</v>
      </c>
      <c r="E643" s="8">
        <v>21.2</v>
      </c>
      <c r="F643" s="8">
        <v>3.5</v>
      </c>
      <c r="G643" s="8">
        <v>42.1</v>
      </c>
      <c r="H643" s="9">
        <v>2314.4</v>
      </c>
    </row>
    <row r="644" spans="1:8" x14ac:dyDescent="0.2">
      <c r="A644" s="2">
        <v>13</v>
      </c>
      <c r="B644" s="3" t="s">
        <v>642</v>
      </c>
      <c r="C644" s="2">
        <v>7</v>
      </c>
      <c r="D644" s="4">
        <v>16.3</v>
      </c>
      <c r="E644" s="4">
        <v>19.3</v>
      </c>
      <c r="F644" s="4">
        <v>2.4</v>
      </c>
      <c r="G644" s="4">
        <v>38</v>
      </c>
      <c r="H644" s="5">
        <v>2088.9</v>
      </c>
    </row>
    <row r="645" spans="1:8" x14ac:dyDescent="0.2">
      <c r="A645" s="6">
        <v>13</v>
      </c>
      <c r="B645" s="7" t="s">
        <v>643</v>
      </c>
      <c r="C645" s="6">
        <v>5</v>
      </c>
      <c r="D645" s="8">
        <v>5.4</v>
      </c>
      <c r="E645" s="8">
        <v>6.8</v>
      </c>
      <c r="F645" s="8">
        <v>2</v>
      </c>
      <c r="G645" s="8">
        <v>14.2</v>
      </c>
      <c r="H645" s="9">
        <v>781</v>
      </c>
    </row>
    <row r="646" spans="1:8" x14ac:dyDescent="0.2">
      <c r="A646" s="2">
        <v>13</v>
      </c>
      <c r="B646" s="3" t="s">
        <v>644</v>
      </c>
      <c r="C646" s="2">
        <v>0</v>
      </c>
      <c r="D646" s="4">
        <v>0</v>
      </c>
      <c r="E646" s="4">
        <v>0</v>
      </c>
      <c r="F646" s="4">
        <v>0</v>
      </c>
      <c r="G646" s="4">
        <v>0</v>
      </c>
      <c r="H646" s="5">
        <v>0</v>
      </c>
    </row>
    <row r="647" spans="1:8" x14ac:dyDescent="0.2">
      <c r="A647" s="6">
        <v>13</v>
      </c>
      <c r="B647" s="7" t="s">
        <v>645</v>
      </c>
      <c r="C647" s="6">
        <v>5</v>
      </c>
      <c r="D647" s="8">
        <v>3.2</v>
      </c>
      <c r="E647" s="8">
        <v>2</v>
      </c>
      <c r="F647" s="8">
        <v>0.4</v>
      </c>
      <c r="G647" s="8">
        <v>5.6</v>
      </c>
      <c r="H647" s="9">
        <v>308</v>
      </c>
    </row>
    <row r="648" spans="1:8" x14ac:dyDescent="0.2">
      <c r="A648" s="2">
        <v>13</v>
      </c>
      <c r="B648" s="3" t="s">
        <v>646</v>
      </c>
      <c r="C648" s="2">
        <v>2</v>
      </c>
      <c r="D648" s="4">
        <v>5</v>
      </c>
      <c r="E648" s="4">
        <v>8.5</v>
      </c>
      <c r="F648" s="4">
        <v>3</v>
      </c>
      <c r="G648" s="4">
        <v>16.5</v>
      </c>
      <c r="H648" s="5">
        <v>907.5</v>
      </c>
    </row>
    <row r="649" spans="1:8" x14ac:dyDescent="0.2">
      <c r="A649" s="6">
        <v>13</v>
      </c>
      <c r="B649" s="7" t="s">
        <v>647</v>
      </c>
      <c r="C649" s="6">
        <v>1</v>
      </c>
      <c r="D649" s="8">
        <v>5</v>
      </c>
      <c r="E649" s="8">
        <v>6</v>
      </c>
      <c r="F649" s="8">
        <v>5</v>
      </c>
      <c r="G649" s="8">
        <v>16</v>
      </c>
      <c r="H649" s="9">
        <v>880</v>
      </c>
    </row>
    <row r="650" spans="1:8" x14ac:dyDescent="0.2">
      <c r="A650" s="2">
        <v>13</v>
      </c>
      <c r="B650" s="3" t="s">
        <v>648</v>
      </c>
      <c r="C650" s="2">
        <v>1</v>
      </c>
      <c r="D650" s="4">
        <v>4</v>
      </c>
      <c r="E650" s="4">
        <v>2</v>
      </c>
      <c r="F650" s="4">
        <v>0</v>
      </c>
      <c r="G650" s="4">
        <v>6</v>
      </c>
      <c r="H650" s="5">
        <v>330</v>
      </c>
    </row>
    <row r="651" spans="1:8" x14ac:dyDescent="0.2">
      <c r="A651" s="6">
        <v>13</v>
      </c>
      <c r="B651" s="7" t="s">
        <v>649</v>
      </c>
      <c r="C651" s="6">
        <v>3</v>
      </c>
      <c r="D651" s="8">
        <v>18</v>
      </c>
      <c r="E651" s="8">
        <v>17.7</v>
      </c>
      <c r="F651" s="8">
        <v>3.3</v>
      </c>
      <c r="G651" s="8">
        <v>39</v>
      </c>
      <c r="H651" s="9">
        <v>2144.4499999999998</v>
      </c>
    </row>
    <row r="652" spans="1:8" x14ac:dyDescent="0.2">
      <c r="A652" s="2">
        <v>13</v>
      </c>
      <c r="B652" s="3" t="s">
        <v>650</v>
      </c>
      <c r="C652" s="2">
        <v>2</v>
      </c>
      <c r="D652" s="4">
        <v>6</v>
      </c>
      <c r="E652" s="4">
        <v>8.5</v>
      </c>
      <c r="F652" s="4">
        <v>1</v>
      </c>
      <c r="G652" s="4">
        <v>15.5</v>
      </c>
      <c r="H652" s="5">
        <v>852.5</v>
      </c>
    </row>
    <row r="653" spans="1:8" x14ac:dyDescent="0.2">
      <c r="A653" s="6">
        <v>13</v>
      </c>
      <c r="B653" s="7" t="s">
        <v>651</v>
      </c>
      <c r="C653" s="6">
        <v>33</v>
      </c>
      <c r="D653" s="8">
        <v>5.3</v>
      </c>
      <c r="E653" s="8">
        <v>6.1</v>
      </c>
      <c r="F653" s="8">
        <v>0.4</v>
      </c>
      <c r="G653" s="8">
        <v>11.8</v>
      </c>
      <c r="H653" s="9">
        <v>647.9</v>
      </c>
    </row>
    <row r="654" spans="1:8" x14ac:dyDescent="0.2">
      <c r="A654" s="2">
        <v>13</v>
      </c>
      <c r="B654" s="3" t="s">
        <v>652</v>
      </c>
      <c r="C654" s="2">
        <v>4</v>
      </c>
      <c r="D654" s="4">
        <v>7.8</v>
      </c>
      <c r="E654" s="4">
        <v>7.3</v>
      </c>
      <c r="F654" s="4">
        <v>1</v>
      </c>
      <c r="G654" s="4">
        <v>16</v>
      </c>
      <c r="H654" s="5">
        <v>880</v>
      </c>
    </row>
    <row r="655" spans="1:8" x14ac:dyDescent="0.2">
      <c r="A655" s="6">
        <v>13</v>
      </c>
      <c r="B655" s="7" t="s">
        <v>653</v>
      </c>
      <c r="C655" s="6">
        <v>0</v>
      </c>
      <c r="D655" s="8">
        <v>0</v>
      </c>
      <c r="E655" s="8">
        <v>0</v>
      </c>
      <c r="F655" s="8">
        <v>0</v>
      </c>
      <c r="G655" s="8">
        <v>0</v>
      </c>
      <c r="H655" s="9">
        <v>0</v>
      </c>
    </row>
    <row r="656" spans="1:8" x14ac:dyDescent="0.2">
      <c r="A656" s="2">
        <v>13</v>
      </c>
      <c r="B656" s="3" t="s">
        <v>654</v>
      </c>
      <c r="C656" s="2">
        <v>1</v>
      </c>
      <c r="D656" s="4">
        <v>4</v>
      </c>
      <c r="E656" s="4">
        <v>3</v>
      </c>
      <c r="F656" s="4">
        <v>1</v>
      </c>
      <c r="G656" s="4">
        <v>8</v>
      </c>
      <c r="H656" s="5">
        <v>440</v>
      </c>
    </row>
    <row r="657" spans="1:8" x14ac:dyDescent="0.2">
      <c r="A657" s="6">
        <v>13</v>
      </c>
      <c r="B657" s="7" t="s">
        <v>655</v>
      </c>
      <c r="C657" s="6">
        <v>18</v>
      </c>
      <c r="D657" s="8">
        <v>16</v>
      </c>
      <c r="E657" s="8">
        <v>22</v>
      </c>
      <c r="F657" s="8">
        <v>2.9</v>
      </c>
      <c r="G657" s="8">
        <v>40.9</v>
      </c>
      <c r="H657" s="9">
        <v>2251.6999999999998</v>
      </c>
    </row>
    <row r="658" spans="1:8" x14ac:dyDescent="0.2">
      <c r="A658" s="2">
        <v>13</v>
      </c>
      <c r="B658" s="3" t="s">
        <v>656</v>
      </c>
      <c r="C658" s="2">
        <v>49</v>
      </c>
      <c r="D658" s="4">
        <v>3.1</v>
      </c>
      <c r="E658" s="4">
        <v>3.4</v>
      </c>
      <c r="F658" s="4">
        <v>0.6</v>
      </c>
      <c r="G658" s="4">
        <v>7.1</v>
      </c>
      <c r="H658" s="5">
        <v>389.95</v>
      </c>
    </row>
    <row r="659" spans="1:8" x14ac:dyDescent="0.2">
      <c r="A659" s="6">
        <v>13</v>
      </c>
      <c r="B659" s="7" t="s">
        <v>657</v>
      </c>
      <c r="C659" s="6">
        <v>1</v>
      </c>
      <c r="D659" s="8">
        <v>6</v>
      </c>
      <c r="E659" s="8">
        <v>6</v>
      </c>
      <c r="F659" s="8">
        <v>0</v>
      </c>
      <c r="G659" s="8">
        <v>12</v>
      </c>
      <c r="H659" s="9">
        <v>660</v>
      </c>
    </row>
    <row r="660" spans="1:8" x14ac:dyDescent="0.2">
      <c r="A660" s="2">
        <v>13</v>
      </c>
      <c r="B660" s="3" t="s">
        <v>658</v>
      </c>
      <c r="C660" s="2">
        <v>2</v>
      </c>
      <c r="D660" s="4">
        <v>17</v>
      </c>
      <c r="E660" s="4">
        <v>27</v>
      </c>
      <c r="F660" s="4">
        <v>5</v>
      </c>
      <c r="G660" s="4">
        <v>49</v>
      </c>
      <c r="H660" s="5">
        <v>2695</v>
      </c>
    </row>
    <row r="661" spans="1:8" x14ac:dyDescent="0.2">
      <c r="A661" s="6">
        <v>13</v>
      </c>
      <c r="B661" s="7" t="s">
        <v>659</v>
      </c>
      <c r="C661" s="6">
        <v>0</v>
      </c>
      <c r="D661" s="8">
        <v>0</v>
      </c>
      <c r="E661" s="8">
        <v>0</v>
      </c>
      <c r="F661" s="8">
        <v>0</v>
      </c>
      <c r="G661" s="8">
        <v>0</v>
      </c>
      <c r="H661" s="9">
        <v>0</v>
      </c>
    </row>
    <row r="662" spans="1:8" x14ac:dyDescent="0.2">
      <c r="A662" s="2">
        <v>13</v>
      </c>
      <c r="B662" s="3" t="s">
        <v>660</v>
      </c>
      <c r="C662" s="2">
        <v>1</v>
      </c>
      <c r="D662" s="4">
        <v>0</v>
      </c>
      <c r="E662" s="4">
        <v>2</v>
      </c>
      <c r="F662" s="4">
        <v>0</v>
      </c>
      <c r="G662" s="4">
        <v>2</v>
      </c>
      <c r="H662" s="5">
        <v>110</v>
      </c>
    </row>
    <row r="663" spans="1:8" x14ac:dyDescent="0.2">
      <c r="A663" s="6">
        <v>13</v>
      </c>
      <c r="B663" s="7" t="s">
        <v>661</v>
      </c>
      <c r="C663" s="6">
        <v>78</v>
      </c>
      <c r="D663" s="8">
        <v>4.9000000000000004</v>
      </c>
      <c r="E663" s="8">
        <v>5.5</v>
      </c>
      <c r="F663" s="8">
        <v>1.1000000000000001</v>
      </c>
      <c r="G663" s="8">
        <v>11.6</v>
      </c>
      <c r="H663" s="9">
        <v>635.79999999999995</v>
      </c>
    </row>
    <row r="664" spans="1:8" x14ac:dyDescent="0.2">
      <c r="A664" s="2">
        <v>13</v>
      </c>
      <c r="B664" s="3" t="s">
        <v>662</v>
      </c>
      <c r="C664" s="2">
        <v>2</v>
      </c>
      <c r="D664" s="4">
        <v>5</v>
      </c>
      <c r="E664" s="4">
        <v>7</v>
      </c>
      <c r="F664" s="4">
        <v>0</v>
      </c>
      <c r="G664" s="4">
        <v>12</v>
      </c>
      <c r="H664" s="5">
        <v>660</v>
      </c>
    </row>
    <row r="665" spans="1:8" x14ac:dyDescent="0.2">
      <c r="A665" s="6">
        <v>13</v>
      </c>
      <c r="B665" s="7" t="s">
        <v>663</v>
      </c>
      <c r="C665" s="6">
        <v>42</v>
      </c>
      <c r="D665" s="8">
        <v>5</v>
      </c>
      <c r="E665" s="8">
        <v>4.9000000000000004</v>
      </c>
      <c r="F665" s="8">
        <v>1.2</v>
      </c>
      <c r="G665" s="8">
        <v>11</v>
      </c>
      <c r="H665" s="9">
        <v>607.20000000000005</v>
      </c>
    </row>
    <row r="666" spans="1:8" x14ac:dyDescent="0.2">
      <c r="A666" s="2">
        <v>13</v>
      </c>
      <c r="B666" s="3" t="s">
        <v>664</v>
      </c>
      <c r="C666" s="2">
        <v>73</v>
      </c>
      <c r="D666" s="4">
        <v>4.9000000000000004</v>
      </c>
      <c r="E666" s="4">
        <v>4.5999999999999996</v>
      </c>
      <c r="F666" s="4">
        <v>1.1000000000000001</v>
      </c>
      <c r="G666" s="4">
        <v>10.6</v>
      </c>
      <c r="H666" s="5">
        <v>582.45000000000005</v>
      </c>
    </row>
    <row r="667" spans="1:8" x14ac:dyDescent="0.2">
      <c r="A667" s="6">
        <v>13</v>
      </c>
      <c r="B667" s="7" t="s">
        <v>665</v>
      </c>
      <c r="C667" s="6">
        <v>1</v>
      </c>
      <c r="D667" s="8">
        <v>5</v>
      </c>
      <c r="E667" s="8">
        <v>8</v>
      </c>
      <c r="F667" s="8">
        <v>1</v>
      </c>
      <c r="G667" s="8">
        <v>14</v>
      </c>
      <c r="H667" s="9">
        <v>770</v>
      </c>
    </row>
    <row r="668" spans="1:8" x14ac:dyDescent="0.2">
      <c r="A668" s="2">
        <v>13</v>
      </c>
      <c r="B668" s="3" t="s">
        <v>666</v>
      </c>
      <c r="C668" s="2">
        <v>0</v>
      </c>
      <c r="D668" s="4">
        <v>0</v>
      </c>
      <c r="E668" s="4">
        <v>0</v>
      </c>
      <c r="F668" s="4">
        <v>0</v>
      </c>
      <c r="G668" s="4">
        <v>0</v>
      </c>
      <c r="H668" s="5">
        <v>0</v>
      </c>
    </row>
    <row r="669" spans="1:8" x14ac:dyDescent="0.2">
      <c r="A669" s="6">
        <v>13</v>
      </c>
      <c r="B669" s="7" t="s">
        <v>667</v>
      </c>
      <c r="C669" s="6">
        <v>27</v>
      </c>
      <c r="D669" s="8">
        <v>3.8</v>
      </c>
      <c r="E669" s="8">
        <v>7.9</v>
      </c>
      <c r="F669" s="8">
        <v>0.1</v>
      </c>
      <c r="G669" s="8">
        <v>11.8</v>
      </c>
      <c r="H669" s="9">
        <v>649</v>
      </c>
    </row>
    <row r="670" spans="1:8" x14ac:dyDescent="0.2">
      <c r="A670" s="2">
        <v>13</v>
      </c>
      <c r="B670" s="3" t="s">
        <v>668</v>
      </c>
      <c r="C670" s="2">
        <v>1</v>
      </c>
      <c r="D670" s="4">
        <v>6</v>
      </c>
      <c r="E670" s="4">
        <v>4</v>
      </c>
      <c r="F670" s="4">
        <v>0</v>
      </c>
      <c r="G670" s="4">
        <v>10</v>
      </c>
      <c r="H670" s="5">
        <v>550</v>
      </c>
    </row>
    <row r="671" spans="1:8" x14ac:dyDescent="0.2">
      <c r="A671" s="6">
        <v>13</v>
      </c>
      <c r="B671" s="7" t="s">
        <v>669</v>
      </c>
      <c r="C671" s="6">
        <v>5</v>
      </c>
      <c r="D671" s="8">
        <v>5.8</v>
      </c>
      <c r="E671" s="8">
        <v>8.6</v>
      </c>
      <c r="F671" s="8">
        <v>0</v>
      </c>
      <c r="G671" s="8">
        <v>14.4</v>
      </c>
      <c r="H671" s="9">
        <v>792</v>
      </c>
    </row>
    <row r="672" spans="1:8" x14ac:dyDescent="0.2">
      <c r="A672" s="2">
        <v>13</v>
      </c>
      <c r="B672" s="3" t="s">
        <v>670</v>
      </c>
      <c r="C672" s="2">
        <v>88</v>
      </c>
      <c r="D672" s="4">
        <v>6.1</v>
      </c>
      <c r="E672" s="4">
        <v>9.5</v>
      </c>
      <c r="F672" s="4">
        <v>0.3</v>
      </c>
      <c r="G672" s="4">
        <v>15.8</v>
      </c>
      <c r="H672" s="5">
        <v>867.9</v>
      </c>
    </row>
    <row r="673" spans="1:8" x14ac:dyDescent="0.2">
      <c r="A673" s="6">
        <v>13</v>
      </c>
      <c r="B673" s="7" t="s">
        <v>671</v>
      </c>
      <c r="C673" s="6">
        <v>1</v>
      </c>
      <c r="D673" s="8">
        <v>6</v>
      </c>
      <c r="E673" s="8">
        <v>8</v>
      </c>
      <c r="F673" s="8">
        <v>0</v>
      </c>
      <c r="G673" s="8">
        <v>14</v>
      </c>
      <c r="H673" s="9">
        <v>770</v>
      </c>
    </row>
    <row r="674" spans="1:8" x14ac:dyDescent="0.2">
      <c r="A674" s="2">
        <v>14</v>
      </c>
      <c r="B674" s="3" t="s">
        <v>672</v>
      </c>
      <c r="C674" s="2">
        <v>14</v>
      </c>
      <c r="D674" s="4">
        <v>4.9000000000000004</v>
      </c>
      <c r="E674" s="4">
        <v>4.0999999999999996</v>
      </c>
      <c r="F674" s="4">
        <v>0.6</v>
      </c>
      <c r="G674" s="4">
        <v>9.5</v>
      </c>
      <c r="H674" s="5">
        <v>521.95000000000005</v>
      </c>
    </row>
    <row r="675" spans="1:8" x14ac:dyDescent="0.2">
      <c r="A675" s="6">
        <v>14</v>
      </c>
      <c r="B675" s="7" t="s">
        <v>673</v>
      </c>
      <c r="C675" s="6">
        <v>0</v>
      </c>
      <c r="D675" s="8">
        <v>0</v>
      </c>
      <c r="E675" s="8">
        <v>0</v>
      </c>
      <c r="F675" s="8">
        <v>0</v>
      </c>
      <c r="G675" s="8">
        <v>0</v>
      </c>
      <c r="H675" s="9">
        <v>0</v>
      </c>
    </row>
    <row r="676" spans="1:8" x14ac:dyDescent="0.2">
      <c r="A676" s="2">
        <v>14</v>
      </c>
      <c r="B676" s="3" t="s">
        <v>674</v>
      </c>
      <c r="C676" s="2">
        <v>0</v>
      </c>
      <c r="D676" s="4">
        <v>0</v>
      </c>
      <c r="E676" s="4">
        <v>0</v>
      </c>
      <c r="F676" s="4">
        <v>0</v>
      </c>
      <c r="G676" s="4">
        <v>0</v>
      </c>
      <c r="H676" s="5">
        <v>0</v>
      </c>
    </row>
    <row r="677" spans="1:8" x14ac:dyDescent="0.2">
      <c r="A677" s="6">
        <v>14</v>
      </c>
      <c r="B677" s="7" t="s">
        <v>675</v>
      </c>
      <c r="C677" s="6">
        <v>0</v>
      </c>
      <c r="D677" s="8">
        <v>0</v>
      </c>
      <c r="E677" s="8">
        <v>0</v>
      </c>
      <c r="F677" s="8">
        <v>0</v>
      </c>
      <c r="G677" s="8">
        <v>0</v>
      </c>
      <c r="H677" s="9">
        <v>0</v>
      </c>
    </row>
    <row r="678" spans="1:8" x14ac:dyDescent="0.2">
      <c r="A678" s="2">
        <v>14</v>
      </c>
      <c r="B678" s="3" t="s">
        <v>676</v>
      </c>
      <c r="C678" s="2">
        <v>137</v>
      </c>
      <c r="D678" s="4">
        <v>4.2</v>
      </c>
      <c r="E678" s="4">
        <v>2.5</v>
      </c>
      <c r="F678" s="4">
        <v>1.2</v>
      </c>
      <c r="G678" s="4">
        <v>8</v>
      </c>
      <c r="H678" s="5">
        <v>438.9</v>
      </c>
    </row>
    <row r="679" spans="1:8" x14ac:dyDescent="0.2">
      <c r="A679" s="6">
        <v>14</v>
      </c>
      <c r="B679" s="7" t="s">
        <v>677</v>
      </c>
      <c r="C679" s="6">
        <v>1</v>
      </c>
      <c r="D679" s="8">
        <v>4</v>
      </c>
      <c r="E679" s="8">
        <v>4</v>
      </c>
      <c r="F679" s="8">
        <v>0</v>
      </c>
      <c r="G679" s="8">
        <v>8</v>
      </c>
      <c r="H679" s="9">
        <v>440</v>
      </c>
    </row>
    <row r="680" spans="1:8" x14ac:dyDescent="0.2">
      <c r="A680" s="2">
        <v>14</v>
      </c>
      <c r="B680" s="3" t="s">
        <v>678</v>
      </c>
      <c r="C680" s="2">
        <v>1</v>
      </c>
      <c r="D680" s="4">
        <v>4</v>
      </c>
      <c r="E680" s="4">
        <v>1</v>
      </c>
      <c r="F680" s="4">
        <v>0</v>
      </c>
      <c r="G680" s="4">
        <v>5</v>
      </c>
      <c r="H680" s="5">
        <v>275</v>
      </c>
    </row>
    <row r="681" spans="1:8" x14ac:dyDescent="0.2">
      <c r="A681" s="6">
        <v>14</v>
      </c>
      <c r="B681" s="7" t="s">
        <v>679</v>
      </c>
      <c r="C681" s="6">
        <v>12</v>
      </c>
      <c r="D681" s="8">
        <v>4</v>
      </c>
      <c r="E681" s="8">
        <v>3.6</v>
      </c>
      <c r="F681" s="8">
        <v>1.1000000000000001</v>
      </c>
      <c r="G681" s="8">
        <v>8.6999999999999993</v>
      </c>
      <c r="H681" s="9">
        <v>476.3</v>
      </c>
    </row>
    <row r="682" spans="1:8" x14ac:dyDescent="0.2">
      <c r="A682" s="2">
        <v>14</v>
      </c>
      <c r="B682" s="3" t="s">
        <v>680</v>
      </c>
      <c r="C682" s="2">
        <v>26</v>
      </c>
      <c r="D682" s="4">
        <v>3.9</v>
      </c>
      <c r="E682" s="4">
        <v>3.5</v>
      </c>
      <c r="F682" s="4">
        <v>0.5</v>
      </c>
      <c r="G682" s="4">
        <v>8</v>
      </c>
      <c r="H682" s="5">
        <v>438.9</v>
      </c>
    </row>
    <row r="683" spans="1:8" x14ac:dyDescent="0.2">
      <c r="A683" s="6">
        <v>14</v>
      </c>
      <c r="B683" s="7" t="s">
        <v>681</v>
      </c>
      <c r="C683" s="6">
        <v>4</v>
      </c>
      <c r="D683" s="8">
        <v>5.5</v>
      </c>
      <c r="E683" s="8">
        <v>10.8</v>
      </c>
      <c r="F683" s="8">
        <v>0.3</v>
      </c>
      <c r="G683" s="8">
        <v>16.5</v>
      </c>
      <c r="H683" s="9">
        <v>907.5</v>
      </c>
    </row>
    <row r="684" spans="1:8" x14ac:dyDescent="0.2">
      <c r="A684" s="2">
        <v>14</v>
      </c>
      <c r="B684" s="3" t="s">
        <v>682</v>
      </c>
      <c r="C684" s="2">
        <v>1</v>
      </c>
      <c r="D684" s="4">
        <v>16</v>
      </c>
      <c r="E684" s="4">
        <v>19</v>
      </c>
      <c r="F684" s="4">
        <v>3</v>
      </c>
      <c r="G684" s="4">
        <v>38</v>
      </c>
      <c r="H684" s="5">
        <v>2090</v>
      </c>
    </row>
    <row r="685" spans="1:8" x14ac:dyDescent="0.2">
      <c r="A685" s="6">
        <v>14</v>
      </c>
      <c r="B685" s="7" t="s">
        <v>683</v>
      </c>
      <c r="C685" s="6">
        <v>1</v>
      </c>
      <c r="D685" s="8">
        <v>6</v>
      </c>
      <c r="E685" s="8">
        <v>6</v>
      </c>
      <c r="F685" s="8">
        <v>0</v>
      </c>
      <c r="G685" s="8">
        <v>12</v>
      </c>
      <c r="H685" s="9">
        <v>660</v>
      </c>
    </row>
    <row r="686" spans="1:8" x14ac:dyDescent="0.2">
      <c r="A686" s="2">
        <v>14</v>
      </c>
      <c r="B686" s="3" t="s">
        <v>684</v>
      </c>
      <c r="C686" s="2">
        <v>8</v>
      </c>
      <c r="D686" s="4">
        <v>4</v>
      </c>
      <c r="E686" s="4">
        <v>6</v>
      </c>
      <c r="F686" s="4">
        <v>0.5</v>
      </c>
      <c r="G686" s="4">
        <v>10.5</v>
      </c>
      <c r="H686" s="5">
        <v>577.5</v>
      </c>
    </row>
    <row r="687" spans="1:8" x14ac:dyDescent="0.2">
      <c r="A687" s="6">
        <v>14</v>
      </c>
      <c r="B687" s="7" t="s">
        <v>685</v>
      </c>
      <c r="C687" s="6">
        <v>1</v>
      </c>
      <c r="D687" s="8">
        <v>5</v>
      </c>
      <c r="E687" s="8">
        <v>11</v>
      </c>
      <c r="F687" s="8">
        <v>0</v>
      </c>
      <c r="G687" s="8">
        <v>16</v>
      </c>
      <c r="H687" s="9">
        <v>880</v>
      </c>
    </row>
    <row r="688" spans="1:8" x14ac:dyDescent="0.2">
      <c r="A688" s="2">
        <v>14</v>
      </c>
      <c r="B688" s="3" t="s">
        <v>686</v>
      </c>
      <c r="C688" s="2">
        <v>1</v>
      </c>
      <c r="D688" s="4">
        <v>0</v>
      </c>
      <c r="E688" s="4">
        <v>1</v>
      </c>
      <c r="F688" s="4">
        <v>0</v>
      </c>
      <c r="G688" s="4">
        <v>1</v>
      </c>
      <c r="H688" s="5">
        <v>55</v>
      </c>
    </row>
    <row r="689" spans="1:8" x14ac:dyDescent="0.2">
      <c r="A689" s="6">
        <v>14</v>
      </c>
      <c r="B689" s="7" t="s">
        <v>687</v>
      </c>
      <c r="C689" s="6">
        <v>6</v>
      </c>
      <c r="D689" s="8">
        <v>12.7</v>
      </c>
      <c r="E689" s="8">
        <v>18</v>
      </c>
      <c r="F689" s="8">
        <v>2.8</v>
      </c>
      <c r="G689" s="8">
        <v>33.5</v>
      </c>
      <c r="H689" s="9">
        <v>1841.95</v>
      </c>
    </row>
    <row r="690" spans="1:8" x14ac:dyDescent="0.2">
      <c r="A690" s="2">
        <v>14</v>
      </c>
      <c r="B690" s="3" t="s">
        <v>688</v>
      </c>
      <c r="C690" s="2">
        <v>10</v>
      </c>
      <c r="D690" s="4">
        <v>6.5</v>
      </c>
      <c r="E690" s="4">
        <v>7.1</v>
      </c>
      <c r="F690" s="4">
        <v>0.9</v>
      </c>
      <c r="G690" s="4">
        <v>14.5</v>
      </c>
      <c r="H690" s="5">
        <v>797.5</v>
      </c>
    </row>
    <row r="691" spans="1:8" x14ac:dyDescent="0.2">
      <c r="A691" s="6">
        <v>14</v>
      </c>
      <c r="B691" s="7" t="s">
        <v>689</v>
      </c>
      <c r="C691" s="6">
        <v>59</v>
      </c>
      <c r="D691" s="8">
        <v>6.1</v>
      </c>
      <c r="E691" s="8">
        <v>6.9</v>
      </c>
      <c r="F691" s="8">
        <v>0.8</v>
      </c>
      <c r="G691" s="8">
        <v>13.8</v>
      </c>
      <c r="H691" s="9">
        <v>757.9</v>
      </c>
    </row>
    <row r="692" spans="1:8" x14ac:dyDescent="0.2">
      <c r="A692" s="2">
        <v>14</v>
      </c>
      <c r="B692" s="3" t="s">
        <v>690</v>
      </c>
      <c r="C692" s="2">
        <v>11</v>
      </c>
      <c r="D692" s="4">
        <v>5.9</v>
      </c>
      <c r="E692" s="4">
        <v>5.2</v>
      </c>
      <c r="F692" s="4">
        <v>0.9</v>
      </c>
      <c r="G692" s="4">
        <v>12</v>
      </c>
      <c r="H692" s="5">
        <v>658.9</v>
      </c>
    </row>
    <row r="693" spans="1:8" x14ac:dyDescent="0.2">
      <c r="A693" s="6">
        <v>14</v>
      </c>
      <c r="B693" s="7" t="s">
        <v>691</v>
      </c>
      <c r="C693" s="6">
        <v>15</v>
      </c>
      <c r="D693" s="8">
        <v>6</v>
      </c>
      <c r="E693" s="8">
        <v>9.9</v>
      </c>
      <c r="F693" s="8">
        <v>1.4</v>
      </c>
      <c r="G693" s="8">
        <v>17.3</v>
      </c>
      <c r="H693" s="9">
        <v>953.15</v>
      </c>
    </row>
    <row r="694" spans="1:8" x14ac:dyDescent="0.2">
      <c r="A694" s="2">
        <v>14</v>
      </c>
      <c r="B694" s="3" t="s">
        <v>692</v>
      </c>
      <c r="C694" s="2">
        <v>2</v>
      </c>
      <c r="D694" s="4">
        <v>6</v>
      </c>
      <c r="E694" s="4">
        <v>5.5</v>
      </c>
      <c r="F694" s="4">
        <v>0</v>
      </c>
      <c r="G694" s="4">
        <v>11.5</v>
      </c>
      <c r="H694" s="5">
        <v>632.5</v>
      </c>
    </row>
    <row r="695" spans="1:8" x14ac:dyDescent="0.2">
      <c r="A695" s="6">
        <v>14</v>
      </c>
      <c r="B695" s="7" t="s">
        <v>693</v>
      </c>
      <c r="C695" s="6">
        <v>7</v>
      </c>
      <c r="D695" s="8">
        <v>4.5999999999999996</v>
      </c>
      <c r="E695" s="8">
        <v>4.5999999999999996</v>
      </c>
      <c r="F695" s="8">
        <v>0.7</v>
      </c>
      <c r="G695" s="8">
        <v>9.9</v>
      </c>
      <c r="H695" s="9">
        <v>541.75</v>
      </c>
    </row>
    <row r="696" spans="1:8" x14ac:dyDescent="0.2">
      <c r="A696" s="2">
        <v>14</v>
      </c>
      <c r="B696" s="3" t="s">
        <v>694</v>
      </c>
      <c r="C696" s="2">
        <v>28</v>
      </c>
      <c r="D696" s="4">
        <v>4.2</v>
      </c>
      <c r="E696" s="4">
        <v>3.2</v>
      </c>
      <c r="F696" s="4">
        <v>0.8</v>
      </c>
      <c r="G696" s="4">
        <v>8.1</v>
      </c>
      <c r="H696" s="5">
        <v>447.15</v>
      </c>
    </row>
    <row r="697" spans="1:8" x14ac:dyDescent="0.2">
      <c r="A697" s="6">
        <v>14</v>
      </c>
      <c r="B697" s="7" t="s">
        <v>695</v>
      </c>
      <c r="C697" s="6">
        <v>3</v>
      </c>
      <c r="D697" s="8">
        <v>5</v>
      </c>
      <c r="E697" s="8">
        <v>16.7</v>
      </c>
      <c r="F697" s="8">
        <v>1</v>
      </c>
      <c r="G697" s="8">
        <v>22.7</v>
      </c>
      <c r="H697" s="9">
        <v>1246.3</v>
      </c>
    </row>
    <row r="698" spans="1:8" x14ac:dyDescent="0.2">
      <c r="A698" s="2">
        <v>14</v>
      </c>
      <c r="B698" s="3" t="s">
        <v>696</v>
      </c>
      <c r="C698" s="2">
        <v>1</v>
      </c>
      <c r="D698" s="4">
        <v>8</v>
      </c>
      <c r="E698" s="4">
        <v>8</v>
      </c>
      <c r="F698" s="4">
        <v>1</v>
      </c>
      <c r="G698" s="4">
        <v>17</v>
      </c>
      <c r="H698" s="5">
        <v>935</v>
      </c>
    </row>
    <row r="699" spans="1:8" x14ac:dyDescent="0.2">
      <c r="A699" s="6">
        <v>14</v>
      </c>
      <c r="B699" s="7" t="s">
        <v>697</v>
      </c>
      <c r="C699" s="6">
        <v>7</v>
      </c>
      <c r="D699" s="8">
        <v>1.3</v>
      </c>
      <c r="E699" s="8">
        <v>1.6</v>
      </c>
      <c r="F699" s="8">
        <v>0.3</v>
      </c>
      <c r="G699" s="8">
        <v>3.1</v>
      </c>
      <c r="H699" s="9">
        <v>172.15</v>
      </c>
    </row>
    <row r="700" spans="1:8" x14ac:dyDescent="0.2">
      <c r="A700" s="2">
        <v>14</v>
      </c>
      <c r="B700" s="3" t="s">
        <v>698</v>
      </c>
      <c r="C700" s="2">
        <v>1</v>
      </c>
      <c r="D700" s="4">
        <v>8</v>
      </c>
      <c r="E700" s="4">
        <v>20</v>
      </c>
      <c r="F700" s="4">
        <v>2</v>
      </c>
      <c r="G700" s="4">
        <v>30</v>
      </c>
      <c r="H700" s="5">
        <v>1650</v>
      </c>
    </row>
    <row r="701" spans="1:8" x14ac:dyDescent="0.2">
      <c r="A701" s="6">
        <v>14</v>
      </c>
      <c r="B701" s="7" t="s">
        <v>699</v>
      </c>
      <c r="C701" s="6">
        <v>103</v>
      </c>
      <c r="D701" s="8">
        <v>5</v>
      </c>
      <c r="E701" s="8">
        <v>4.3</v>
      </c>
      <c r="F701" s="8">
        <v>1</v>
      </c>
      <c r="G701" s="8">
        <v>10.199999999999999</v>
      </c>
      <c r="H701" s="9">
        <v>562.1</v>
      </c>
    </row>
    <row r="702" spans="1:8" x14ac:dyDescent="0.2">
      <c r="A702" s="2">
        <v>14</v>
      </c>
      <c r="B702" s="3" t="s">
        <v>700</v>
      </c>
      <c r="C702" s="2">
        <v>0</v>
      </c>
      <c r="D702" s="4">
        <v>0</v>
      </c>
      <c r="E702" s="4">
        <v>0</v>
      </c>
      <c r="F702" s="4">
        <v>0</v>
      </c>
      <c r="G702" s="4">
        <v>0</v>
      </c>
      <c r="H702" s="5">
        <v>0</v>
      </c>
    </row>
    <row r="703" spans="1:8" x14ac:dyDescent="0.2">
      <c r="A703" s="6">
        <v>14</v>
      </c>
      <c r="B703" s="7" t="s">
        <v>701</v>
      </c>
      <c r="C703" s="6">
        <v>2</v>
      </c>
      <c r="D703" s="8">
        <v>0</v>
      </c>
      <c r="E703" s="8">
        <v>0</v>
      </c>
      <c r="F703" s="8">
        <v>0</v>
      </c>
      <c r="G703" s="8">
        <v>0</v>
      </c>
      <c r="H703" s="9">
        <v>0</v>
      </c>
    </row>
    <row r="704" spans="1:8" x14ac:dyDescent="0.2">
      <c r="A704" s="2">
        <v>14</v>
      </c>
      <c r="B704" s="3" t="s">
        <v>702</v>
      </c>
      <c r="C704" s="2">
        <v>1</v>
      </c>
      <c r="D704" s="4">
        <v>12</v>
      </c>
      <c r="E704" s="4">
        <v>49</v>
      </c>
      <c r="F704" s="4">
        <v>0</v>
      </c>
      <c r="G704" s="4">
        <v>61</v>
      </c>
      <c r="H704" s="5">
        <v>3355</v>
      </c>
    </row>
    <row r="705" spans="1:8" x14ac:dyDescent="0.2">
      <c r="A705" s="6">
        <v>14</v>
      </c>
      <c r="B705" s="7" t="s">
        <v>703</v>
      </c>
      <c r="C705" s="6">
        <v>1</v>
      </c>
      <c r="D705" s="8">
        <v>0</v>
      </c>
      <c r="E705" s="8">
        <v>1</v>
      </c>
      <c r="F705" s="8">
        <v>0</v>
      </c>
      <c r="G705" s="8">
        <v>1</v>
      </c>
      <c r="H705" s="9">
        <v>55</v>
      </c>
    </row>
    <row r="706" spans="1:8" x14ac:dyDescent="0.2">
      <c r="A706" s="2">
        <v>14</v>
      </c>
      <c r="B706" s="3" t="s">
        <v>704</v>
      </c>
      <c r="C706" s="2">
        <v>0</v>
      </c>
      <c r="D706" s="4">
        <v>0</v>
      </c>
      <c r="E706" s="4">
        <v>0</v>
      </c>
      <c r="F706" s="4">
        <v>0</v>
      </c>
      <c r="G706" s="4">
        <v>0</v>
      </c>
      <c r="H706" s="5">
        <v>0</v>
      </c>
    </row>
    <row r="707" spans="1:8" x14ac:dyDescent="0.2">
      <c r="A707" s="6">
        <v>14</v>
      </c>
      <c r="B707" s="7" t="s">
        <v>705</v>
      </c>
      <c r="C707" s="6">
        <v>51</v>
      </c>
      <c r="D707" s="8">
        <v>4.0999999999999996</v>
      </c>
      <c r="E707" s="8">
        <v>3.4</v>
      </c>
      <c r="F707" s="8">
        <v>0.3</v>
      </c>
      <c r="G707" s="8">
        <v>7.9</v>
      </c>
      <c r="H707" s="9">
        <v>431.75</v>
      </c>
    </row>
    <row r="708" spans="1:8" x14ac:dyDescent="0.2">
      <c r="A708" s="2">
        <v>14</v>
      </c>
      <c r="B708" s="3" t="s">
        <v>706</v>
      </c>
      <c r="C708" s="2">
        <v>1</v>
      </c>
      <c r="D708" s="4">
        <v>5</v>
      </c>
      <c r="E708" s="4">
        <v>7</v>
      </c>
      <c r="F708" s="4">
        <v>0</v>
      </c>
      <c r="G708" s="4">
        <v>12</v>
      </c>
      <c r="H708" s="5">
        <v>660</v>
      </c>
    </row>
    <row r="709" spans="1:8" x14ac:dyDescent="0.2">
      <c r="A709" s="6">
        <v>14</v>
      </c>
      <c r="B709" s="7" t="s">
        <v>707</v>
      </c>
      <c r="C709" s="6">
        <v>1</v>
      </c>
      <c r="D709" s="8">
        <v>4</v>
      </c>
      <c r="E709" s="8">
        <v>3</v>
      </c>
      <c r="F709" s="8">
        <v>2</v>
      </c>
      <c r="G709" s="8">
        <v>9</v>
      </c>
      <c r="H709" s="9">
        <v>495</v>
      </c>
    </row>
    <row r="710" spans="1:8" x14ac:dyDescent="0.2">
      <c r="A710" s="2">
        <v>14</v>
      </c>
      <c r="B710" s="3" t="s">
        <v>708</v>
      </c>
      <c r="C710" s="2">
        <v>124</v>
      </c>
      <c r="D710" s="4">
        <v>9.1999999999999993</v>
      </c>
      <c r="E710" s="4">
        <v>9.8000000000000007</v>
      </c>
      <c r="F710" s="4">
        <v>0.8</v>
      </c>
      <c r="G710" s="4">
        <v>19.8</v>
      </c>
      <c r="H710" s="5">
        <v>1086.8</v>
      </c>
    </row>
    <row r="711" spans="1:8" x14ac:dyDescent="0.2">
      <c r="A711" s="6">
        <v>14</v>
      </c>
      <c r="B711" s="7" t="s">
        <v>709</v>
      </c>
      <c r="C711" s="6">
        <v>11</v>
      </c>
      <c r="D711" s="8">
        <v>4.0999999999999996</v>
      </c>
      <c r="E711" s="8">
        <v>2.2000000000000002</v>
      </c>
      <c r="F711" s="8">
        <v>0.4</v>
      </c>
      <c r="G711" s="8">
        <v>6.6</v>
      </c>
      <c r="H711" s="9">
        <v>364.65</v>
      </c>
    </row>
    <row r="712" spans="1:8" x14ac:dyDescent="0.2">
      <c r="A712" s="2">
        <v>14</v>
      </c>
      <c r="B712" s="3" t="s">
        <v>710</v>
      </c>
      <c r="C712" s="2">
        <v>0</v>
      </c>
      <c r="D712" s="4">
        <v>0</v>
      </c>
      <c r="E712" s="4">
        <v>0</v>
      </c>
      <c r="F712" s="4">
        <v>0</v>
      </c>
      <c r="G712" s="4">
        <v>0</v>
      </c>
      <c r="H712" s="5">
        <v>0</v>
      </c>
    </row>
    <row r="713" spans="1:8" x14ac:dyDescent="0.2">
      <c r="A713" s="6">
        <v>14</v>
      </c>
      <c r="B713" s="7" t="s">
        <v>711</v>
      </c>
      <c r="C713" s="6">
        <v>9</v>
      </c>
      <c r="D713" s="8">
        <v>8</v>
      </c>
      <c r="E713" s="8">
        <v>8.6</v>
      </c>
      <c r="F713" s="8">
        <v>1.4</v>
      </c>
      <c r="G713" s="8">
        <v>18</v>
      </c>
      <c r="H713" s="9">
        <v>989.45</v>
      </c>
    </row>
    <row r="714" spans="1:8" x14ac:dyDescent="0.2">
      <c r="A714" s="2">
        <v>14</v>
      </c>
      <c r="B714" s="3" t="s">
        <v>712</v>
      </c>
      <c r="C714" s="2">
        <v>16</v>
      </c>
      <c r="D714" s="4">
        <v>4.5999999999999996</v>
      </c>
      <c r="E714" s="4">
        <v>2.2000000000000002</v>
      </c>
      <c r="F714" s="4">
        <v>0.6</v>
      </c>
      <c r="G714" s="4">
        <v>7.3</v>
      </c>
      <c r="H714" s="5">
        <v>401.5</v>
      </c>
    </row>
    <row r="715" spans="1:8" x14ac:dyDescent="0.2">
      <c r="A715" s="6">
        <v>14</v>
      </c>
      <c r="B715" s="7" t="s">
        <v>713</v>
      </c>
      <c r="C715" s="6">
        <v>0</v>
      </c>
      <c r="D715" s="8">
        <v>0</v>
      </c>
      <c r="E715" s="8">
        <v>0</v>
      </c>
      <c r="F715" s="8">
        <v>0</v>
      </c>
      <c r="G715" s="8">
        <v>0</v>
      </c>
      <c r="H715" s="9">
        <v>0</v>
      </c>
    </row>
    <row r="716" spans="1:8" x14ac:dyDescent="0.2">
      <c r="A716" s="2">
        <v>14</v>
      </c>
      <c r="B716" s="3" t="s">
        <v>714</v>
      </c>
      <c r="C716" s="2">
        <v>1</v>
      </c>
      <c r="D716" s="4">
        <v>0</v>
      </c>
      <c r="E716" s="4">
        <v>3</v>
      </c>
      <c r="F716" s="4">
        <v>0</v>
      </c>
      <c r="G716" s="4">
        <v>3</v>
      </c>
      <c r="H716" s="5">
        <v>165</v>
      </c>
    </row>
    <row r="717" spans="1:8" x14ac:dyDescent="0.2">
      <c r="A717" s="6">
        <v>14</v>
      </c>
      <c r="B717" s="7" t="s">
        <v>715</v>
      </c>
      <c r="C717" s="6">
        <v>1</v>
      </c>
      <c r="D717" s="8">
        <v>6</v>
      </c>
      <c r="E717" s="8">
        <v>5</v>
      </c>
      <c r="F717" s="8">
        <v>0</v>
      </c>
      <c r="G717" s="8">
        <v>11</v>
      </c>
      <c r="H717" s="9">
        <v>605</v>
      </c>
    </row>
    <row r="718" spans="1:8" x14ac:dyDescent="0.2">
      <c r="A718" s="2">
        <v>14</v>
      </c>
      <c r="B718" s="3" t="s">
        <v>716</v>
      </c>
      <c r="C718" s="2">
        <v>230</v>
      </c>
      <c r="D718" s="4">
        <v>5</v>
      </c>
      <c r="E718" s="4">
        <v>4.5</v>
      </c>
      <c r="F718" s="4">
        <v>0.3</v>
      </c>
      <c r="G718" s="4">
        <v>9.8000000000000007</v>
      </c>
      <c r="H718" s="5">
        <v>538.45000000000005</v>
      </c>
    </row>
    <row r="719" spans="1:8" x14ac:dyDescent="0.2">
      <c r="A719" s="6">
        <v>14</v>
      </c>
      <c r="B719" s="7" t="s">
        <v>717</v>
      </c>
      <c r="C719" s="6">
        <v>3</v>
      </c>
      <c r="D719" s="8">
        <v>3.3</v>
      </c>
      <c r="E719" s="8">
        <v>4.3</v>
      </c>
      <c r="F719" s="8">
        <v>0.3</v>
      </c>
      <c r="G719" s="8">
        <v>8</v>
      </c>
      <c r="H719" s="9">
        <v>439.45</v>
      </c>
    </row>
    <row r="720" spans="1:8" x14ac:dyDescent="0.2">
      <c r="A720" s="2">
        <v>14</v>
      </c>
      <c r="B720" s="3" t="s">
        <v>718</v>
      </c>
      <c r="C720" s="2">
        <v>39</v>
      </c>
      <c r="D720" s="4">
        <v>5</v>
      </c>
      <c r="E720" s="4">
        <v>4.3</v>
      </c>
      <c r="F720" s="4">
        <v>0.3</v>
      </c>
      <c r="G720" s="4">
        <v>9.6</v>
      </c>
      <c r="H720" s="5">
        <v>525.25</v>
      </c>
    </row>
    <row r="721" spans="1:8" x14ac:dyDescent="0.2">
      <c r="A721" s="6">
        <v>14</v>
      </c>
      <c r="B721" s="7" t="s">
        <v>719</v>
      </c>
      <c r="C721" s="6">
        <v>1</v>
      </c>
      <c r="D721" s="8">
        <v>5</v>
      </c>
      <c r="E721" s="8">
        <v>3</v>
      </c>
      <c r="F721" s="8">
        <v>0</v>
      </c>
      <c r="G721" s="8">
        <v>8</v>
      </c>
      <c r="H721" s="9">
        <v>440</v>
      </c>
    </row>
    <row r="722" spans="1:8" x14ac:dyDescent="0.2">
      <c r="A722" s="2">
        <v>14</v>
      </c>
      <c r="B722" s="3" t="s">
        <v>720</v>
      </c>
      <c r="C722" s="2">
        <v>1</v>
      </c>
      <c r="D722" s="4">
        <v>5</v>
      </c>
      <c r="E722" s="4">
        <v>5</v>
      </c>
      <c r="F722" s="4">
        <v>0</v>
      </c>
      <c r="G722" s="4">
        <v>10</v>
      </c>
      <c r="H722" s="5">
        <v>550</v>
      </c>
    </row>
    <row r="723" spans="1:8" x14ac:dyDescent="0.2">
      <c r="A723" s="6">
        <v>14</v>
      </c>
      <c r="B723" s="7" t="s">
        <v>721</v>
      </c>
      <c r="C723" s="6">
        <v>5</v>
      </c>
      <c r="D723" s="8">
        <v>5.2</v>
      </c>
      <c r="E723" s="8">
        <v>6.2</v>
      </c>
      <c r="F723" s="8">
        <v>0.6</v>
      </c>
      <c r="G723" s="8">
        <v>12</v>
      </c>
      <c r="H723" s="9">
        <v>660</v>
      </c>
    </row>
    <row r="724" spans="1:8" x14ac:dyDescent="0.2">
      <c r="A724" s="2">
        <v>14</v>
      </c>
      <c r="B724" s="3" t="s">
        <v>722</v>
      </c>
      <c r="C724" s="2">
        <v>7</v>
      </c>
      <c r="D724" s="4">
        <v>0.4</v>
      </c>
      <c r="E724" s="4">
        <v>2.1</v>
      </c>
      <c r="F724" s="4">
        <v>0.3</v>
      </c>
      <c r="G724" s="4">
        <v>2.8</v>
      </c>
      <c r="H724" s="5">
        <v>156.19999999999999</v>
      </c>
    </row>
    <row r="725" spans="1:8" x14ac:dyDescent="0.2">
      <c r="A725" s="6">
        <v>14</v>
      </c>
      <c r="B725" s="7" t="s">
        <v>723</v>
      </c>
      <c r="C725" s="6">
        <v>1</v>
      </c>
      <c r="D725" s="8">
        <v>5</v>
      </c>
      <c r="E725" s="8">
        <v>4</v>
      </c>
      <c r="F725" s="8">
        <v>0</v>
      </c>
      <c r="G725" s="8">
        <v>9</v>
      </c>
      <c r="H725" s="9">
        <v>495</v>
      </c>
    </row>
    <row r="726" spans="1:8" x14ac:dyDescent="0.2">
      <c r="A726" s="2">
        <v>15</v>
      </c>
      <c r="B726" s="3" t="s">
        <v>724</v>
      </c>
      <c r="C726" s="2">
        <v>1</v>
      </c>
      <c r="D726" s="4">
        <v>0</v>
      </c>
      <c r="E726" s="4">
        <v>1</v>
      </c>
      <c r="F726" s="4">
        <v>0</v>
      </c>
      <c r="G726" s="4">
        <v>1</v>
      </c>
      <c r="H726" s="5">
        <v>55</v>
      </c>
    </row>
    <row r="727" spans="1:8" x14ac:dyDescent="0.2">
      <c r="A727" s="6">
        <v>15</v>
      </c>
      <c r="B727" s="7" t="s">
        <v>725</v>
      </c>
      <c r="C727" s="6">
        <v>6</v>
      </c>
      <c r="D727" s="8">
        <v>5</v>
      </c>
      <c r="E727" s="8">
        <v>4.5</v>
      </c>
      <c r="F727" s="8">
        <v>0.3</v>
      </c>
      <c r="G727" s="8">
        <v>9.8000000000000007</v>
      </c>
      <c r="H727" s="9">
        <v>540.65</v>
      </c>
    </row>
    <row r="728" spans="1:8" x14ac:dyDescent="0.2">
      <c r="A728" s="2">
        <v>15</v>
      </c>
      <c r="B728" s="3" t="s">
        <v>726</v>
      </c>
      <c r="C728" s="2">
        <v>3</v>
      </c>
      <c r="D728" s="4">
        <v>4</v>
      </c>
      <c r="E728" s="4">
        <v>4.7</v>
      </c>
      <c r="F728" s="4">
        <v>1</v>
      </c>
      <c r="G728" s="4">
        <v>9.6999999999999993</v>
      </c>
      <c r="H728" s="5">
        <v>531.29999999999995</v>
      </c>
    </row>
    <row r="729" spans="1:8" x14ac:dyDescent="0.2">
      <c r="A729" s="6">
        <v>15</v>
      </c>
      <c r="B729" s="7" t="s">
        <v>727</v>
      </c>
      <c r="C729" s="6">
        <v>6</v>
      </c>
      <c r="D729" s="8">
        <v>5</v>
      </c>
      <c r="E729" s="8">
        <v>4.3</v>
      </c>
      <c r="F729" s="8">
        <v>0</v>
      </c>
      <c r="G729" s="8">
        <v>9.3000000000000007</v>
      </c>
      <c r="H729" s="9">
        <v>513.15</v>
      </c>
    </row>
    <row r="730" spans="1:8" x14ac:dyDescent="0.2">
      <c r="A730" s="2">
        <v>15</v>
      </c>
      <c r="B730" s="3" t="s">
        <v>728</v>
      </c>
      <c r="C730" s="2">
        <v>0</v>
      </c>
      <c r="D730" s="4">
        <v>0</v>
      </c>
      <c r="E730" s="4">
        <v>0</v>
      </c>
      <c r="F730" s="4">
        <v>0</v>
      </c>
      <c r="G730" s="4">
        <v>0</v>
      </c>
      <c r="H730" s="5">
        <v>0</v>
      </c>
    </row>
    <row r="731" spans="1:8" x14ac:dyDescent="0.2">
      <c r="A731" s="6">
        <v>15</v>
      </c>
      <c r="B731" s="7" t="s">
        <v>729</v>
      </c>
      <c r="C731" s="6">
        <v>1</v>
      </c>
      <c r="D731" s="8">
        <v>5</v>
      </c>
      <c r="E731" s="8">
        <v>4</v>
      </c>
      <c r="F731" s="8">
        <v>0</v>
      </c>
      <c r="G731" s="8">
        <v>9</v>
      </c>
      <c r="H731" s="9">
        <v>495</v>
      </c>
    </row>
    <row r="732" spans="1:8" x14ac:dyDescent="0.2">
      <c r="A732" s="2">
        <v>15</v>
      </c>
      <c r="B732" s="3" t="s">
        <v>730</v>
      </c>
      <c r="C732" s="2">
        <v>2</v>
      </c>
      <c r="D732" s="4">
        <v>4</v>
      </c>
      <c r="E732" s="4">
        <v>5.5</v>
      </c>
      <c r="F732" s="4">
        <v>0</v>
      </c>
      <c r="G732" s="4">
        <v>9.5</v>
      </c>
      <c r="H732" s="5">
        <v>522.5</v>
      </c>
    </row>
    <row r="733" spans="1:8" x14ac:dyDescent="0.2">
      <c r="A733" s="6">
        <v>15</v>
      </c>
      <c r="B733" s="7" t="s">
        <v>731</v>
      </c>
      <c r="C733" s="6">
        <v>18</v>
      </c>
      <c r="D733" s="8">
        <v>4</v>
      </c>
      <c r="E733" s="8">
        <v>3.6</v>
      </c>
      <c r="F733" s="8">
        <v>0</v>
      </c>
      <c r="G733" s="8">
        <v>7.6</v>
      </c>
      <c r="H733" s="9">
        <v>418.55</v>
      </c>
    </row>
    <row r="734" spans="1:8" x14ac:dyDescent="0.2">
      <c r="A734" s="2">
        <v>15</v>
      </c>
      <c r="B734" s="3" t="s">
        <v>732</v>
      </c>
      <c r="C734" s="2">
        <v>2</v>
      </c>
      <c r="D734" s="4">
        <v>5</v>
      </c>
      <c r="E734" s="4">
        <v>3.5</v>
      </c>
      <c r="F734" s="4">
        <v>0</v>
      </c>
      <c r="G734" s="4">
        <v>8.5</v>
      </c>
      <c r="H734" s="5">
        <v>467.5</v>
      </c>
    </row>
    <row r="735" spans="1:8" x14ac:dyDescent="0.2">
      <c r="A735" s="6">
        <v>15</v>
      </c>
      <c r="B735" s="7" t="s">
        <v>733</v>
      </c>
      <c r="C735" s="6">
        <v>5</v>
      </c>
      <c r="D735" s="8">
        <v>5</v>
      </c>
      <c r="E735" s="8">
        <v>3.8</v>
      </c>
      <c r="F735" s="8">
        <v>0.2</v>
      </c>
      <c r="G735" s="8">
        <v>9</v>
      </c>
      <c r="H735" s="9">
        <v>495</v>
      </c>
    </row>
    <row r="736" spans="1:8" x14ac:dyDescent="0.2">
      <c r="A736" s="2">
        <v>15</v>
      </c>
      <c r="B736" s="3" t="s">
        <v>734</v>
      </c>
      <c r="C736" s="2">
        <v>1</v>
      </c>
      <c r="D736" s="4">
        <v>7</v>
      </c>
      <c r="E736" s="4">
        <v>4</v>
      </c>
      <c r="F736" s="4">
        <v>0</v>
      </c>
      <c r="G736" s="4">
        <v>11</v>
      </c>
      <c r="H736" s="5">
        <v>605</v>
      </c>
    </row>
    <row r="737" spans="1:8" x14ac:dyDescent="0.2">
      <c r="A737" s="6">
        <v>15</v>
      </c>
      <c r="B737" s="7" t="s">
        <v>735</v>
      </c>
      <c r="C737" s="6">
        <v>1</v>
      </c>
      <c r="D737" s="8">
        <v>0</v>
      </c>
      <c r="E737" s="8">
        <v>4</v>
      </c>
      <c r="F737" s="8">
        <v>0</v>
      </c>
      <c r="G737" s="8">
        <v>4</v>
      </c>
      <c r="H737" s="9">
        <v>220</v>
      </c>
    </row>
    <row r="738" spans="1:8" x14ac:dyDescent="0.2">
      <c r="A738" s="2">
        <v>15</v>
      </c>
      <c r="B738" s="3" t="s">
        <v>736</v>
      </c>
      <c r="C738" s="2">
        <v>1</v>
      </c>
      <c r="D738" s="4">
        <v>0</v>
      </c>
      <c r="E738" s="4">
        <v>1</v>
      </c>
      <c r="F738" s="4">
        <v>0</v>
      </c>
      <c r="G738" s="4">
        <v>1</v>
      </c>
      <c r="H738" s="5">
        <v>55</v>
      </c>
    </row>
    <row r="739" spans="1:8" x14ac:dyDescent="0.2">
      <c r="A739" s="6">
        <v>15</v>
      </c>
      <c r="B739" s="7" t="s">
        <v>737</v>
      </c>
      <c r="C739" s="6">
        <v>1</v>
      </c>
      <c r="D739" s="8">
        <v>6</v>
      </c>
      <c r="E739" s="8">
        <v>7</v>
      </c>
      <c r="F739" s="8">
        <v>0</v>
      </c>
      <c r="G739" s="8">
        <v>13</v>
      </c>
      <c r="H739" s="9">
        <v>715</v>
      </c>
    </row>
    <row r="740" spans="1:8" x14ac:dyDescent="0.2">
      <c r="A740" s="2">
        <v>15</v>
      </c>
      <c r="B740" s="3" t="s">
        <v>738</v>
      </c>
      <c r="C740" s="2">
        <v>1</v>
      </c>
      <c r="D740" s="4">
        <v>5</v>
      </c>
      <c r="E740" s="4">
        <v>6</v>
      </c>
      <c r="F740" s="4">
        <v>0</v>
      </c>
      <c r="G740" s="4">
        <v>11</v>
      </c>
      <c r="H740" s="5">
        <v>605</v>
      </c>
    </row>
    <row r="741" spans="1:8" x14ac:dyDescent="0.2">
      <c r="A741" s="6">
        <v>15</v>
      </c>
      <c r="B741" s="7" t="s">
        <v>739</v>
      </c>
      <c r="C741" s="6">
        <v>0</v>
      </c>
      <c r="D741" s="8">
        <v>0</v>
      </c>
      <c r="E741" s="8">
        <v>0</v>
      </c>
      <c r="F741" s="8">
        <v>0</v>
      </c>
      <c r="G741" s="8">
        <v>0</v>
      </c>
      <c r="H741" s="9">
        <v>0</v>
      </c>
    </row>
    <row r="742" spans="1:8" x14ac:dyDescent="0.2">
      <c r="A742" s="2">
        <v>15</v>
      </c>
      <c r="B742" s="3" t="s">
        <v>740</v>
      </c>
      <c r="C742" s="2">
        <v>1</v>
      </c>
      <c r="D742" s="4">
        <v>0</v>
      </c>
      <c r="E742" s="4">
        <v>0</v>
      </c>
      <c r="F742" s="4">
        <v>0</v>
      </c>
      <c r="G742" s="4">
        <v>0</v>
      </c>
      <c r="H742" s="5">
        <v>0</v>
      </c>
    </row>
    <row r="743" spans="1:8" x14ac:dyDescent="0.2">
      <c r="A743" s="6">
        <v>15</v>
      </c>
      <c r="B743" s="7" t="s">
        <v>741</v>
      </c>
      <c r="C743" s="6">
        <v>2</v>
      </c>
      <c r="D743" s="8">
        <v>0</v>
      </c>
      <c r="E743" s="8">
        <v>6</v>
      </c>
      <c r="F743" s="8">
        <v>0</v>
      </c>
      <c r="G743" s="8">
        <v>6</v>
      </c>
      <c r="H743" s="9">
        <v>330</v>
      </c>
    </row>
    <row r="744" spans="1:8" x14ac:dyDescent="0.2">
      <c r="A744" s="2">
        <v>15</v>
      </c>
      <c r="B744" s="3" t="s">
        <v>742</v>
      </c>
      <c r="C744" s="2">
        <v>1</v>
      </c>
      <c r="D744" s="4">
        <v>5</v>
      </c>
      <c r="E744" s="4">
        <v>6</v>
      </c>
      <c r="F744" s="4">
        <v>0</v>
      </c>
      <c r="G744" s="4">
        <v>11</v>
      </c>
      <c r="H744" s="5">
        <v>605</v>
      </c>
    </row>
    <row r="745" spans="1:8" x14ac:dyDescent="0.2">
      <c r="A745" s="6">
        <v>15</v>
      </c>
      <c r="B745" s="7" t="s">
        <v>743</v>
      </c>
      <c r="C745" s="6">
        <v>4</v>
      </c>
      <c r="D745" s="8">
        <v>5</v>
      </c>
      <c r="E745" s="8">
        <v>8</v>
      </c>
      <c r="F745" s="8">
        <v>1.8</v>
      </c>
      <c r="G745" s="8">
        <v>14.8</v>
      </c>
      <c r="H745" s="9">
        <v>811.25</v>
      </c>
    </row>
    <row r="746" spans="1:8" x14ac:dyDescent="0.2">
      <c r="A746" s="2">
        <v>15</v>
      </c>
      <c r="B746" s="3" t="s">
        <v>744</v>
      </c>
      <c r="C746" s="2">
        <v>1</v>
      </c>
      <c r="D746" s="4">
        <v>5</v>
      </c>
      <c r="E746" s="4">
        <v>4</v>
      </c>
      <c r="F746" s="4">
        <v>0</v>
      </c>
      <c r="G746" s="4">
        <v>9</v>
      </c>
      <c r="H746" s="5">
        <v>495</v>
      </c>
    </row>
    <row r="747" spans="1:8" x14ac:dyDescent="0.2">
      <c r="A747" s="6">
        <v>15</v>
      </c>
      <c r="B747" s="7" t="s">
        <v>745</v>
      </c>
      <c r="C747" s="6">
        <v>1</v>
      </c>
      <c r="D747" s="8">
        <v>6</v>
      </c>
      <c r="E747" s="8">
        <v>9</v>
      </c>
      <c r="F747" s="8">
        <v>6</v>
      </c>
      <c r="G747" s="8">
        <v>21</v>
      </c>
      <c r="H747" s="9">
        <v>1155</v>
      </c>
    </row>
    <row r="748" spans="1:8" x14ac:dyDescent="0.2">
      <c r="A748" s="2">
        <v>15</v>
      </c>
      <c r="B748" s="3" t="s">
        <v>746</v>
      </c>
      <c r="C748" s="2">
        <v>1</v>
      </c>
      <c r="D748" s="4">
        <v>14</v>
      </c>
      <c r="E748" s="4">
        <v>14</v>
      </c>
      <c r="F748" s="4">
        <v>10</v>
      </c>
      <c r="G748" s="4">
        <v>38</v>
      </c>
      <c r="H748" s="5">
        <v>2090</v>
      </c>
    </row>
    <row r="749" spans="1:8" x14ac:dyDescent="0.2">
      <c r="A749" s="6">
        <v>15</v>
      </c>
      <c r="B749" s="7" t="s">
        <v>747</v>
      </c>
      <c r="C749" s="6">
        <v>11</v>
      </c>
      <c r="D749" s="8">
        <v>9.4</v>
      </c>
      <c r="E749" s="8">
        <v>16.8</v>
      </c>
      <c r="F749" s="8">
        <v>0.8</v>
      </c>
      <c r="G749" s="8">
        <v>27</v>
      </c>
      <c r="H749" s="9">
        <v>1483.9</v>
      </c>
    </row>
    <row r="750" spans="1:8" x14ac:dyDescent="0.2">
      <c r="A750" s="2">
        <v>15</v>
      </c>
      <c r="B750" s="3" t="s">
        <v>748</v>
      </c>
      <c r="C750" s="2">
        <v>40</v>
      </c>
      <c r="D750" s="4">
        <v>6.6</v>
      </c>
      <c r="E750" s="4">
        <v>6.8</v>
      </c>
      <c r="F750" s="4">
        <v>0.8</v>
      </c>
      <c r="G750" s="4">
        <v>14.1</v>
      </c>
      <c r="H750" s="5">
        <v>776.6</v>
      </c>
    </row>
    <row r="751" spans="1:8" x14ac:dyDescent="0.2">
      <c r="A751" s="6">
        <v>15</v>
      </c>
      <c r="B751" s="7" t="s">
        <v>749</v>
      </c>
      <c r="C751" s="6">
        <v>2</v>
      </c>
      <c r="D751" s="8">
        <v>5.5</v>
      </c>
      <c r="E751" s="8">
        <v>8.5</v>
      </c>
      <c r="F751" s="8">
        <v>0</v>
      </c>
      <c r="G751" s="8">
        <v>14</v>
      </c>
      <c r="H751" s="9">
        <v>770</v>
      </c>
    </row>
    <row r="752" spans="1:8" x14ac:dyDescent="0.2">
      <c r="A752" s="2">
        <v>15</v>
      </c>
      <c r="B752" s="3" t="s">
        <v>750</v>
      </c>
      <c r="C752" s="2">
        <v>9</v>
      </c>
      <c r="D752" s="4">
        <v>6</v>
      </c>
      <c r="E752" s="4">
        <v>8.3000000000000007</v>
      </c>
      <c r="F752" s="4">
        <v>0.4</v>
      </c>
      <c r="G752" s="4">
        <v>14.8</v>
      </c>
      <c r="H752" s="5">
        <v>812.35</v>
      </c>
    </row>
    <row r="753" spans="1:8" x14ac:dyDescent="0.2">
      <c r="A753" s="6">
        <v>15</v>
      </c>
      <c r="B753" s="7" t="s">
        <v>751</v>
      </c>
      <c r="C753" s="6">
        <v>5</v>
      </c>
      <c r="D753" s="8">
        <v>6.4</v>
      </c>
      <c r="E753" s="8">
        <v>16.399999999999999</v>
      </c>
      <c r="F753" s="8">
        <v>2</v>
      </c>
      <c r="G753" s="8">
        <v>24.8</v>
      </c>
      <c r="H753" s="9">
        <v>1364</v>
      </c>
    </row>
    <row r="754" spans="1:8" x14ac:dyDescent="0.2">
      <c r="A754" s="2">
        <v>15</v>
      </c>
      <c r="B754" s="3" t="s">
        <v>752</v>
      </c>
      <c r="C754" s="2">
        <v>6</v>
      </c>
      <c r="D754" s="4">
        <v>7.2</v>
      </c>
      <c r="E754" s="4">
        <v>7.2</v>
      </c>
      <c r="F754" s="4">
        <v>0.7</v>
      </c>
      <c r="G754" s="4">
        <v>15</v>
      </c>
      <c r="H754" s="5">
        <v>823.9</v>
      </c>
    </row>
    <row r="755" spans="1:8" x14ac:dyDescent="0.2">
      <c r="A755" s="6">
        <v>15</v>
      </c>
      <c r="B755" s="7" t="s">
        <v>753</v>
      </c>
      <c r="C755" s="6">
        <v>1</v>
      </c>
      <c r="D755" s="8">
        <v>0</v>
      </c>
      <c r="E755" s="8">
        <v>2</v>
      </c>
      <c r="F755" s="8">
        <v>0</v>
      </c>
      <c r="G755" s="8">
        <v>2</v>
      </c>
      <c r="H755" s="9">
        <v>110</v>
      </c>
    </row>
    <row r="756" spans="1:8" x14ac:dyDescent="0.2">
      <c r="A756" s="2">
        <v>15</v>
      </c>
      <c r="B756" s="3" t="s">
        <v>754</v>
      </c>
      <c r="C756" s="2">
        <v>10</v>
      </c>
      <c r="D756" s="4">
        <v>8.6</v>
      </c>
      <c r="E756" s="4">
        <v>7.6</v>
      </c>
      <c r="F756" s="4">
        <v>0.4</v>
      </c>
      <c r="G756" s="4">
        <v>16.600000000000001</v>
      </c>
      <c r="H756" s="5">
        <v>913</v>
      </c>
    </row>
    <row r="757" spans="1:8" x14ac:dyDescent="0.2">
      <c r="A757" s="6">
        <v>15</v>
      </c>
      <c r="B757" s="7" t="s">
        <v>755</v>
      </c>
      <c r="C757" s="6">
        <v>1</v>
      </c>
      <c r="D757" s="8">
        <v>12</v>
      </c>
      <c r="E757" s="8">
        <v>14</v>
      </c>
      <c r="F757" s="8">
        <v>1</v>
      </c>
      <c r="G757" s="8">
        <v>27</v>
      </c>
      <c r="H757" s="9">
        <v>1485</v>
      </c>
    </row>
    <row r="758" spans="1:8" x14ac:dyDescent="0.2">
      <c r="A758" s="2">
        <v>15</v>
      </c>
      <c r="B758" s="3" t="s">
        <v>756</v>
      </c>
      <c r="C758" s="2">
        <v>4</v>
      </c>
      <c r="D758" s="4">
        <v>6</v>
      </c>
      <c r="E758" s="4">
        <v>13.3</v>
      </c>
      <c r="F758" s="4">
        <v>0.3</v>
      </c>
      <c r="G758" s="4">
        <v>19.5</v>
      </c>
      <c r="H758" s="5">
        <v>1072.5</v>
      </c>
    </row>
    <row r="759" spans="1:8" x14ac:dyDescent="0.2">
      <c r="A759" s="6">
        <v>15</v>
      </c>
      <c r="B759" s="7" t="s">
        <v>757</v>
      </c>
      <c r="C759" s="6">
        <v>69</v>
      </c>
      <c r="D759" s="8">
        <v>10.1</v>
      </c>
      <c r="E759" s="8">
        <v>13.1</v>
      </c>
      <c r="F759" s="8">
        <v>1.9</v>
      </c>
      <c r="G759" s="8">
        <v>25</v>
      </c>
      <c r="H759" s="9">
        <v>1374.45</v>
      </c>
    </row>
    <row r="760" spans="1:8" x14ac:dyDescent="0.2">
      <c r="A760" s="2">
        <v>15</v>
      </c>
      <c r="B760" s="3" t="s">
        <v>758</v>
      </c>
      <c r="C760" s="2">
        <v>33</v>
      </c>
      <c r="D760" s="4">
        <v>9.6999999999999993</v>
      </c>
      <c r="E760" s="4">
        <v>12.1</v>
      </c>
      <c r="F760" s="4">
        <v>2.1</v>
      </c>
      <c r="G760" s="4">
        <v>23.9</v>
      </c>
      <c r="H760" s="5">
        <v>1312.85</v>
      </c>
    </row>
    <row r="761" spans="1:8" x14ac:dyDescent="0.2">
      <c r="A761" s="6">
        <v>15</v>
      </c>
      <c r="B761" s="7" t="s">
        <v>759</v>
      </c>
      <c r="C761" s="6">
        <v>1</v>
      </c>
      <c r="D761" s="8">
        <v>6</v>
      </c>
      <c r="E761" s="8">
        <v>6</v>
      </c>
      <c r="F761" s="8">
        <v>0</v>
      </c>
      <c r="G761" s="8">
        <v>12</v>
      </c>
      <c r="H761" s="9">
        <v>660</v>
      </c>
    </row>
    <row r="762" spans="1:8" x14ac:dyDescent="0.2">
      <c r="A762" s="2">
        <v>15</v>
      </c>
      <c r="B762" s="3" t="s">
        <v>760</v>
      </c>
      <c r="C762" s="2">
        <v>94</v>
      </c>
      <c r="D762" s="4">
        <v>3.7</v>
      </c>
      <c r="E762" s="4">
        <v>7.4</v>
      </c>
      <c r="F762" s="4">
        <v>0.2</v>
      </c>
      <c r="G762" s="4">
        <v>11.3</v>
      </c>
      <c r="H762" s="5">
        <v>619.85</v>
      </c>
    </row>
    <row r="763" spans="1:8" x14ac:dyDescent="0.2">
      <c r="A763" s="6">
        <v>15</v>
      </c>
      <c r="B763" s="7" t="s">
        <v>760</v>
      </c>
      <c r="C763" s="6">
        <v>94</v>
      </c>
      <c r="D763" s="8">
        <v>3.7</v>
      </c>
      <c r="E763" s="8">
        <v>7.4</v>
      </c>
      <c r="F763" s="8">
        <v>0.2</v>
      </c>
      <c r="G763" s="8">
        <v>11.3</v>
      </c>
      <c r="H763" s="9">
        <v>619.85</v>
      </c>
    </row>
    <row r="764" spans="1:8" x14ac:dyDescent="0.2">
      <c r="A764" s="2">
        <v>15</v>
      </c>
      <c r="B764" s="3" t="s">
        <v>761</v>
      </c>
      <c r="C764" s="2">
        <v>1</v>
      </c>
      <c r="D764" s="4">
        <v>0</v>
      </c>
      <c r="E764" s="4">
        <v>4</v>
      </c>
      <c r="F764" s="4">
        <v>0</v>
      </c>
      <c r="G764" s="4">
        <v>4</v>
      </c>
      <c r="H764" s="5">
        <v>220</v>
      </c>
    </row>
    <row r="765" spans="1:8" x14ac:dyDescent="0.2">
      <c r="A765" s="6">
        <v>15</v>
      </c>
      <c r="B765" s="7" t="s">
        <v>762</v>
      </c>
      <c r="C765" s="6">
        <v>3</v>
      </c>
      <c r="D765" s="8">
        <v>0</v>
      </c>
      <c r="E765" s="8">
        <v>0</v>
      </c>
      <c r="F765" s="8">
        <v>0</v>
      </c>
      <c r="G765" s="8">
        <v>0</v>
      </c>
      <c r="H765" s="9">
        <v>0</v>
      </c>
    </row>
    <row r="766" spans="1:8" x14ac:dyDescent="0.2">
      <c r="A766" s="2">
        <v>15</v>
      </c>
      <c r="B766" s="3" t="s">
        <v>763</v>
      </c>
      <c r="C766" s="2">
        <v>36</v>
      </c>
      <c r="D766" s="4">
        <v>4.8</v>
      </c>
      <c r="E766" s="4">
        <v>4.7</v>
      </c>
      <c r="F766" s="4">
        <v>0.7</v>
      </c>
      <c r="G766" s="4">
        <v>10.1</v>
      </c>
      <c r="H766" s="5">
        <v>556.6</v>
      </c>
    </row>
    <row r="767" spans="1:8" x14ac:dyDescent="0.2">
      <c r="A767" s="6">
        <v>15</v>
      </c>
      <c r="B767" s="7" t="s">
        <v>764</v>
      </c>
      <c r="C767" s="6">
        <v>1</v>
      </c>
      <c r="D767" s="8">
        <v>6</v>
      </c>
      <c r="E767" s="8">
        <v>8</v>
      </c>
      <c r="F767" s="8">
        <v>0</v>
      </c>
      <c r="G767" s="8">
        <v>14</v>
      </c>
      <c r="H767" s="9">
        <v>770</v>
      </c>
    </row>
    <row r="768" spans="1:8" x14ac:dyDescent="0.2">
      <c r="A768" s="2">
        <v>15</v>
      </c>
      <c r="B768" s="3" t="s">
        <v>765</v>
      </c>
      <c r="C768" s="2">
        <v>38</v>
      </c>
      <c r="D768" s="4">
        <v>4.5999999999999996</v>
      </c>
      <c r="E768" s="4">
        <v>3.8</v>
      </c>
      <c r="F768" s="4">
        <v>0.5</v>
      </c>
      <c r="G768" s="4">
        <v>8.8000000000000007</v>
      </c>
      <c r="H768" s="5">
        <v>485.65</v>
      </c>
    </row>
    <row r="769" spans="1:8" x14ac:dyDescent="0.2">
      <c r="A769" s="6">
        <v>15</v>
      </c>
      <c r="B769" s="7" t="s">
        <v>766</v>
      </c>
      <c r="C769" s="6">
        <v>1</v>
      </c>
      <c r="D769" s="8">
        <v>0</v>
      </c>
      <c r="E769" s="8">
        <v>7</v>
      </c>
      <c r="F769" s="8">
        <v>0</v>
      </c>
      <c r="G769" s="8">
        <v>7</v>
      </c>
      <c r="H769" s="9">
        <v>385</v>
      </c>
    </row>
    <row r="770" spans="1:8" x14ac:dyDescent="0.2">
      <c r="A770" s="2">
        <v>15</v>
      </c>
      <c r="B770" s="3" t="s">
        <v>767</v>
      </c>
      <c r="C770" s="2">
        <v>21</v>
      </c>
      <c r="D770" s="4">
        <v>3.5</v>
      </c>
      <c r="E770" s="4">
        <v>3</v>
      </c>
      <c r="F770" s="4">
        <v>0.4</v>
      </c>
      <c r="G770" s="4">
        <v>6.9</v>
      </c>
      <c r="H770" s="5">
        <v>381.7</v>
      </c>
    </row>
    <row r="771" spans="1:8" x14ac:dyDescent="0.2">
      <c r="A771" s="6">
        <v>15</v>
      </c>
      <c r="B771" s="7" t="s">
        <v>768</v>
      </c>
      <c r="C771" s="6">
        <v>52</v>
      </c>
      <c r="D771" s="8">
        <v>3.7</v>
      </c>
      <c r="E771" s="8">
        <v>2.7</v>
      </c>
      <c r="F771" s="8">
        <v>0.5</v>
      </c>
      <c r="G771" s="8">
        <v>6.9</v>
      </c>
      <c r="H771" s="9">
        <v>376.75</v>
      </c>
    </row>
    <row r="772" spans="1:8" x14ac:dyDescent="0.2">
      <c r="A772" s="2">
        <v>15</v>
      </c>
      <c r="B772" s="3" t="s">
        <v>769</v>
      </c>
      <c r="C772" s="2">
        <v>172</v>
      </c>
      <c r="D772" s="4">
        <v>3.6</v>
      </c>
      <c r="E772" s="4">
        <v>2.9</v>
      </c>
      <c r="F772" s="4">
        <v>0.7</v>
      </c>
      <c r="G772" s="4">
        <v>7.2</v>
      </c>
      <c r="H772" s="5">
        <v>397.65</v>
      </c>
    </row>
    <row r="773" spans="1:8" x14ac:dyDescent="0.2">
      <c r="A773" s="6">
        <v>15</v>
      </c>
      <c r="B773" s="7" t="s">
        <v>770</v>
      </c>
      <c r="C773" s="6">
        <v>0</v>
      </c>
      <c r="D773" s="8">
        <v>0</v>
      </c>
      <c r="E773" s="8">
        <v>0</v>
      </c>
      <c r="F773" s="8">
        <v>0</v>
      </c>
      <c r="G773" s="8">
        <v>0</v>
      </c>
      <c r="H773" s="9">
        <v>0</v>
      </c>
    </row>
    <row r="774" spans="1:8" x14ac:dyDescent="0.2">
      <c r="A774" s="2">
        <v>15</v>
      </c>
      <c r="B774" s="3" t="s">
        <v>771</v>
      </c>
      <c r="C774" s="2">
        <v>8288</v>
      </c>
      <c r="D774" s="4">
        <v>1.4</v>
      </c>
      <c r="E774" s="4">
        <v>0.7</v>
      </c>
      <c r="F774" s="4">
        <v>0.3</v>
      </c>
      <c r="G774" s="4">
        <v>2.2999999999999998</v>
      </c>
      <c r="H774" s="5">
        <v>128.15</v>
      </c>
    </row>
    <row r="775" spans="1:8" x14ac:dyDescent="0.2">
      <c r="A775" s="6">
        <v>15</v>
      </c>
      <c r="B775" s="7" t="s">
        <v>771</v>
      </c>
      <c r="C775" s="6">
        <v>8288</v>
      </c>
      <c r="D775" s="8">
        <v>1.4</v>
      </c>
      <c r="E775" s="8">
        <v>0.7</v>
      </c>
      <c r="F775" s="8">
        <v>0.3</v>
      </c>
      <c r="G775" s="8">
        <v>2.2999999999999998</v>
      </c>
      <c r="H775" s="9">
        <v>128.15</v>
      </c>
    </row>
    <row r="776" spans="1:8" x14ac:dyDescent="0.2">
      <c r="A776" s="2">
        <v>15</v>
      </c>
      <c r="B776" s="3" t="s">
        <v>772</v>
      </c>
      <c r="C776" s="2">
        <v>115</v>
      </c>
      <c r="D776" s="4">
        <v>1.3</v>
      </c>
      <c r="E776" s="4">
        <v>0.6</v>
      </c>
      <c r="F776" s="4">
        <v>0.4</v>
      </c>
      <c r="G776" s="4">
        <v>2.2999999999999998</v>
      </c>
      <c r="H776" s="5">
        <v>124.85</v>
      </c>
    </row>
    <row r="777" spans="1:8" x14ac:dyDescent="0.2">
      <c r="A777" s="6">
        <v>15</v>
      </c>
      <c r="B777" s="7" t="s">
        <v>773</v>
      </c>
      <c r="C777" s="6">
        <v>249</v>
      </c>
      <c r="D777" s="8">
        <v>1.8</v>
      </c>
      <c r="E777" s="8">
        <v>0.8</v>
      </c>
      <c r="F777" s="8">
        <v>0.5</v>
      </c>
      <c r="G777" s="8">
        <v>3</v>
      </c>
      <c r="H777" s="9">
        <v>166.65</v>
      </c>
    </row>
    <row r="778" spans="1:8" x14ac:dyDescent="0.2">
      <c r="A778" s="2">
        <v>16</v>
      </c>
      <c r="B778" s="3" t="s">
        <v>774</v>
      </c>
      <c r="C778" s="2">
        <v>737</v>
      </c>
      <c r="D778" s="4">
        <v>1.6</v>
      </c>
      <c r="E778" s="4">
        <v>0.7</v>
      </c>
      <c r="F778" s="4">
        <v>0.4</v>
      </c>
      <c r="G778" s="4">
        <v>2.7</v>
      </c>
      <c r="H778" s="5">
        <v>147.4</v>
      </c>
    </row>
    <row r="779" spans="1:8" x14ac:dyDescent="0.2">
      <c r="A779" s="6">
        <v>16</v>
      </c>
      <c r="B779" s="7" t="s">
        <v>772</v>
      </c>
      <c r="C779" s="6">
        <v>154</v>
      </c>
      <c r="D779" s="8">
        <v>1.5</v>
      </c>
      <c r="E779" s="8">
        <v>0.7</v>
      </c>
      <c r="F779" s="8">
        <v>0.4</v>
      </c>
      <c r="G779" s="8">
        <v>2.7</v>
      </c>
      <c r="H779" s="9">
        <v>145.75</v>
      </c>
    </row>
    <row r="780" spans="1:8" x14ac:dyDescent="0.2">
      <c r="A780" s="2">
        <v>16</v>
      </c>
      <c r="B780" s="3" t="s">
        <v>775</v>
      </c>
      <c r="C780" s="2">
        <v>1396</v>
      </c>
      <c r="D780" s="4">
        <v>1</v>
      </c>
      <c r="E780" s="4">
        <v>0.5</v>
      </c>
      <c r="F780" s="4">
        <v>0.3</v>
      </c>
      <c r="G780" s="4">
        <v>1.8</v>
      </c>
      <c r="H780" s="5">
        <v>98.45</v>
      </c>
    </row>
    <row r="781" spans="1:8" x14ac:dyDescent="0.2">
      <c r="A781" s="6">
        <v>16</v>
      </c>
      <c r="B781" s="7" t="s">
        <v>776</v>
      </c>
      <c r="C781" s="6">
        <v>24</v>
      </c>
      <c r="D781" s="8">
        <v>1.8</v>
      </c>
      <c r="E781" s="8">
        <v>1</v>
      </c>
      <c r="F781" s="8">
        <v>0.3</v>
      </c>
      <c r="G781" s="8">
        <v>3.2</v>
      </c>
      <c r="H781" s="9">
        <v>173.8</v>
      </c>
    </row>
    <row r="782" spans="1:8" x14ac:dyDescent="0.2">
      <c r="A782" s="2">
        <v>16</v>
      </c>
      <c r="B782" s="3" t="s">
        <v>777</v>
      </c>
      <c r="C782" s="2">
        <v>124</v>
      </c>
      <c r="D782" s="4">
        <v>1.8</v>
      </c>
      <c r="E782" s="4">
        <v>0.9</v>
      </c>
      <c r="F782" s="4">
        <v>0.7</v>
      </c>
      <c r="G782" s="4">
        <v>3.4</v>
      </c>
      <c r="H782" s="5">
        <v>185.35</v>
      </c>
    </row>
    <row r="783" spans="1:8" x14ac:dyDescent="0.2">
      <c r="A783" s="6">
        <v>16</v>
      </c>
      <c r="B783" s="7" t="s">
        <v>778</v>
      </c>
      <c r="C783" s="6">
        <v>3</v>
      </c>
      <c r="D783" s="8">
        <v>2.7</v>
      </c>
      <c r="E783" s="8">
        <v>4.3</v>
      </c>
      <c r="F783" s="8">
        <v>1</v>
      </c>
      <c r="G783" s="8">
        <v>8</v>
      </c>
      <c r="H783" s="9">
        <v>439.45</v>
      </c>
    </row>
    <row r="784" spans="1:8" x14ac:dyDescent="0.2">
      <c r="A784" s="2">
        <v>16</v>
      </c>
      <c r="B784" s="3" t="s">
        <v>774</v>
      </c>
      <c r="C784" s="2">
        <v>263</v>
      </c>
      <c r="D784" s="4">
        <v>2</v>
      </c>
      <c r="E784" s="4">
        <v>1</v>
      </c>
      <c r="F784" s="4">
        <v>0.7</v>
      </c>
      <c r="G784" s="4">
        <v>3.6</v>
      </c>
      <c r="H784" s="5">
        <v>198</v>
      </c>
    </row>
    <row r="785" spans="1:8" x14ac:dyDescent="0.2">
      <c r="A785" s="6">
        <v>16</v>
      </c>
      <c r="B785" s="7" t="s">
        <v>779</v>
      </c>
      <c r="C785" s="6">
        <v>58</v>
      </c>
      <c r="D785" s="8">
        <v>0.8</v>
      </c>
      <c r="E785" s="8">
        <v>0.4</v>
      </c>
      <c r="F785" s="8">
        <v>0.3</v>
      </c>
      <c r="G785" s="8">
        <v>1.5</v>
      </c>
      <c r="H785" s="9">
        <v>81.400000000000006</v>
      </c>
    </row>
    <row r="786" spans="1:8" x14ac:dyDescent="0.2">
      <c r="A786" s="2">
        <v>16</v>
      </c>
      <c r="B786" s="3" t="s">
        <v>780</v>
      </c>
      <c r="C786" s="2">
        <v>51</v>
      </c>
      <c r="D786" s="4">
        <v>2</v>
      </c>
      <c r="E786" s="4">
        <v>1.1000000000000001</v>
      </c>
      <c r="F786" s="4">
        <v>0.5</v>
      </c>
      <c r="G786" s="4">
        <v>3.6</v>
      </c>
      <c r="H786" s="5">
        <v>200.2</v>
      </c>
    </row>
    <row r="787" spans="1:8" x14ac:dyDescent="0.2">
      <c r="A787" s="6">
        <v>16</v>
      </c>
      <c r="B787" s="7" t="s">
        <v>780</v>
      </c>
      <c r="C787" s="6">
        <v>18</v>
      </c>
      <c r="D787" s="8">
        <v>0</v>
      </c>
      <c r="E787" s="8">
        <v>0.1</v>
      </c>
      <c r="F787" s="8">
        <v>0.1</v>
      </c>
      <c r="G787" s="8">
        <v>0.2</v>
      </c>
      <c r="H787" s="9">
        <v>12.1</v>
      </c>
    </row>
    <row r="788" spans="1:8" x14ac:dyDescent="0.2">
      <c r="A788" s="2">
        <v>16</v>
      </c>
      <c r="B788" s="3" t="s">
        <v>781</v>
      </c>
      <c r="C788" s="2">
        <v>20</v>
      </c>
      <c r="D788" s="4">
        <v>2.5</v>
      </c>
      <c r="E788" s="4">
        <v>1.3</v>
      </c>
      <c r="F788" s="4">
        <v>1.2</v>
      </c>
      <c r="G788" s="4">
        <v>4.9000000000000004</v>
      </c>
      <c r="H788" s="5">
        <v>269.5</v>
      </c>
    </row>
    <row r="789" spans="1:8" x14ac:dyDescent="0.2">
      <c r="A789" s="6">
        <v>16</v>
      </c>
      <c r="B789" s="7" t="s">
        <v>782</v>
      </c>
      <c r="C789" s="6">
        <v>4</v>
      </c>
      <c r="D789" s="8">
        <v>0</v>
      </c>
      <c r="E789" s="8">
        <v>0</v>
      </c>
      <c r="F789" s="8">
        <v>0</v>
      </c>
      <c r="G789" s="8">
        <v>0</v>
      </c>
      <c r="H789" s="9">
        <v>0</v>
      </c>
    </row>
    <row r="790" spans="1:8" x14ac:dyDescent="0.2">
      <c r="A790" s="2">
        <v>16</v>
      </c>
      <c r="B790" s="3" t="s">
        <v>773</v>
      </c>
      <c r="C790" s="2">
        <v>53</v>
      </c>
      <c r="D790" s="4">
        <v>1.6</v>
      </c>
      <c r="E790" s="4">
        <v>0.9</v>
      </c>
      <c r="F790" s="4">
        <v>0.8</v>
      </c>
      <c r="G790" s="4">
        <v>3.3</v>
      </c>
      <c r="H790" s="5">
        <v>178.75</v>
      </c>
    </row>
    <row r="791" spans="1:8" x14ac:dyDescent="0.2">
      <c r="A791" s="6">
        <v>16</v>
      </c>
      <c r="B791" s="7" t="s">
        <v>783</v>
      </c>
      <c r="C791" s="6">
        <v>1</v>
      </c>
      <c r="D791" s="8">
        <v>6</v>
      </c>
      <c r="E791" s="8">
        <v>13</v>
      </c>
      <c r="F791" s="8">
        <v>0</v>
      </c>
      <c r="G791" s="8">
        <v>19</v>
      </c>
      <c r="H791" s="9">
        <v>1045</v>
      </c>
    </row>
    <row r="792" spans="1:8" x14ac:dyDescent="0.2">
      <c r="A792" s="2">
        <v>16</v>
      </c>
      <c r="B792" s="3" t="s">
        <v>784</v>
      </c>
      <c r="C792" s="2">
        <v>24</v>
      </c>
      <c r="D792" s="4">
        <v>4.2</v>
      </c>
      <c r="E792" s="4">
        <v>5.3</v>
      </c>
      <c r="F792" s="4">
        <v>0.5</v>
      </c>
      <c r="G792" s="4">
        <v>10</v>
      </c>
      <c r="H792" s="5">
        <v>549.45000000000005</v>
      </c>
    </row>
    <row r="793" spans="1:8" x14ac:dyDescent="0.2">
      <c r="A793" s="6">
        <v>16</v>
      </c>
      <c r="B793" s="7" t="s">
        <v>785</v>
      </c>
      <c r="C793" s="6">
        <v>136</v>
      </c>
      <c r="D793" s="8">
        <v>8</v>
      </c>
      <c r="E793" s="8">
        <v>8.1</v>
      </c>
      <c r="F793" s="8">
        <v>1</v>
      </c>
      <c r="G793" s="8">
        <v>17.100000000000001</v>
      </c>
      <c r="H793" s="9">
        <v>939.4</v>
      </c>
    </row>
    <row r="794" spans="1:8" x14ac:dyDescent="0.2">
      <c r="A794" s="2">
        <v>16</v>
      </c>
      <c r="B794" s="3" t="s">
        <v>786</v>
      </c>
      <c r="C794" s="2">
        <v>2</v>
      </c>
      <c r="D794" s="4">
        <v>4</v>
      </c>
      <c r="E794" s="4">
        <v>4.5</v>
      </c>
      <c r="F794" s="4">
        <v>0</v>
      </c>
      <c r="G794" s="4">
        <v>8.5</v>
      </c>
      <c r="H794" s="5">
        <v>467.5</v>
      </c>
    </row>
    <row r="795" spans="1:8" x14ac:dyDescent="0.2">
      <c r="A795" s="6">
        <v>16</v>
      </c>
      <c r="B795" s="7" t="s">
        <v>787</v>
      </c>
      <c r="C795" s="6">
        <v>3</v>
      </c>
      <c r="D795" s="8">
        <v>5.3</v>
      </c>
      <c r="E795" s="8">
        <v>7</v>
      </c>
      <c r="F795" s="8">
        <v>0.3</v>
      </c>
      <c r="G795" s="8">
        <v>12.7</v>
      </c>
      <c r="H795" s="9">
        <v>696.3</v>
      </c>
    </row>
    <row r="796" spans="1:8" x14ac:dyDescent="0.2">
      <c r="A796" s="2">
        <v>16</v>
      </c>
      <c r="B796" s="3" t="s">
        <v>788</v>
      </c>
      <c r="C796" s="2">
        <v>1</v>
      </c>
      <c r="D796" s="4">
        <v>6</v>
      </c>
      <c r="E796" s="4">
        <v>8</v>
      </c>
      <c r="F796" s="4">
        <v>0</v>
      </c>
      <c r="G796" s="4">
        <v>14</v>
      </c>
      <c r="H796" s="5">
        <v>770</v>
      </c>
    </row>
    <row r="797" spans="1:8" x14ac:dyDescent="0.2">
      <c r="A797" s="6">
        <v>16</v>
      </c>
      <c r="B797" s="7" t="s">
        <v>789</v>
      </c>
      <c r="C797" s="6">
        <v>3</v>
      </c>
      <c r="D797" s="8">
        <v>6</v>
      </c>
      <c r="E797" s="8">
        <v>6</v>
      </c>
      <c r="F797" s="8">
        <v>1</v>
      </c>
      <c r="G797" s="8">
        <v>13</v>
      </c>
      <c r="H797" s="9">
        <v>715</v>
      </c>
    </row>
    <row r="798" spans="1:8" x14ac:dyDescent="0.2">
      <c r="A798" s="2">
        <v>16</v>
      </c>
      <c r="B798" s="3" t="s">
        <v>790</v>
      </c>
      <c r="C798" s="2">
        <v>99</v>
      </c>
      <c r="D798" s="4">
        <v>5.8</v>
      </c>
      <c r="E798" s="4">
        <v>4.9000000000000004</v>
      </c>
      <c r="F798" s="4">
        <v>0.5</v>
      </c>
      <c r="G798" s="4">
        <v>11.2</v>
      </c>
      <c r="H798" s="5">
        <v>614.9</v>
      </c>
    </row>
    <row r="799" spans="1:8" x14ac:dyDescent="0.2">
      <c r="A799" s="6">
        <v>16</v>
      </c>
      <c r="B799" s="7" t="s">
        <v>791</v>
      </c>
      <c r="C799" s="6">
        <v>20</v>
      </c>
      <c r="D799" s="8">
        <v>5.8</v>
      </c>
      <c r="E799" s="8">
        <v>4.7</v>
      </c>
      <c r="F799" s="8">
        <v>0.1</v>
      </c>
      <c r="G799" s="8">
        <v>10.5</v>
      </c>
      <c r="H799" s="9">
        <v>577.5</v>
      </c>
    </row>
    <row r="800" spans="1:8" x14ac:dyDescent="0.2">
      <c r="A800" s="2">
        <v>16</v>
      </c>
      <c r="B800" s="3" t="s">
        <v>792</v>
      </c>
      <c r="C800" s="2">
        <v>0</v>
      </c>
      <c r="D800" s="4">
        <v>0</v>
      </c>
      <c r="E800" s="4">
        <v>0</v>
      </c>
      <c r="F800" s="4">
        <v>0</v>
      </c>
      <c r="G800" s="4">
        <v>0</v>
      </c>
      <c r="H800" s="5">
        <v>0</v>
      </c>
    </row>
    <row r="801" spans="1:8" x14ac:dyDescent="0.2">
      <c r="A801" s="6">
        <v>16</v>
      </c>
      <c r="B801" s="7" t="s">
        <v>793</v>
      </c>
      <c r="C801" s="6">
        <v>172</v>
      </c>
      <c r="D801" s="8">
        <v>7.9</v>
      </c>
      <c r="E801" s="8">
        <v>6.7</v>
      </c>
      <c r="F801" s="8">
        <v>1.4</v>
      </c>
      <c r="G801" s="8">
        <v>16</v>
      </c>
      <c r="H801" s="9">
        <v>877.25</v>
      </c>
    </row>
    <row r="802" spans="1:8" x14ac:dyDescent="0.2">
      <c r="A802" s="2">
        <v>16</v>
      </c>
      <c r="B802" s="3" t="s">
        <v>794</v>
      </c>
      <c r="C802" s="2">
        <v>173</v>
      </c>
      <c r="D802" s="4">
        <v>7.9</v>
      </c>
      <c r="E802" s="4">
        <v>7.2</v>
      </c>
      <c r="F802" s="4">
        <v>1.6</v>
      </c>
      <c r="G802" s="4">
        <v>16.7</v>
      </c>
      <c r="H802" s="5">
        <v>917.4</v>
      </c>
    </row>
    <row r="803" spans="1:8" x14ac:dyDescent="0.2">
      <c r="A803" s="6">
        <v>16</v>
      </c>
      <c r="B803" s="7" t="s">
        <v>795</v>
      </c>
      <c r="C803" s="6">
        <v>0</v>
      </c>
      <c r="D803" s="8">
        <v>0</v>
      </c>
      <c r="E803" s="8">
        <v>0</v>
      </c>
      <c r="F803" s="8">
        <v>0</v>
      </c>
      <c r="G803" s="8">
        <v>0</v>
      </c>
      <c r="H803" s="9">
        <v>0</v>
      </c>
    </row>
    <row r="804" spans="1:8" x14ac:dyDescent="0.2">
      <c r="A804" s="2">
        <v>16</v>
      </c>
      <c r="B804" s="3" t="s">
        <v>796</v>
      </c>
      <c r="C804" s="2">
        <v>1</v>
      </c>
      <c r="D804" s="4">
        <v>5</v>
      </c>
      <c r="E804" s="4">
        <v>3</v>
      </c>
      <c r="F804" s="4">
        <v>0</v>
      </c>
      <c r="G804" s="4">
        <v>8</v>
      </c>
      <c r="H804" s="5">
        <v>440</v>
      </c>
    </row>
    <row r="805" spans="1:8" x14ac:dyDescent="0.2">
      <c r="A805" s="6">
        <v>16</v>
      </c>
      <c r="B805" s="7" t="s">
        <v>797</v>
      </c>
      <c r="C805" s="6">
        <v>327</v>
      </c>
      <c r="D805" s="8">
        <v>6</v>
      </c>
      <c r="E805" s="8">
        <v>6.3</v>
      </c>
      <c r="F805" s="8">
        <v>0.2</v>
      </c>
      <c r="G805" s="8">
        <v>12.4</v>
      </c>
      <c r="H805" s="9">
        <v>682</v>
      </c>
    </row>
    <row r="806" spans="1:8" x14ac:dyDescent="0.2">
      <c r="A806" s="2">
        <v>16</v>
      </c>
      <c r="B806" s="3" t="s">
        <v>798</v>
      </c>
      <c r="C806" s="2">
        <v>613</v>
      </c>
      <c r="D806" s="4">
        <v>4</v>
      </c>
      <c r="E806" s="4">
        <v>2.5</v>
      </c>
      <c r="F806" s="4">
        <v>0.5</v>
      </c>
      <c r="G806" s="4">
        <v>7</v>
      </c>
      <c r="H806" s="5">
        <v>382.25</v>
      </c>
    </row>
    <row r="807" spans="1:8" x14ac:dyDescent="0.2">
      <c r="A807" s="6">
        <v>16</v>
      </c>
      <c r="B807" s="7" t="s">
        <v>799</v>
      </c>
      <c r="C807" s="6">
        <v>7</v>
      </c>
      <c r="D807" s="8">
        <v>4</v>
      </c>
      <c r="E807" s="8">
        <v>2.9</v>
      </c>
      <c r="F807" s="8">
        <v>0.3</v>
      </c>
      <c r="G807" s="8">
        <v>7.1</v>
      </c>
      <c r="H807" s="9">
        <v>392.15</v>
      </c>
    </row>
    <row r="808" spans="1:8" x14ac:dyDescent="0.2">
      <c r="A808" s="2">
        <v>16</v>
      </c>
      <c r="B808" s="3" t="s">
        <v>800</v>
      </c>
      <c r="C808" s="2">
        <v>22</v>
      </c>
      <c r="D808" s="4">
        <v>8</v>
      </c>
      <c r="E808" s="4">
        <v>5</v>
      </c>
      <c r="F808" s="4">
        <v>0.2</v>
      </c>
      <c r="G808" s="4">
        <v>13.2</v>
      </c>
      <c r="H808" s="5">
        <v>727.1</v>
      </c>
    </row>
    <row r="809" spans="1:8" x14ac:dyDescent="0.2">
      <c r="A809" s="6">
        <v>16</v>
      </c>
      <c r="B809" s="7" t="s">
        <v>801</v>
      </c>
      <c r="C809" s="6">
        <v>301</v>
      </c>
      <c r="D809" s="8">
        <v>7.9</v>
      </c>
      <c r="E809" s="8">
        <v>7.4</v>
      </c>
      <c r="F809" s="8">
        <v>1.4</v>
      </c>
      <c r="G809" s="8">
        <v>16.7</v>
      </c>
      <c r="H809" s="9">
        <v>917.95</v>
      </c>
    </row>
    <row r="810" spans="1:8" x14ac:dyDescent="0.2">
      <c r="A810" s="2">
        <v>16</v>
      </c>
      <c r="B810" s="3" t="s">
        <v>802</v>
      </c>
      <c r="C810" s="2">
        <v>1</v>
      </c>
      <c r="D810" s="4">
        <v>8</v>
      </c>
      <c r="E810" s="4">
        <v>9</v>
      </c>
      <c r="F810" s="4">
        <v>0</v>
      </c>
      <c r="G810" s="4">
        <v>17</v>
      </c>
      <c r="H810" s="5">
        <v>935</v>
      </c>
    </row>
    <row r="811" spans="1:8" x14ac:dyDescent="0.2">
      <c r="A811" s="6">
        <v>16</v>
      </c>
      <c r="B811" s="7" t="s">
        <v>803</v>
      </c>
      <c r="C811" s="6">
        <v>1</v>
      </c>
      <c r="D811" s="8">
        <v>8</v>
      </c>
      <c r="E811" s="8">
        <v>21</v>
      </c>
      <c r="F811" s="8">
        <v>0</v>
      </c>
      <c r="G811" s="8">
        <v>29</v>
      </c>
      <c r="H811" s="9">
        <v>1595</v>
      </c>
    </row>
    <row r="812" spans="1:8" x14ac:dyDescent="0.2">
      <c r="A812" s="2">
        <v>16</v>
      </c>
      <c r="B812" s="3" t="s">
        <v>804</v>
      </c>
      <c r="C812" s="2">
        <v>44</v>
      </c>
      <c r="D812" s="4">
        <v>4.7</v>
      </c>
      <c r="E812" s="4">
        <v>6.7</v>
      </c>
      <c r="F812" s="4">
        <v>0.9</v>
      </c>
      <c r="G812" s="4">
        <v>12.3</v>
      </c>
      <c r="H812" s="5">
        <v>677.05</v>
      </c>
    </row>
    <row r="813" spans="1:8" x14ac:dyDescent="0.2">
      <c r="A813" s="6">
        <v>16</v>
      </c>
      <c r="B813" s="7" t="s">
        <v>805</v>
      </c>
      <c r="C813" s="6">
        <v>2</v>
      </c>
      <c r="D813" s="8">
        <v>6</v>
      </c>
      <c r="E813" s="8">
        <v>10.5</v>
      </c>
      <c r="F813" s="8">
        <v>0</v>
      </c>
      <c r="G813" s="8">
        <v>16.5</v>
      </c>
      <c r="H813" s="9">
        <v>907.5</v>
      </c>
    </row>
    <row r="814" spans="1:8" x14ac:dyDescent="0.2">
      <c r="A814" s="2">
        <v>16</v>
      </c>
      <c r="B814" s="3" t="s">
        <v>806</v>
      </c>
      <c r="C814" s="2">
        <v>1</v>
      </c>
      <c r="D814" s="4">
        <v>8</v>
      </c>
      <c r="E814" s="4">
        <v>6</v>
      </c>
      <c r="F814" s="4">
        <v>0</v>
      </c>
      <c r="G814" s="4">
        <v>14</v>
      </c>
      <c r="H814" s="5">
        <v>770</v>
      </c>
    </row>
    <row r="815" spans="1:8" x14ac:dyDescent="0.2">
      <c r="A815" s="6">
        <v>16</v>
      </c>
      <c r="B815" s="7" t="s">
        <v>807</v>
      </c>
      <c r="C815" s="6">
        <v>2</v>
      </c>
      <c r="D815" s="8">
        <v>5</v>
      </c>
      <c r="E815" s="8">
        <v>1.5</v>
      </c>
      <c r="F815" s="8">
        <v>0.5</v>
      </c>
      <c r="G815" s="8">
        <v>7</v>
      </c>
      <c r="H815" s="9">
        <v>385</v>
      </c>
    </row>
    <row r="816" spans="1:8" x14ac:dyDescent="0.2">
      <c r="A816" s="2">
        <v>16</v>
      </c>
      <c r="B816" s="3" t="s">
        <v>808</v>
      </c>
      <c r="C816" s="2">
        <v>88</v>
      </c>
      <c r="D816" s="4">
        <v>8</v>
      </c>
      <c r="E816" s="4">
        <v>4.9000000000000004</v>
      </c>
      <c r="F816" s="4">
        <v>0.6</v>
      </c>
      <c r="G816" s="4">
        <v>13.5</v>
      </c>
      <c r="H816" s="5">
        <v>741.95</v>
      </c>
    </row>
    <row r="817" spans="1:8" x14ac:dyDescent="0.2">
      <c r="A817" s="6">
        <v>16</v>
      </c>
      <c r="B817" s="7" t="s">
        <v>809</v>
      </c>
      <c r="C817" s="6">
        <v>675</v>
      </c>
      <c r="D817" s="8">
        <v>2</v>
      </c>
      <c r="E817" s="8">
        <v>1</v>
      </c>
      <c r="F817" s="8">
        <v>0.1</v>
      </c>
      <c r="G817" s="8">
        <v>3.1</v>
      </c>
      <c r="H817" s="9">
        <v>168.3</v>
      </c>
    </row>
    <row r="818" spans="1:8" x14ac:dyDescent="0.2">
      <c r="A818" s="2">
        <v>16</v>
      </c>
      <c r="B818" s="3" t="s">
        <v>810</v>
      </c>
      <c r="C818" s="2">
        <v>18</v>
      </c>
      <c r="D818" s="4">
        <v>5.6</v>
      </c>
      <c r="E818" s="4">
        <v>7.9</v>
      </c>
      <c r="F818" s="4">
        <v>1.1000000000000001</v>
      </c>
      <c r="G818" s="4">
        <v>14.5</v>
      </c>
      <c r="H818" s="5">
        <v>796.4</v>
      </c>
    </row>
    <row r="819" spans="1:8" x14ac:dyDescent="0.2">
      <c r="A819" s="6">
        <v>16</v>
      </c>
      <c r="B819" s="7" t="s">
        <v>811</v>
      </c>
      <c r="C819" s="6">
        <v>7</v>
      </c>
      <c r="D819" s="8">
        <v>6</v>
      </c>
      <c r="E819" s="8">
        <v>5.7</v>
      </c>
      <c r="F819" s="8">
        <v>0.7</v>
      </c>
      <c r="G819" s="8">
        <v>12.4</v>
      </c>
      <c r="H819" s="9">
        <v>683.1</v>
      </c>
    </row>
    <row r="820" spans="1:8" x14ac:dyDescent="0.2">
      <c r="A820" s="2">
        <v>16</v>
      </c>
      <c r="B820" s="3" t="s">
        <v>812</v>
      </c>
      <c r="C820" s="2">
        <v>26</v>
      </c>
      <c r="D820" s="4">
        <v>6</v>
      </c>
      <c r="E820" s="4">
        <v>5.5</v>
      </c>
      <c r="F820" s="4">
        <v>2.2999999999999998</v>
      </c>
      <c r="G820" s="4">
        <v>13.8</v>
      </c>
      <c r="H820" s="5">
        <v>759</v>
      </c>
    </row>
    <row r="821" spans="1:8" x14ac:dyDescent="0.2">
      <c r="A821" s="6">
        <v>16</v>
      </c>
      <c r="B821" s="7" t="s">
        <v>813</v>
      </c>
      <c r="C821" s="6">
        <v>1</v>
      </c>
      <c r="D821" s="8">
        <v>6</v>
      </c>
      <c r="E821" s="8">
        <v>9</v>
      </c>
      <c r="F821" s="8">
        <v>2</v>
      </c>
      <c r="G821" s="8">
        <v>17</v>
      </c>
      <c r="H821" s="9">
        <v>935</v>
      </c>
    </row>
    <row r="822" spans="1:8" x14ac:dyDescent="0.2">
      <c r="A822" s="2">
        <v>16</v>
      </c>
      <c r="B822" s="3" t="s">
        <v>814</v>
      </c>
      <c r="C822" s="2">
        <v>4</v>
      </c>
      <c r="D822" s="4">
        <v>11</v>
      </c>
      <c r="E822" s="4">
        <v>28.5</v>
      </c>
      <c r="F822" s="4">
        <v>0.3</v>
      </c>
      <c r="G822" s="4">
        <v>39.799999999999997</v>
      </c>
      <c r="H822" s="5">
        <v>2186.25</v>
      </c>
    </row>
    <row r="823" spans="1:8" x14ac:dyDescent="0.2">
      <c r="A823" s="6">
        <v>16</v>
      </c>
      <c r="B823" s="7" t="s">
        <v>815</v>
      </c>
      <c r="C823" s="6">
        <v>3</v>
      </c>
      <c r="D823" s="8">
        <v>4</v>
      </c>
      <c r="E823" s="8">
        <v>8.6999999999999993</v>
      </c>
      <c r="F823" s="8">
        <v>1</v>
      </c>
      <c r="G823" s="8">
        <v>13.7</v>
      </c>
      <c r="H823" s="9">
        <v>751.3</v>
      </c>
    </row>
    <row r="824" spans="1:8" x14ac:dyDescent="0.2">
      <c r="A824" s="2">
        <v>16</v>
      </c>
      <c r="B824" s="3" t="s">
        <v>816</v>
      </c>
      <c r="C824" s="2">
        <v>1640</v>
      </c>
      <c r="D824" s="4">
        <v>8</v>
      </c>
      <c r="E824" s="4">
        <v>7.9</v>
      </c>
      <c r="F824" s="4">
        <v>1.6</v>
      </c>
      <c r="G824" s="4">
        <v>17.399999999999999</v>
      </c>
      <c r="H824" s="5">
        <v>959.2</v>
      </c>
    </row>
    <row r="825" spans="1:8" x14ac:dyDescent="0.2">
      <c r="A825" s="6">
        <v>16</v>
      </c>
      <c r="B825" s="7" t="s">
        <v>817</v>
      </c>
      <c r="C825" s="6">
        <v>4828</v>
      </c>
      <c r="D825" s="8">
        <v>8</v>
      </c>
      <c r="E825" s="8">
        <v>7.9</v>
      </c>
      <c r="F825" s="8">
        <v>1.4</v>
      </c>
      <c r="G825" s="8">
        <v>17.3</v>
      </c>
      <c r="H825" s="9">
        <v>952.05</v>
      </c>
    </row>
    <row r="826" spans="1:8" x14ac:dyDescent="0.2">
      <c r="A826" s="2">
        <v>16</v>
      </c>
      <c r="B826" s="3" t="s">
        <v>818</v>
      </c>
      <c r="C826" s="2">
        <v>1</v>
      </c>
      <c r="D826" s="4">
        <v>8</v>
      </c>
      <c r="E826" s="4">
        <v>8</v>
      </c>
      <c r="F826" s="4">
        <v>0</v>
      </c>
      <c r="G826" s="4">
        <v>16</v>
      </c>
      <c r="H826" s="5">
        <v>880</v>
      </c>
    </row>
    <row r="827" spans="1:8" x14ac:dyDescent="0.2">
      <c r="A827" s="6">
        <v>16</v>
      </c>
      <c r="B827" s="7" t="s">
        <v>819</v>
      </c>
      <c r="C827" s="6">
        <v>1</v>
      </c>
      <c r="D827" s="8">
        <v>8</v>
      </c>
      <c r="E827" s="8">
        <v>7</v>
      </c>
      <c r="F827" s="8">
        <v>4</v>
      </c>
      <c r="G827" s="8">
        <v>19</v>
      </c>
      <c r="H827" s="9">
        <v>1045</v>
      </c>
    </row>
    <row r="828" spans="1:8" x14ac:dyDescent="0.2">
      <c r="A828" s="2">
        <v>16</v>
      </c>
      <c r="B828" s="3" t="s">
        <v>820</v>
      </c>
      <c r="C828" s="2">
        <v>16</v>
      </c>
      <c r="D828" s="4">
        <v>8</v>
      </c>
      <c r="E828" s="4">
        <v>8.4</v>
      </c>
      <c r="F828" s="4">
        <v>1.6</v>
      </c>
      <c r="G828" s="4">
        <v>18</v>
      </c>
      <c r="H828" s="5">
        <v>989.45</v>
      </c>
    </row>
    <row r="829" spans="1:8" x14ac:dyDescent="0.2">
      <c r="A829" s="6">
        <v>16</v>
      </c>
      <c r="B829" s="7" t="s">
        <v>821</v>
      </c>
      <c r="C829" s="6">
        <v>3</v>
      </c>
      <c r="D829" s="8">
        <v>8</v>
      </c>
      <c r="E829" s="8">
        <v>11.7</v>
      </c>
      <c r="F829" s="8">
        <v>1</v>
      </c>
      <c r="G829" s="8">
        <v>20.7</v>
      </c>
      <c r="H829" s="9">
        <v>1136.3</v>
      </c>
    </row>
    <row r="830" spans="1:8" x14ac:dyDescent="0.2">
      <c r="A830" s="2">
        <v>17</v>
      </c>
      <c r="B830" s="3" t="s">
        <v>822</v>
      </c>
      <c r="C830" s="2">
        <v>1230</v>
      </c>
      <c r="D830" s="4">
        <v>7.9</v>
      </c>
      <c r="E830" s="4">
        <v>8.4</v>
      </c>
      <c r="F830" s="4">
        <v>1.7</v>
      </c>
      <c r="G830" s="4">
        <v>18.100000000000001</v>
      </c>
      <c r="H830" s="5">
        <v>993.3</v>
      </c>
    </row>
    <row r="831" spans="1:8" x14ac:dyDescent="0.2">
      <c r="A831" s="6">
        <v>17</v>
      </c>
      <c r="B831" s="7" t="s">
        <v>823</v>
      </c>
      <c r="C831" s="6">
        <v>2831</v>
      </c>
      <c r="D831" s="8">
        <v>8</v>
      </c>
      <c r="E831" s="8">
        <v>8.1</v>
      </c>
      <c r="F831" s="8">
        <v>1.5</v>
      </c>
      <c r="G831" s="8">
        <v>17.600000000000001</v>
      </c>
      <c r="H831" s="9">
        <v>967.45</v>
      </c>
    </row>
    <row r="832" spans="1:8" x14ac:dyDescent="0.2">
      <c r="A832" s="2">
        <v>17</v>
      </c>
      <c r="B832" s="3" t="s">
        <v>824</v>
      </c>
      <c r="C832" s="2">
        <v>56</v>
      </c>
      <c r="D832" s="4">
        <v>8.1</v>
      </c>
      <c r="E832" s="4">
        <v>12.5</v>
      </c>
      <c r="F832" s="4">
        <v>2.2999999999999998</v>
      </c>
      <c r="G832" s="4">
        <v>22.9</v>
      </c>
      <c r="H832" s="5">
        <v>1258.95</v>
      </c>
    </row>
    <row r="833" spans="1:8" x14ac:dyDescent="0.2">
      <c r="A833" s="6">
        <v>17</v>
      </c>
      <c r="B833" s="7" t="s">
        <v>825</v>
      </c>
      <c r="C833" s="6">
        <v>1</v>
      </c>
      <c r="D833" s="8">
        <v>0</v>
      </c>
      <c r="E833" s="8">
        <v>3</v>
      </c>
      <c r="F833" s="8">
        <v>0</v>
      </c>
      <c r="G833" s="8">
        <v>3</v>
      </c>
      <c r="H833" s="9">
        <v>165</v>
      </c>
    </row>
    <row r="834" spans="1:8" x14ac:dyDescent="0.2">
      <c r="A834" s="2">
        <v>17</v>
      </c>
      <c r="B834" s="3" t="s">
        <v>826</v>
      </c>
      <c r="C834" s="2">
        <v>2</v>
      </c>
      <c r="D834" s="4">
        <v>8</v>
      </c>
      <c r="E834" s="4">
        <v>6</v>
      </c>
      <c r="F834" s="4">
        <v>1</v>
      </c>
      <c r="G834" s="4">
        <v>15</v>
      </c>
      <c r="H834" s="5">
        <v>825</v>
      </c>
    </row>
    <row r="835" spans="1:8" x14ac:dyDescent="0.2">
      <c r="A835" s="6">
        <v>17</v>
      </c>
      <c r="B835" s="7" t="s">
        <v>827</v>
      </c>
      <c r="C835" s="6">
        <v>105</v>
      </c>
      <c r="D835" s="8">
        <v>8</v>
      </c>
      <c r="E835" s="8">
        <v>6.4</v>
      </c>
      <c r="F835" s="8">
        <v>1.4</v>
      </c>
      <c r="G835" s="8">
        <v>15.8</v>
      </c>
      <c r="H835" s="9">
        <v>867.35</v>
      </c>
    </row>
    <row r="836" spans="1:8" x14ac:dyDescent="0.2">
      <c r="A836" s="2">
        <v>17</v>
      </c>
      <c r="B836" s="3" t="s">
        <v>828</v>
      </c>
      <c r="C836" s="2">
        <v>2</v>
      </c>
      <c r="D836" s="4">
        <v>8</v>
      </c>
      <c r="E836" s="4">
        <v>4</v>
      </c>
      <c r="F836" s="4">
        <v>1</v>
      </c>
      <c r="G836" s="4">
        <v>13</v>
      </c>
      <c r="H836" s="5">
        <v>715</v>
      </c>
    </row>
    <row r="837" spans="1:8" x14ac:dyDescent="0.2">
      <c r="A837" s="6">
        <v>17</v>
      </c>
      <c r="B837" s="7" t="s">
        <v>829</v>
      </c>
      <c r="C837" s="6">
        <v>6</v>
      </c>
      <c r="D837" s="8">
        <v>8</v>
      </c>
      <c r="E837" s="8">
        <v>7.3</v>
      </c>
      <c r="F837" s="8">
        <v>2.8</v>
      </c>
      <c r="G837" s="8">
        <v>18.2</v>
      </c>
      <c r="H837" s="9">
        <v>998.8</v>
      </c>
    </row>
    <row r="838" spans="1:8" x14ac:dyDescent="0.2">
      <c r="A838" s="2">
        <v>17</v>
      </c>
      <c r="B838" s="3" t="s">
        <v>830</v>
      </c>
      <c r="C838" s="2">
        <v>2</v>
      </c>
      <c r="D838" s="4">
        <v>2</v>
      </c>
      <c r="E838" s="4">
        <v>2</v>
      </c>
      <c r="F838" s="4">
        <v>0</v>
      </c>
      <c r="G838" s="4">
        <v>4</v>
      </c>
      <c r="H838" s="5">
        <v>220</v>
      </c>
    </row>
    <row r="839" spans="1:8" x14ac:dyDescent="0.2">
      <c r="A839" s="6">
        <v>17</v>
      </c>
      <c r="B839" s="7" t="s">
        <v>831</v>
      </c>
      <c r="C839" s="6">
        <v>1</v>
      </c>
      <c r="D839" s="8">
        <v>4</v>
      </c>
      <c r="E839" s="8">
        <v>2</v>
      </c>
      <c r="F839" s="8">
        <v>0</v>
      </c>
      <c r="G839" s="8">
        <v>6</v>
      </c>
      <c r="H839" s="9">
        <v>330</v>
      </c>
    </row>
    <row r="840" spans="1:8" x14ac:dyDescent="0.2">
      <c r="A840" s="2">
        <v>17</v>
      </c>
      <c r="B840" s="3" t="s">
        <v>832</v>
      </c>
      <c r="C840" s="2">
        <v>1</v>
      </c>
      <c r="D840" s="4">
        <v>14</v>
      </c>
      <c r="E840" s="4">
        <v>21</v>
      </c>
      <c r="F840" s="4">
        <v>1</v>
      </c>
      <c r="G840" s="4">
        <v>36</v>
      </c>
      <c r="H840" s="5">
        <v>1980</v>
      </c>
    </row>
    <row r="841" spans="1:8" x14ac:dyDescent="0.2">
      <c r="A841" s="6">
        <v>17</v>
      </c>
      <c r="B841" s="7" t="s">
        <v>833</v>
      </c>
      <c r="C841" s="6">
        <v>12</v>
      </c>
      <c r="D841" s="8">
        <v>3.7</v>
      </c>
      <c r="E841" s="8">
        <v>4</v>
      </c>
      <c r="F841" s="8">
        <v>0.2</v>
      </c>
      <c r="G841" s="8">
        <v>7.8</v>
      </c>
      <c r="H841" s="9">
        <v>430.1</v>
      </c>
    </row>
    <row r="842" spans="1:8" x14ac:dyDescent="0.2">
      <c r="A842" s="2">
        <v>17</v>
      </c>
      <c r="B842" s="3" t="s">
        <v>834</v>
      </c>
      <c r="C842" s="2">
        <v>275</v>
      </c>
      <c r="D842" s="4">
        <v>3.7</v>
      </c>
      <c r="E842" s="4">
        <v>3.7</v>
      </c>
      <c r="F842" s="4">
        <v>0.7</v>
      </c>
      <c r="G842" s="4">
        <v>8.1</v>
      </c>
      <c r="H842" s="5">
        <v>445.5</v>
      </c>
    </row>
    <row r="843" spans="1:8" x14ac:dyDescent="0.2">
      <c r="A843" s="6">
        <v>17</v>
      </c>
      <c r="B843" s="7" t="s">
        <v>835</v>
      </c>
      <c r="C843" s="6">
        <v>1</v>
      </c>
      <c r="D843" s="8">
        <v>0</v>
      </c>
      <c r="E843" s="8">
        <v>6</v>
      </c>
      <c r="F843" s="8">
        <v>0</v>
      </c>
      <c r="G843" s="8">
        <v>6</v>
      </c>
      <c r="H843" s="9">
        <v>330</v>
      </c>
    </row>
    <row r="844" spans="1:8" x14ac:dyDescent="0.2">
      <c r="A844" s="2">
        <v>17</v>
      </c>
      <c r="B844" s="3" t="s">
        <v>836</v>
      </c>
      <c r="C844" s="2">
        <v>2</v>
      </c>
      <c r="D844" s="4">
        <v>4</v>
      </c>
      <c r="E844" s="4">
        <v>4</v>
      </c>
      <c r="F844" s="4">
        <v>0.5</v>
      </c>
      <c r="G844" s="4">
        <v>8.5</v>
      </c>
      <c r="H844" s="5">
        <v>467.5</v>
      </c>
    </row>
    <row r="845" spans="1:8" x14ac:dyDescent="0.2">
      <c r="A845" s="6">
        <v>17</v>
      </c>
      <c r="B845" s="7" t="s">
        <v>837</v>
      </c>
      <c r="C845" s="6">
        <v>52</v>
      </c>
      <c r="D845" s="8">
        <v>10</v>
      </c>
      <c r="E845" s="8">
        <v>15.2</v>
      </c>
      <c r="F845" s="8">
        <v>0.4</v>
      </c>
      <c r="G845" s="8">
        <v>25.6</v>
      </c>
      <c r="H845" s="9">
        <v>1409.65</v>
      </c>
    </row>
    <row r="846" spans="1:8" x14ac:dyDescent="0.2">
      <c r="A846" s="2">
        <v>17</v>
      </c>
      <c r="B846" s="3" t="s">
        <v>838</v>
      </c>
      <c r="C846" s="2">
        <v>645</v>
      </c>
      <c r="D846" s="4">
        <v>9.9</v>
      </c>
      <c r="E846" s="4">
        <v>15.4</v>
      </c>
      <c r="F846" s="4">
        <v>0.6</v>
      </c>
      <c r="G846" s="4">
        <v>25.9</v>
      </c>
      <c r="H846" s="5">
        <v>1423.95</v>
      </c>
    </row>
    <row r="847" spans="1:8" x14ac:dyDescent="0.2">
      <c r="A847" s="6">
        <v>17</v>
      </c>
      <c r="B847" s="7" t="s">
        <v>839</v>
      </c>
      <c r="C847" s="6">
        <v>18</v>
      </c>
      <c r="D847" s="8">
        <v>10</v>
      </c>
      <c r="E847" s="8">
        <v>16.5</v>
      </c>
      <c r="F847" s="8">
        <v>0.5</v>
      </c>
      <c r="G847" s="8">
        <v>27</v>
      </c>
      <c r="H847" s="9">
        <v>1485</v>
      </c>
    </row>
    <row r="848" spans="1:8" x14ac:dyDescent="0.2">
      <c r="A848" s="2">
        <v>17</v>
      </c>
      <c r="B848" s="3" t="s">
        <v>840</v>
      </c>
      <c r="C848" s="2">
        <v>28</v>
      </c>
      <c r="D848" s="4">
        <v>9.9</v>
      </c>
      <c r="E848" s="4">
        <v>17.5</v>
      </c>
      <c r="F848" s="4">
        <v>0.5</v>
      </c>
      <c r="G848" s="4">
        <v>28</v>
      </c>
      <c r="H848" s="5">
        <v>1537.25</v>
      </c>
    </row>
    <row r="849" spans="1:8" x14ac:dyDescent="0.2">
      <c r="A849" s="6">
        <v>17</v>
      </c>
      <c r="B849" s="7" t="s">
        <v>841</v>
      </c>
      <c r="C849" s="6">
        <v>32</v>
      </c>
      <c r="D849" s="8">
        <v>9.8000000000000007</v>
      </c>
      <c r="E849" s="8">
        <v>15.1</v>
      </c>
      <c r="F849" s="8">
        <v>0.4</v>
      </c>
      <c r="G849" s="8">
        <v>25.4</v>
      </c>
      <c r="H849" s="9">
        <v>1394.8</v>
      </c>
    </row>
    <row r="850" spans="1:8" x14ac:dyDescent="0.2">
      <c r="A850" s="2">
        <v>17</v>
      </c>
      <c r="B850" s="3" t="s">
        <v>842</v>
      </c>
      <c r="C850" s="2">
        <v>410</v>
      </c>
      <c r="D850" s="4">
        <v>9.5</v>
      </c>
      <c r="E850" s="4">
        <v>15.5</v>
      </c>
      <c r="F850" s="4">
        <v>0.7</v>
      </c>
      <c r="G850" s="4">
        <v>25.8</v>
      </c>
      <c r="H850" s="5">
        <v>1418.45</v>
      </c>
    </row>
    <row r="851" spans="1:8" x14ac:dyDescent="0.2">
      <c r="A851" s="6">
        <v>17</v>
      </c>
      <c r="B851" s="7" t="s">
        <v>843</v>
      </c>
      <c r="C851" s="6">
        <v>65</v>
      </c>
      <c r="D851" s="8">
        <v>5.8</v>
      </c>
      <c r="E851" s="8">
        <v>6.1</v>
      </c>
      <c r="F851" s="8">
        <v>1</v>
      </c>
      <c r="G851" s="8">
        <v>12.9</v>
      </c>
      <c r="H851" s="9">
        <v>711.15</v>
      </c>
    </row>
    <row r="852" spans="1:8" x14ac:dyDescent="0.2">
      <c r="A852" s="2">
        <v>17</v>
      </c>
      <c r="B852" s="3" t="s">
        <v>844</v>
      </c>
      <c r="C852" s="2">
        <v>2</v>
      </c>
      <c r="D852" s="4">
        <v>4.5</v>
      </c>
      <c r="E852" s="4">
        <v>7</v>
      </c>
      <c r="F852" s="4">
        <v>3</v>
      </c>
      <c r="G852" s="4">
        <v>14.5</v>
      </c>
      <c r="H852" s="5">
        <v>797.5</v>
      </c>
    </row>
    <row r="853" spans="1:8" x14ac:dyDescent="0.2">
      <c r="A853" s="6">
        <v>17</v>
      </c>
      <c r="B853" s="7" t="s">
        <v>845</v>
      </c>
      <c r="C853" s="6">
        <v>0</v>
      </c>
      <c r="D853" s="8">
        <v>0</v>
      </c>
      <c r="E853" s="8">
        <v>0</v>
      </c>
      <c r="F853" s="8">
        <v>0</v>
      </c>
      <c r="G853" s="8">
        <v>0</v>
      </c>
      <c r="H853" s="9">
        <v>0</v>
      </c>
    </row>
    <row r="854" spans="1:8" x14ac:dyDescent="0.2">
      <c r="A854" s="2">
        <v>17</v>
      </c>
      <c r="B854" s="3" t="s">
        <v>846</v>
      </c>
      <c r="C854" s="2">
        <v>1</v>
      </c>
      <c r="D854" s="4">
        <v>10</v>
      </c>
      <c r="E854" s="4">
        <v>12</v>
      </c>
      <c r="F854" s="4">
        <v>1</v>
      </c>
      <c r="G854" s="4">
        <v>23</v>
      </c>
      <c r="H854" s="5">
        <v>1265</v>
      </c>
    </row>
    <row r="855" spans="1:8" x14ac:dyDescent="0.2">
      <c r="A855" s="6">
        <v>17</v>
      </c>
      <c r="B855" s="7" t="s">
        <v>847</v>
      </c>
      <c r="C855" s="6">
        <v>2</v>
      </c>
      <c r="D855" s="8">
        <v>5</v>
      </c>
      <c r="E855" s="8">
        <v>6.5</v>
      </c>
      <c r="F855" s="8">
        <v>0</v>
      </c>
      <c r="G855" s="8">
        <v>11.5</v>
      </c>
      <c r="H855" s="9">
        <v>632.5</v>
      </c>
    </row>
    <row r="856" spans="1:8" x14ac:dyDescent="0.2">
      <c r="A856" s="2">
        <v>17</v>
      </c>
      <c r="B856" s="3" t="s">
        <v>848</v>
      </c>
      <c r="C856" s="2">
        <v>1</v>
      </c>
      <c r="D856" s="4">
        <v>4</v>
      </c>
      <c r="E856" s="4">
        <v>4</v>
      </c>
      <c r="F856" s="4">
        <v>0</v>
      </c>
      <c r="G856" s="4">
        <v>8</v>
      </c>
      <c r="H856" s="5">
        <v>440</v>
      </c>
    </row>
    <row r="857" spans="1:8" x14ac:dyDescent="0.2">
      <c r="A857" s="6">
        <v>17</v>
      </c>
      <c r="B857" s="7" t="s">
        <v>849</v>
      </c>
      <c r="C857" s="6">
        <v>1</v>
      </c>
      <c r="D857" s="8">
        <v>0</v>
      </c>
      <c r="E857" s="8">
        <v>6</v>
      </c>
      <c r="F857" s="8">
        <v>0</v>
      </c>
      <c r="G857" s="8">
        <v>6</v>
      </c>
      <c r="H857" s="9">
        <v>330</v>
      </c>
    </row>
    <row r="858" spans="1:8" x14ac:dyDescent="0.2">
      <c r="A858" s="2">
        <v>17</v>
      </c>
      <c r="B858" s="3" t="s">
        <v>850</v>
      </c>
      <c r="C858" s="2">
        <v>0</v>
      </c>
      <c r="D858" s="4">
        <v>0</v>
      </c>
      <c r="E858" s="4">
        <v>0</v>
      </c>
      <c r="F858" s="4">
        <v>0</v>
      </c>
      <c r="G858" s="4">
        <v>0</v>
      </c>
      <c r="H858" s="5">
        <v>0</v>
      </c>
    </row>
    <row r="859" spans="1:8" x14ac:dyDescent="0.2">
      <c r="A859" s="6">
        <v>17</v>
      </c>
      <c r="B859" s="7" t="s">
        <v>851</v>
      </c>
      <c r="C859" s="6">
        <v>5</v>
      </c>
      <c r="D859" s="8">
        <v>3.4</v>
      </c>
      <c r="E859" s="8">
        <v>3.6</v>
      </c>
      <c r="F859" s="8">
        <v>0.2</v>
      </c>
      <c r="G859" s="8">
        <v>7.2</v>
      </c>
      <c r="H859" s="9">
        <v>396</v>
      </c>
    </row>
    <row r="860" spans="1:8" x14ac:dyDescent="0.2">
      <c r="A860" s="2">
        <v>17</v>
      </c>
      <c r="B860" s="3" t="s">
        <v>852</v>
      </c>
      <c r="C860" s="2">
        <v>3</v>
      </c>
      <c r="D860" s="4">
        <v>6.3</v>
      </c>
      <c r="E860" s="4">
        <v>6.3</v>
      </c>
      <c r="F860" s="4">
        <v>0</v>
      </c>
      <c r="G860" s="4">
        <v>12.7</v>
      </c>
      <c r="H860" s="5">
        <v>696.3</v>
      </c>
    </row>
    <row r="861" spans="1:8" x14ac:dyDescent="0.2">
      <c r="A861" s="6">
        <v>17</v>
      </c>
      <c r="B861" s="7" t="s">
        <v>853</v>
      </c>
      <c r="C861" s="6">
        <v>265</v>
      </c>
      <c r="D861" s="8">
        <v>5.3</v>
      </c>
      <c r="E861" s="8">
        <v>4.4000000000000004</v>
      </c>
      <c r="F861" s="8">
        <v>0.3</v>
      </c>
      <c r="G861" s="8">
        <v>10.1</v>
      </c>
      <c r="H861" s="9">
        <v>556.04999999999995</v>
      </c>
    </row>
    <row r="862" spans="1:8" x14ac:dyDescent="0.2">
      <c r="A862" s="2">
        <v>17</v>
      </c>
      <c r="B862" s="3" t="s">
        <v>854</v>
      </c>
      <c r="C862" s="2">
        <v>31</v>
      </c>
      <c r="D862" s="4">
        <v>5.3</v>
      </c>
      <c r="E862" s="4">
        <v>4.7</v>
      </c>
      <c r="F862" s="4">
        <v>0.3</v>
      </c>
      <c r="G862" s="4">
        <v>10.3</v>
      </c>
      <c r="H862" s="5">
        <v>563.75</v>
      </c>
    </row>
    <row r="863" spans="1:8" x14ac:dyDescent="0.2">
      <c r="A863" s="6">
        <v>17</v>
      </c>
      <c r="B863" s="7" t="s">
        <v>855</v>
      </c>
      <c r="C863" s="6">
        <v>16</v>
      </c>
      <c r="D863" s="8">
        <v>5.7</v>
      </c>
      <c r="E863" s="8">
        <v>6.2</v>
      </c>
      <c r="F863" s="8">
        <v>0.1</v>
      </c>
      <c r="G863" s="8">
        <v>12</v>
      </c>
      <c r="H863" s="9">
        <v>658.9</v>
      </c>
    </row>
    <row r="864" spans="1:8" x14ac:dyDescent="0.2">
      <c r="A864" s="2">
        <v>17</v>
      </c>
      <c r="B864" s="3" t="s">
        <v>856</v>
      </c>
      <c r="C864" s="2">
        <v>6</v>
      </c>
      <c r="D864" s="4">
        <v>5.5</v>
      </c>
      <c r="E864" s="4">
        <v>4.3</v>
      </c>
      <c r="F864" s="4">
        <v>0.2</v>
      </c>
      <c r="G864" s="4">
        <v>10</v>
      </c>
      <c r="H864" s="5">
        <v>549.45000000000005</v>
      </c>
    </row>
    <row r="865" spans="1:8" x14ac:dyDescent="0.2">
      <c r="A865" s="6">
        <v>17</v>
      </c>
      <c r="B865" s="7" t="s">
        <v>857</v>
      </c>
      <c r="C865" s="6">
        <v>233</v>
      </c>
      <c r="D865" s="8">
        <v>5.4</v>
      </c>
      <c r="E865" s="8">
        <v>4.5999999999999996</v>
      </c>
      <c r="F865" s="8">
        <v>0.4</v>
      </c>
      <c r="G865" s="8">
        <v>10.4</v>
      </c>
      <c r="H865" s="9">
        <v>574.20000000000005</v>
      </c>
    </row>
    <row r="866" spans="1:8" x14ac:dyDescent="0.2">
      <c r="A866" s="2">
        <v>17</v>
      </c>
      <c r="B866" s="3" t="s">
        <v>858</v>
      </c>
      <c r="C866" s="2">
        <v>10</v>
      </c>
      <c r="D866" s="4">
        <v>5.6</v>
      </c>
      <c r="E866" s="4">
        <v>5.0999999999999996</v>
      </c>
      <c r="F866" s="4">
        <v>0</v>
      </c>
      <c r="G866" s="4">
        <v>10.7</v>
      </c>
      <c r="H866" s="5">
        <v>588.5</v>
      </c>
    </row>
    <row r="867" spans="1:8" x14ac:dyDescent="0.2">
      <c r="A867" s="6">
        <v>17</v>
      </c>
      <c r="B867" s="7" t="s">
        <v>859</v>
      </c>
      <c r="C867" s="6">
        <v>1</v>
      </c>
      <c r="D867" s="8">
        <v>5</v>
      </c>
      <c r="E867" s="8">
        <v>6</v>
      </c>
      <c r="F867" s="8">
        <v>1</v>
      </c>
      <c r="G867" s="8">
        <v>12</v>
      </c>
      <c r="H867" s="9">
        <v>660</v>
      </c>
    </row>
    <row r="868" spans="1:8" x14ac:dyDescent="0.2">
      <c r="A868" s="2">
        <v>17</v>
      </c>
      <c r="B868" s="3" t="s">
        <v>860</v>
      </c>
      <c r="C868" s="2">
        <v>2</v>
      </c>
      <c r="D868" s="4">
        <v>5.5</v>
      </c>
      <c r="E868" s="4">
        <v>8</v>
      </c>
      <c r="F868" s="4">
        <v>1</v>
      </c>
      <c r="G868" s="4">
        <v>14.5</v>
      </c>
      <c r="H868" s="5">
        <v>797.5</v>
      </c>
    </row>
    <row r="869" spans="1:8" x14ac:dyDescent="0.2">
      <c r="A869" s="6">
        <v>17</v>
      </c>
      <c r="B869" s="7" t="s">
        <v>861</v>
      </c>
      <c r="C869" s="6">
        <v>379</v>
      </c>
      <c r="D869" s="8">
        <v>5.8</v>
      </c>
      <c r="E869" s="8">
        <v>7.7</v>
      </c>
      <c r="F869" s="8">
        <v>0.2</v>
      </c>
      <c r="G869" s="8">
        <v>13.7</v>
      </c>
      <c r="H869" s="9">
        <v>754.6</v>
      </c>
    </row>
    <row r="870" spans="1:8" x14ac:dyDescent="0.2">
      <c r="A870" s="2">
        <v>17</v>
      </c>
      <c r="B870" s="3" t="s">
        <v>862</v>
      </c>
      <c r="C870" s="2">
        <v>1</v>
      </c>
      <c r="D870" s="4">
        <v>4</v>
      </c>
      <c r="E870" s="4">
        <v>3</v>
      </c>
      <c r="F870" s="4">
        <v>0</v>
      </c>
      <c r="G870" s="4">
        <v>7</v>
      </c>
      <c r="H870" s="5">
        <v>385</v>
      </c>
    </row>
    <row r="871" spans="1:8" x14ac:dyDescent="0.2">
      <c r="A871" s="6">
        <v>17</v>
      </c>
      <c r="B871" s="7" t="s">
        <v>863</v>
      </c>
      <c r="C871" s="6">
        <v>20</v>
      </c>
      <c r="D871" s="8">
        <v>5.8</v>
      </c>
      <c r="E871" s="8">
        <v>5.0999999999999996</v>
      </c>
      <c r="F871" s="8">
        <v>0.7</v>
      </c>
      <c r="G871" s="8">
        <v>11.6</v>
      </c>
      <c r="H871" s="9">
        <v>638</v>
      </c>
    </row>
    <row r="872" spans="1:8" x14ac:dyDescent="0.2">
      <c r="A872" s="2">
        <v>17</v>
      </c>
      <c r="B872" s="3" t="s">
        <v>864</v>
      </c>
      <c r="C872" s="2">
        <v>183</v>
      </c>
      <c r="D872" s="4">
        <v>5.9</v>
      </c>
      <c r="E872" s="4">
        <v>6.9</v>
      </c>
      <c r="F872" s="4">
        <v>0.8</v>
      </c>
      <c r="G872" s="4">
        <v>13.6</v>
      </c>
      <c r="H872" s="5">
        <v>749.1</v>
      </c>
    </row>
    <row r="873" spans="1:8" x14ac:dyDescent="0.2">
      <c r="A873" s="6">
        <v>17</v>
      </c>
      <c r="B873" s="7" t="s">
        <v>865</v>
      </c>
      <c r="C873" s="6">
        <v>26</v>
      </c>
      <c r="D873" s="8">
        <v>4.4000000000000004</v>
      </c>
      <c r="E873" s="8">
        <v>3</v>
      </c>
      <c r="F873" s="8">
        <v>0.7</v>
      </c>
      <c r="G873" s="8">
        <v>8.1</v>
      </c>
      <c r="H873" s="9">
        <v>447.7</v>
      </c>
    </row>
    <row r="874" spans="1:8" x14ac:dyDescent="0.2">
      <c r="A874" s="2">
        <v>17</v>
      </c>
      <c r="B874" s="3" t="s">
        <v>866</v>
      </c>
      <c r="C874" s="2">
        <v>1</v>
      </c>
      <c r="D874" s="4">
        <v>0</v>
      </c>
      <c r="E874" s="4">
        <v>4</v>
      </c>
      <c r="F874" s="4">
        <v>0</v>
      </c>
      <c r="G874" s="4">
        <v>4</v>
      </c>
      <c r="H874" s="5">
        <v>220</v>
      </c>
    </row>
    <row r="875" spans="1:8" x14ac:dyDescent="0.2">
      <c r="A875" s="6">
        <v>17</v>
      </c>
      <c r="B875" s="7" t="s">
        <v>867</v>
      </c>
      <c r="C875" s="6">
        <v>2</v>
      </c>
      <c r="D875" s="8">
        <v>5</v>
      </c>
      <c r="E875" s="8">
        <v>3</v>
      </c>
      <c r="F875" s="8">
        <v>0</v>
      </c>
      <c r="G875" s="8">
        <v>8</v>
      </c>
      <c r="H875" s="9">
        <v>440</v>
      </c>
    </row>
    <row r="876" spans="1:8" x14ac:dyDescent="0.2">
      <c r="A876" s="2">
        <v>17</v>
      </c>
      <c r="B876" s="3" t="s">
        <v>868</v>
      </c>
      <c r="C876" s="2">
        <v>2</v>
      </c>
      <c r="D876" s="4">
        <v>9</v>
      </c>
      <c r="E876" s="4">
        <v>6.5</v>
      </c>
      <c r="F876" s="4">
        <v>2.5</v>
      </c>
      <c r="G876" s="4">
        <v>18</v>
      </c>
      <c r="H876" s="5">
        <v>990</v>
      </c>
    </row>
    <row r="877" spans="1:8" x14ac:dyDescent="0.2">
      <c r="A877" s="6">
        <v>17</v>
      </c>
      <c r="B877" s="7" t="s">
        <v>869</v>
      </c>
      <c r="C877" s="6">
        <v>381</v>
      </c>
      <c r="D877" s="8">
        <v>3.9</v>
      </c>
      <c r="E877" s="8">
        <v>2.6</v>
      </c>
      <c r="F877" s="8">
        <v>0.7</v>
      </c>
      <c r="G877" s="8">
        <v>7.2</v>
      </c>
      <c r="H877" s="9">
        <v>396.55</v>
      </c>
    </row>
    <row r="878" spans="1:8" x14ac:dyDescent="0.2">
      <c r="A878" s="2">
        <v>17</v>
      </c>
      <c r="B878" s="3" t="s">
        <v>870</v>
      </c>
      <c r="C878" s="2">
        <v>1</v>
      </c>
      <c r="D878" s="4">
        <v>0</v>
      </c>
      <c r="E878" s="4">
        <v>0</v>
      </c>
      <c r="F878" s="4">
        <v>0</v>
      </c>
      <c r="G878" s="4">
        <v>0</v>
      </c>
      <c r="H878" s="5">
        <v>0</v>
      </c>
    </row>
    <row r="879" spans="1:8" x14ac:dyDescent="0.2">
      <c r="A879" s="6">
        <v>17</v>
      </c>
      <c r="B879" s="7" t="s">
        <v>871</v>
      </c>
      <c r="C879" s="6">
        <v>49</v>
      </c>
      <c r="D879" s="8">
        <v>5.0999999999999996</v>
      </c>
      <c r="E879" s="8">
        <v>4</v>
      </c>
      <c r="F879" s="8">
        <v>1.1000000000000001</v>
      </c>
      <c r="G879" s="8">
        <v>10.199999999999999</v>
      </c>
      <c r="H879" s="9">
        <v>558.25</v>
      </c>
    </row>
    <row r="880" spans="1:8" x14ac:dyDescent="0.2">
      <c r="A880" s="2">
        <v>17</v>
      </c>
      <c r="B880" s="3" t="s">
        <v>872</v>
      </c>
      <c r="C880" s="2">
        <v>1</v>
      </c>
      <c r="D880" s="4">
        <v>10</v>
      </c>
      <c r="E880" s="4">
        <v>5</v>
      </c>
      <c r="F880" s="4">
        <v>0</v>
      </c>
      <c r="G880" s="4">
        <v>15</v>
      </c>
      <c r="H880" s="5">
        <v>825</v>
      </c>
    </row>
    <row r="881" spans="1:8" x14ac:dyDescent="0.2">
      <c r="A881" s="6">
        <v>17</v>
      </c>
      <c r="B881" s="7" t="s">
        <v>873</v>
      </c>
      <c r="C881" s="6">
        <v>28</v>
      </c>
      <c r="D881" s="8">
        <v>5.0999999999999996</v>
      </c>
      <c r="E881" s="8">
        <v>5.9</v>
      </c>
      <c r="F881" s="8">
        <v>0.4</v>
      </c>
      <c r="G881" s="8">
        <v>11.3</v>
      </c>
      <c r="H881" s="9">
        <v>623.70000000000005</v>
      </c>
    </row>
    <row r="882" spans="1:8" x14ac:dyDescent="0.2">
      <c r="A882" s="2">
        <v>18</v>
      </c>
      <c r="B882" s="3" t="s">
        <v>874</v>
      </c>
      <c r="C882" s="2">
        <v>5</v>
      </c>
      <c r="D882" s="4">
        <v>4.2</v>
      </c>
      <c r="E882" s="4">
        <v>2</v>
      </c>
      <c r="F882" s="4">
        <v>0.2</v>
      </c>
      <c r="G882" s="4">
        <v>6.4</v>
      </c>
      <c r="H882" s="5">
        <v>352</v>
      </c>
    </row>
    <row r="883" spans="1:8" x14ac:dyDescent="0.2">
      <c r="A883" s="6">
        <v>18</v>
      </c>
      <c r="B883" s="7" t="s">
        <v>875</v>
      </c>
      <c r="C883" s="6">
        <v>39</v>
      </c>
      <c r="D883" s="8">
        <v>8</v>
      </c>
      <c r="E883" s="8">
        <v>7.3</v>
      </c>
      <c r="F883" s="8">
        <v>1.3</v>
      </c>
      <c r="G883" s="8">
        <v>16.600000000000001</v>
      </c>
      <c r="H883" s="9">
        <v>911.9</v>
      </c>
    </row>
    <row r="884" spans="1:8" x14ac:dyDescent="0.2">
      <c r="A884" s="2">
        <v>18</v>
      </c>
      <c r="B884" s="3" t="s">
        <v>876</v>
      </c>
      <c r="C884" s="2">
        <v>6</v>
      </c>
      <c r="D884" s="4">
        <v>6.7</v>
      </c>
      <c r="E884" s="4">
        <v>15.8</v>
      </c>
      <c r="F884" s="4">
        <v>1.2</v>
      </c>
      <c r="G884" s="4">
        <v>23.7</v>
      </c>
      <c r="H884" s="5">
        <v>1300.75</v>
      </c>
    </row>
    <row r="885" spans="1:8" x14ac:dyDescent="0.2">
      <c r="A885" s="6">
        <v>18</v>
      </c>
      <c r="B885" s="7" t="s">
        <v>877</v>
      </c>
      <c r="C885" s="6">
        <v>2</v>
      </c>
      <c r="D885" s="8">
        <v>10</v>
      </c>
      <c r="E885" s="8">
        <v>11.5</v>
      </c>
      <c r="F885" s="8">
        <v>1.5</v>
      </c>
      <c r="G885" s="8">
        <v>23</v>
      </c>
      <c r="H885" s="9">
        <v>1265</v>
      </c>
    </row>
    <row r="886" spans="1:8" x14ac:dyDescent="0.2">
      <c r="A886" s="2">
        <v>18</v>
      </c>
      <c r="B886" s="3" t="s">
        <v>878</v>
      </c>
      <c r="C886" s="2">
        <v>2</v>
      </c>
      <c r="D886" s="4">
        <v>8</v>
      </c>
      <c r="E886" s="4">
        <v>7</v>
      </c>
      <c r="F886" s="4">
        <v>1.5</v>
      </c>
      <c r="G886" s="4">
        <v>16.5</v>
      </c>
      <c r="H886" s="5">
        <v>907.5</v>
      </c>
    </row>
    <row r="887" spans="1:8" x14ac:dyDescent="0.2">
      <c r="A887" s="6">
        <v>18</v>
      </c>
      <c r="B887" s="7" t="s">
        <v>879</v>
      </c>
      <c r="C887" s="6">
        <v>1</v>
      </c>
      <c r="D887" s="8">
        <v>6</v>
      </c>
      <c r="E887" s="8">
        <v>3</v>
      </c>
      <c r="F887" s="8">
        <v>2</v>
      </c>
      <c r="G887" s="8">
        <v>11</v>
      </c>
      <c r="H887" s="9">
        <v>605</v>
      </c>
    </row>
    <row r="888" spans="1:8" x14ac:dyDescent="0.2">
      <c r="A888" s="2">
        <v>18</v>
      </c>
      <c r="B888" s="3" t="s">
        <v>880</v>
      </c>
      <c r="C888" s="2">
        <v>1</v>
      </c>
      <c r="D888" s="4">
        <v>4</v>
      </c>
      <c r="E888" s="4">
        <v>2</v>
      </c>
      <c r="F888" s="4">
        <v>0</v>
      </c>
      <c r="G888" s="4">
        <v>6</v>
      </c>
      <c r="H888" s="5">
        <v>330</v>
      </c>
    </row>
    <row r="889" spans="1:8" x14ac:dyDescent="0.2">
      <c r="A889" s="6">
        <v>18</v>
      </c>
      <c r="B889" s="7" t="s">
        <v>881</v>
      </c>
      <c r="C889" s="6">
        <v>23</v>
      </c>
      <c r="D889" s="8">
        <v>4.5999999999999996</v>
      </c>
      <c r="E889" s="8">
        <v>2.7</v>
      </c>
      <c r="F889" s="8">
        <v>0.4</v>
      </c>
      <c r="G889" s="8">
        <v>7.6</v>
      </c>
      <c r="H889" s="9">
        <v>420.2</v>
      </c>
    </row>
    <row r="890" spans="1:8" x14ac:dyDescent="0.2">
      <c r="A890" s="2">
        <v>18</v>
      </c>
      <c r="B890" s="3" t="s">
        <v>882</v>
      </c>
      <c r="C890" s="2">
        <v>1</v>
      </c>
      <c r="D890" s="4">
        <v>5</v>
      </c>
      <c r="E890" s="4">
        <v>2</v>
      </c>
      <c r="F890" s="4">
        <v>0</v>
      </c>
      <c r="G890" s="4">
        <v>7</v>
      </c>
      <c r="H890" s="5">
        <v>385</v>
      </c>
    </row>
    <row r="891" spans="1:8" x14ac:dyDescent="0.2">
      <c r="A891" s="6">
        <v>18</v>
      </c>
      <c r="B891" s="7" t="s">
        <v>883</v>
      </c>
      <c r="C891" s="6">
        <v>1</v>
      </c>
      <c r="D891" s="8">
        <v>5</v>
      </c>
      <c r="E891" s="8">
        <v>5</v>
      </c>
      <c r="F891" s="8">
        <v>0</v>
      </c>
      <c r="G891" s="8">
        <v>10</v>
      </c>
      <c r="H891" s="9">
        <v>550</v>
      </c>
    </row>
    <row r="892" spans="1:8" x14ac:dyDescent="0.2">
      <c r="A892" s="2">
        <v>18</v>
      </c>
      <c r="B892" s="3" t="s">
        <v>884</v>
      </c>
      <c r="C892" s="2">
        <v>1</v>
      </c>
      <c r="D892" s="4">
        <v>0</v>
      </c>
      <c r="E892" s="4">
        <v>4</v>
      </c>
      <c r="F892" s="4">
        <v>0</v>
      </c>
      <c r="G892" s="4">
        <v>4</v>
      </c>
      <c r="H892" s="5">
        <v>220</v>
      </c>
    </row>
    <row r="893" spans="1:8" x14ac:dyDescent="0.2">
      <c r="A893" s="6">
        <v>18</v>
      </c>
      <c r="B893" s="7" t="s">
        <v>885</v>
      </c>
      <c r="C893" s="6">
        <v>0</v>
      </c>
      <c r="D893" s="8">
        <v>0</v>
      </c>
      <c r="E893" s="8">
        <v>0</v>
      </c>
      <c r="F893" s="8">
        <v>0</v>
      </c>
      <c r="G893" s="8">
        <v>0</v>
      </c>
      <c r="H893" s="9">
        <v>0</v>
      </c>
    </row>
    <row r="894" spans="1:8" x14ac:dyDescent="0.2">
      <c r="A894" s="2">
        <v>18</v>
      </c>
      <c r="B894" s="3" t="s">
        <v>886</v>
      </c>
      <c r="C894" s="2">
        <v>3</v>
      </c>
      <c r="D894" s="4">
        <v>3</v>
      </c>
      <c r="E894" s="4">
        <v>2.7</v>
      </c>
      <c r="F894" s="4">
        <v>0</v>
      </c>
      <c r="G894" s="4">
        <v>5.7</v>
      </c>
      <c r="H894" s="5">
        <v>311.3</v>
      </c>
    </row>
    <row r="895" spans="1:8" x14ac:dyDescent="0.2">
      <c r="A895" s="6">
        <v>18</v>
      </c>
      <c r="B895" s="7" t="s">
        <v>887</v>
      </c>
      <c r="C895" s="6">
        <v>2</v>
      </c>
      <c r="D895" s="8">
        <v>5</v>
      </c>
      <c r="E895" s="8">
        <v>2.5</v>
      </c>
      <c r="F895" s="8">
        <v>0</v>
      </c>
      <c r="G895" s="8">
        <v>7.5</v>
      </c>
      <c r="H895" s="9">
        <v>412.5</v>
      </c>
    </row>
    <row r="896" spans="1:8" x14ac:dyDescent="0.2">
      <c r="A896" s="2">
        <v>18</v>
      </c>
      <c r="B896" s="3" t="s">
        <v>888</v>
      </c>
      <c r="C896" s="2">
        <v>1</v>
      </c>
      <c r="D896" s="4">
        <v>8</v>
      </c>
      <c r="E896" s="4">
        <v>10</v>
      </c>
      <c r="F896" s="4">
        <v>1</v>
      </c>
      <c r="G896" s="4">
        <v>19</v>
      </c>
      <c r="H896" s="5">
        <v>1045</v>
      </c>
    </row>
    <row r="897" spans="1:8" x14ac:dyDescent="0.2">
      <c r="A897" s="6">
        <v>18</v>
      </c>
      <c r="B897" s="7" t="s">
        <v>889</v>
      </c>
      <c r="C897" s="6">
        <v>1</v>
      </c>
      <c r="D897" s="8">
        <v>0</v>
      </c>
      <c r="E897" s="8">
        <v>2</v>
      </c>
      <c r="F897" s="8">
        <v>0</v>
      </c>
      <c r="G897" s="8">
        <v>2</v>
      </c>
      <c r="H897" s="9">
        <v>110</v>
      </c>
    </row>
    <row r="898" spans="1:8" x14ac:dyDescent="0.2">
      <c r="A898" s="2">
        <v>18</v>
      </c>
      <c r="B898" s="3" t="s">
        <v>890</v>
      </c>
      <c r="C898" s="2">
        <v>1</v>
      </c>
      <c r="D898" s="4">
        <v>5</v>
      </c>
      <c r="E898" s="4">
        <v>2</v>
      </c>
      <c r="F898" s="4">
        <v>0</v>
      </c>
      <c r="G898" s="4">
        <v>7</v>
      </c>
      <c r="H898" s="5">
        <v>385</v>
      </c>
    </row>
    <row r="899" spans="1:8" x14ac:dyDescent="0.2">
      <c r="A899" s="6">
        <v>18</v>
      </c>
      <c r="B899" s="7" t="s">
        <v>891</v>
      </c>
      <c r="C899" s="6">
        <v>1</v>
      </c>
      <c r="D899" s="8">
        <v>2</v>
      </c>
      <c r="E899" s="8">
        <v>2</v>
      </c>
      <c r="F899" s="8">
        <v>1</v>
      </c>
      <c r="G899" s="8">
        <v>5</v>
      </c>
      <c r="H899" s="9">
        <v>275</v>
      </c>
    </row>
    <row r="900" spans="1:8" x14ac:dyDescent="0.2">
      <c r="A900" s="2">
        <v>18</v>
      </c>
      <c r="B900" s="3" t="s">
        <v>892</v>
      </c>
      <c r="C900" s="2">
        <v>1</v>
      </c>
      <c r="D900" s="4">
        <v>6</v>
      </c>
      <c r="E900" s="4">
        <v>4</v>
      </c>
      <c r="F900" s="4">
        <v>2</v>
      </c>
      <c r="G900" s="4">
        <v>12</v>
      </c>
      <c r="H900" s="5">
        <v>660</v>
      </c>
    </row>
    <row r="901" spans="1:8" x14ac:dyDescent="0.2">
      <c r="A901" s="6">
        <v>18</v>
      </c>
      <c r="B901" s="7" t="s">
        <v>893</v>
      </c>
      <c r="C901" s="6">
        <v>1</v>
      </c>
      <c r="D901" s="8">
        <v>6</v>
      </c>
      <c r="E901" s="8">
        <v>4</v>
      </c>
      <c r="F901" s="8">
        <v>0</v>
      </c>
      <c r="G901" s="8">
        <v>10</v>
      </c>
      <c r="H901" s="9">
        <v>550</v>
      </c>
    </row>
    <row r="902" spans="1:8" x14ac:dyDescent="0.2">
      <c r="A902" s="2">
        <v>18</v>
      </c>
      <c r="B902" s="3" t="s">
        <v>894</v>
      </c>
      <c r="C902" s="2">
        <v>23</v>
      </c>
      <c r="D902" s="4">
        <v>4.7</v>
      </c>
      <c r="E902" s="4">
        <v>3.8</v>
      </c>
      <c r="F902" s="4">
        <v>0.3</v>
      </c>
      <c r="G902" s="4">
        <v>8.8000000000000007</v>
      </c>
      <c r="H902" s="5">
        <v>484.55</v>
      </c>
    </row>
    <row r="903" spans="1:8" x14ac:dyDescent="0.2">
      <c r="A903" s="6">
        <v>18</v>
      </c>
      <c r="B903" s="7" t="s">
        <v>895</v>
      </c>
      <c r="C903" s="6">
        <v>8</v>
      </c>
      <c r="D903" s="8">
        <v>3.9</v>
      </c>
      <c r="E903" s="8">
        <v>3.9</v>
      </c>
      <c r="F903" s="8">
        <v>1.1000000000000001</v>
      </c>
      <c r="G903" s="8">
        <v>8.9</v>
      </c>
      <c r="H903" s="9">
        <v>487.3</v>
      </c>
    </row>
    <row r="904" spans="1:8" x14ac:dyDescent="0.2">
      <c r="A904" s="2">
        <v>18</v>
      </c>
      <c r="B904" s="3" t="s">
        <v>896</v>
      </c>
      <c r="C904" s="2">
        <v>41</v>
      </c>
      <c r="D904" s="4">
        <v>6.2</v>
      </c>
      <c r="E904" s="4">
        <v>5.6</v>
      </c>
      <c r="F904" s="4">
        <v>0.7</v>
      </c>
      <c r="G904" s="4">
        <v>12.5</v>
      </c>
      <c r="H904" s="5">
        <v>686.4</v>
      </c>
    </row>
    <row r="905" spans="1:8" x14ac:dyDescent="0.2">
      <c r="A905" s="6">
        <v>18</v>
      </c>
      <c r="B905" s="7" t="s">
        <v>897</v>
      </c>
      <c r="C905" s="6">
        <v>15</v>
      </c>
      <c r="D905" s="8">
        <v>4.5</v>
      </c>
      <c r="E905" s="8">
        <v>4.8</v>
      </c>
      <c r="F905" s="8">
        <v>0.7</v>
      </c>
      <c r="G905" s="8">
        <v>10.1</v>
      </c>
      <c r="H905" s="9">
        <v>553.29999999999995</v>
      </c>
    </row>
    <row r="906" spans="1:8" x14ac:dyDescent="0.2">
      <c r="A906" s="2">
        <v>18</v>
      </c>
      <c r="B906" s="3" t="s">
        <v>898</v>
      </c>
      <c r="C906" s="2">
        <v>5</v>
      </c>
      <c r="D906" s="4">
        <v>6</v>
      </c>
      <c r="E906" s="4">
        <v>4.8</v>
      </c>
      <c r="F906" s="4">
        <v>0.6</v>
      </c>
      <c r="G906" s="4">
        <v>11.4</v>
      </c>
      <c r="H906" s="5">
        <v>627</v>
      </c>
    </row>
    <row r="907" spans="1:8" x14ac:dyDescent="0.2">
      <c r="A907" s="6">
        <v>18</v>
      </c>
      <c r="B907" s="7" t="s">
        <v>899</v>
      </c>
      <c r="C907" s="6">
        <v>1</v>
      </c>
      <c r="D907" s="8">
        <v>4</v>
      </c>
      <c r="E907" s="8">
        <v>4</v>
      </c>
      <c r="F907" s="8">
        <v>4</v>
      </c>
      <c r="G907" s="8">
        <v>12</v>
      </c>
      <c r="H907" s="9">
        <v>660</v>
      </c>
    </row>
    <row r="908" spans="1:8" x14ac:dyDescent="0.2">
      <c r="A908" s="2">
        <v>18</v>
      </c>
      <c r="B908" s="3" t="s">
        <v>900</v>
      </c>
      <c r="C908" s="2">
        <v>2</v>
      </c>
      <c r="D908" s="4">
        <v>9</v>
      </c>
      <c r="E908" s="4">
        <v>11</v>
      </c>
      <c r="F908" s="4">
        <v>2.5</v>
      </c>
      <c r="G908" s="4">
        <v>22.5</v>
      </c>
      <c r="H908" s="5">
        <v>1237.5</v>
      </c>
    </row>
    <row r="909" spans="1:8" x14ac:dyDescent="0.2">
      <c r="A909" s="6">
        <v>18</v>
      </c>
      <c r="B909" s="7" t="s">
        <v>901</v>
      </c>
      <c r="C909" s="6">
        <v>4</v>
      </c>
      <c r="D909" s="8">
        <v>4.5</v>
      </c>
      <c r="E909" s="8">
        <v>3.3</v>
      </c>
      <c r="F909" s="8">
        <v>0</v>
      </c>
      <c r="G909" s="8">
        <v>7.8</v>
      </c>
      <c r="H909" s="9">
        <v>426.25</v>
      </c>
    </row>
    <row r="910" spans="1:8" x14ac:dyDescent="0.2">
      <c r="A910" s="2">
        <v>18</v>
      </c>
      <c r="B910" s="3" t="s">
        <v>902</v>
      </c>
      <c r="C910" s="2">
        <v>3</v>
      </c>
      <c r="D910" s="4">
        <v>5</v>
      </c>
      <c r="E910" s="4">
        <v>4.3</v>
      </c>
      <c r="F910" s="4">
        <v>0</v>
      </c>
      <c r="G910" s="4">
        <v>9.3000000000000007</v>
      </c>
      <c r="H910" s="5">
        <v>513.15</v>
      </c>
    </row>
    <row r="911" spans="1:8" x14ac:dyDescent="0.2">
      <c r="A911" s="6">
        <v>18</v>
      </c>
      <c r="B911" s="7" t="s">
        <v>903</v>
      </c>
      <c r="C911" s="6">
        <v>1</v>
      </c>
      <c r="D911" s="8">
        <v>5</v>
      </c>
      <c r="E911" s="8">
        <v>4</v>
      </c>
      <c r="F911" s="8">
        <v>0</v>
      </c>
      <c r="G911" s="8">
        <v>9</v>
      </c>
      <c r="H911" s="9">
        <v>495</v>
      </c>
    </row>
    <row r="912" spans="1:8" x14ac:dyDescent="0.2">
      <c r="A912" s="2">
        <v>18</v>
      </c>
      <c r="B912" s="3" t="s">
        <v>904</v>
      </c>
      <c r="C912" s="2">
        <v>1</v>
      </c>
      <c r="D912" s="4">
        <v>8</v>
      </c>
      <c r="E912" s="4">
        <v>7</v>
      </c>
      <c r="F912" s="4">
        <v>0</v>
      </c>
      <c r="G912" s="4">
        <v>15</v>
      </c>
      <c r="H912" s="5">
        <v>825</v>
      </c>
    </row>
    <row r="913" spans="1:8" x14ac:dyDescent="0.2">
      <c r="A913" s="6">
        <v>18</v>
      </c>
      <c r="B913" s="7" t="s">
        <v>905</v>
      </c>
      <c r="C913" s="6">
        <v>1</v>
      </c>
      <c r="D913" s="8">
        <v>0</v>
      </c>
      <c r="E913" s="8">
        <v>3</v>
      </c>
      <c r="F913" s="8">
        <v>0</v>
      </c>
      <c r="G913" s="8">
        <v>3</v>
      </c>
      <c r="H913" s="9">
        <v>165</v>
      </c>
    </row>
    <row r="914" spans="1:8" x14ac:dyDescent="0.2">
      <c r="A914" s="2">
        <v>18</v>
      </c>
      <c r="B914" s="3" t="s">
        <v>906</v>
      </c>
      <c r="C914" s="2">
        <v>2</v>
      </c>
      <c r="D914" s="4">
        <v>5</v>
      </c>
      <c r="E914" s="4">
        <v>2</v>
      </c>
      <c r="F914" s="4">
        <v>0</v>
      </c>
      <c r="G914" s="4">
        <v>7</v>
      </c>
      <c r="H914" s="5">
        <v>385</v>
      </c>
    </row>
    <row r="915" spans="1:8" x14ac:dyDescent="0.2">
      <c r="A915" s="6">
        <v>18</v>
      </c>
      <c r="B915" s="7" t="s">
        <v>907</v>
      </c>
      <c r="C915" s="6">
        <v>1</v>
      </c>
      <c r="D915" s="8">
        <v>8</v>
      </c>
      <c r="E915" s="8">
        <v>28</v>
      </c>
      <c r="F915" s="8">
        <v>0</v>
      </c>
      <c r="G915" s="8">
        <v>36</v>
      </c>
      <c r="H915" s="9">
        <v>1980</v>
      </c>
    </row>
    <row r="916" spans="1:8" x14ac:dyDescent="0.2">
      <c r="A916" s="2">
        <v>18</v>
      </c>
      <c r="B916" s="3" t="s">
        <v>908</v>
      </c>
      <c r="C916" s="2">
        <v>10</v>
      </c>
      <c r="D916" s="4">
        <v>5.2</v>
      </c>
      <c r="E916" s="4">
        <v>5.8</v>
      </c>
      <c r="F916" s="4">
        <v>1</v>
      </c>
      <c r="G916" s="4">
        <v>12</v>
      </c>
      <c r="H916" s="5">
        <v>660</v>
      </c>
    </row>
    <row r="917" spans="1:8" x14ac:dyDescent="0.2">
      <c r="A917" s="6">
        <v>18</v>
      </c>
      <c r="B917" s="7" t="s">
        <v>909</v>
      </c>
      <c r="C917" s="6">
        <v>6</v>
      </c>
      <c r="D917" s="8">
        <v>4</v>
      </c>
      <c r="E917" s="8">
        <v>2</v>
      </c>
      <c r="F917" s="8">
        <v>0.2</v>
      </c>
      <c r="G917" s="8">
        <v>6.2</v>
      </c>
      <c r="H917" s="9">
        <v>338.8</v>
      </c>
    </row>
    <row r="918" spans="1:8" x14ac:dyDescent="0.2">
      <c r="A918" s="2">
        <v>18</v>
      </c>
      <c r="B918" s="3" t="s">
        <v>910</v>
      </c>
      <c r="C918" s="2">
        <v>2</v>
      </c>
      <c r="D918" s="4">
        <v>4</v>
      </c>
      <c r="E918" s="4">
        <v>7</v>
      </c>
      <c r="F918" s="4">
        <v>0.5</v>
      </c>
      <c r="G918" s="4">
        <v>11.5</v>
      </c>
      <c r="H918" s="5">
        <v>632.5</v>
      </c>
    </row>
    <row r="919" spans="1:8" x14ac:dyDescent="0.2">
      <c r="A919" s="6">
        <v>18</v>
      </c>
      <c r="B919" s="7" t="s">
        <v>911</v>
      </c>
      <c r="C919" s="6">
        <v>1</v>
      </c>
      <c r="D919" s="8">
        <v>0</v>
      </c>
      <c r="E919" s="8">
        <v>2</v>
      </c>
      <c r="F919" s="8">
        <v>0</v>
      </c>
      <c r="G919" s="8">
        <v>2</v>
      </c>
      <c r="H919" s="9">
        <v>110</v>
      </c>
    </row>
    <row r="920" spans="1:8" x14ac:dyDescent="0.2">
      <c r="A920" s="2">
        <v>18</v>
      </c>
      <c r="B920" s="3" t="s">
        <v>912</v>
      </c>
      <c r="C920" s="2">
        <v>7</v>
      </c>
      <c r="D920" s="4">
        <v>12.9</v>
      </c>
      <c r="E920" s="4">
        <v>9.4</v>
      </c>
      <c r="F920" s="4">
        <v>1.3</v>
      </c>
      <c r="G920" s="4">
        <v>23.6</v>
      </c>
      <c r="H920" s="5">
        <v>1295.25</v>
      </c>
    </row>
    <row r="921" spans="1:8" x14ac:dyDescent="0.2">
      <c r="A921" s="6">
        <v>18</v>
      </c>
      <c r="B921" s="7" t="s">
        <v>913</v>
      </c>
      <c r="C921" s="6">
        <v>47</v>
      </c>
      <c r="D921" s="8">
        <v>5.9</v>
      </c>
      <c r="E921" s="8">
        <v>8.8000000000000007</v>
      </c>
      <c r="F921" s="8">
        <v>0.6</v>
      </c>
      <c r="G921" s="8">
        <v>15.3</v>
      </c>
      <c r="H921" s="9">
        <v>839.3</v>
      </c>
    </row>
    <row r="922" spans="1:8" x14ac:dyDescent="0.2">
      <c r="A922" s="2">
        <v>18</v>
      </c>
      <c r="B922" s="3" t="s">
        <v>914</v>
      </c>
      <c r="C922" s="2">
        <v>34</v>
      </c>
      <c r="D922" s="4">
        <v>6</v>
      </c>
      <c r="E922" s="4">
        <v>11.1</v>
      </c>
      <c r="F922" s="4">
        <v>1.1000000000000001</v>
      </c>
      <c r="G922" s="4">
        <v>18.2</v>
      </c>
      <c r="H922" s="5">
        <v>1001.55</v>
      </c>
    </row>
    <row r="923" spans="1:8" x14ac:dyDescent="0.2">
      <c r="A923" s="6">
        <v>18</v>
      </c>
      <c r="B923" s="7" t="s">
        <v>915</v>
      </c>
      <c r="C923" s="6">
        <v>9</v>
      </c>
      <c r="D923" s="8">
        <v>6</v>
      </c>
      <c r="E923" s="8">
        <v>6.2</v>
      </c>
      <c r="F923" s="8">
        <v>0.2</v>
      </c>
      <c r="G923" s="8">
        <v>12.4</v>
      </c>
      <c r="H923" s="9">
        <v>684.2</v>
      </c>
    </row>
    <row r="924" spans="1:8" x14ac:dyDescent="0.2">
      <c r="A924" s="2">
        <v>18</v>
      </c>
      <c r="B924" s="3" t="s">
        <v>916</v>
      </c>
      <c r="C924" s="2">
        <v>0</v>
      </c>
      <c r="D924" s="4">
        <v>0</v>
      </c>
      <c r="E924" s="4">
        <v>0</v>
      </c>
      <c r="F924" s="4">
        <v>0</v>
      </c>
      <c r="G924" s="4">
        <v>0</v>
      </c>
      <c r="H924" s="5">
        <v>0</v>
      </c>
    </row>
    <row r="925" spans="1:8" x14ac:dyDescent="0.2">
      <c r="A925" s="6">
        <v>18</v>
      </c>
      <c r="B925" s="7" t="s">
        <v>917</v>
      </c>
      <c r="C925" s="6">
        <v>16</v>
      </c>
      <c r="D925" s="8">
        <v>4.4000000000000004</v>
      </c>
      <c r="E925" s="8">
        <v>2.2999999999999998</v>
      </c>
      <c r="F925" s="8">
        <v>0.3</v>
      </c>
      <c r="G925" s="8">
        <v>6.9</v>
      </c>
      <c r="H925" s="9">
        <v>381.15</v>
      </c>
    </row>
    <row r="926" spans="1:8" x14ac:dyDescent="0.2">
      <c r="A926" s="2">
        <v>18</v>
      </c>
      <c r="B926" s="3" t="s">
        <v>918</v>
      </c>
      <c r="C926" s="2">
        <v>2480</v>
      </c>
      <c r="D926" s="4">
        <v>4.9000000000000004</v>
      </c>
      <c r="E926" s="4">
        <v>3.1</v>
      </c>
      <c r="F926" s="4">
        <v>0.2</v>
      </c>
      <c r="G926" s="4">
        <v>8.1999999999999993</v>
      </c>
      <c r="H926" s="5">
        <v>450.45</v>
      </c>
    </row>
    <row r="927" spans="1:8" x14ac:dyDescent="0.2">
      <c r="A927" s="6">
        <v>18</v>
      </c>
      <c r="B927" s="7" t="s">
        <v>919</v>
      </c>
      <c r="C927" s="6">
        <v>177</v>
      </c>
      <c r="D927" s="8">
        <v>4.9000000000000004</v>
      </c>
      <c r="E927" s="8">
        <v>3.1</v>
      </c>
      <c r="F927" s="8">
        <v>0.2</v>
      </c>
      <c r="G927" s="8">
        <v>8.1999999999999993</v>
      </c>
      <c r="H927" s="9">
        <v>449.35</v>
      </c>
    </row>
    <row r="928" spans="1:8" x14ac:dyDescent="0.2">
      <c r="A928" s="2">
        <v>18</v>
      </c>
      <c r="B928" s="3" t="s">
        <v>920</v>
      </c>
      <c r="C928" s="2">
        <v>1</v>
      </c>
      <c r="D928" s="4">
        <v>5</v>
      </c>
      <c r="E928" s="4">
        <v>2</v>
      </c>
      <c r="F928" s="4">
        <v>0</v>
      </c>
      <c r="G928" s="4">
        <v>7</v>
      </c>
      <c r="H928" s="5">
        <v>385</v>
      </c>
    </row>
    <row r="929" spans="1:8" x14ac:dyDescent="0.2">
      <c r="A929" s="6">
        <v>18</v>
      </c>
      <c r="B929" s="7" t="s">
        <v>921</v>
      </c>
      <c r="C929" s="6">
        <v>0</v>
      </c>
      <c r="D929" s="8">
        <v>0</v>
      </c>
      <c r="E929" s="8">
        <v>0</v>
      </c>
      <c r="F929" s="8">
        <v>0</v>
      </c>
      <c r="G929" s="8">
        <v>0</v>
      </c>
      <c r="H929" s="9">
        <v>0</v>
      </c>
    </row>
    <row r="930" spans="1:8" x14ac:dyDescent="0.2">
      <c r="A930" s="2">
        <v>18</v>
      </c>
      <c r="B930" s="3" t="s">
        <v>922</v>
      </c>
      <c r="C930" s="2">
        <v>768</v>
      </c>
      <c r="D930" s="4">
        <v>7.9</v>
      </c>
      <c r="E930" s="4">
        <v>7.4</v>
      </c>
      <c r="F930" s="4">
        <v>2.1</v>
      </c>
      <c r="G930" s="4">
        <v>17.399999999999999</v>
      </c>
      <c r="H930" s="5">
        <v>958.65</v>
      </c>
    </row>
    <row r="931" spans="1:8" x14ac:dyDescent="0.2">
      <c r="A931" s="6">
        <v>18</v>
      </c>
      <c r="B931" s="7" t="s">
        <v>923</v>
      </c>
      <c r="C931" s="6">
        <v>238</v>
      </c>
      <c r="D931" s="8">
        <v>7.9</v>
      </c>
      <c r="E931" s="8">
        <v>7.5</v>
      </c>
      <c r="F931" s="8">
        <v>1.4</v>
      </c>
      <c r="G931" s="8">
        <v>16.8</v>
      </c>
      <c r="H931" s="9">
        <v>925.1</v>
      </c>
    </row>
    <row r="932" spans="1:8" x14ac:dyDescent="0.2">
      <c r="A932" s="2">
        <v>18</v>
      </c>
      <c r="B932" s="3" t="s">
        <v>924</v>
      </c>
      <c r="C932" s="2">
        <v>3</v>
      </c>
      <c r="D932" s="4">
        <v>10</v>
      </c>
      <c r="E932" s="4">
        <v>10</v>
      </c>
      <c r="F932" s="4">
        <v>1</v>
      </c>
      <c r="G932" s="4">
        <v>21</v>
      </c>
      <c r="H932" s="5">
        <v>1155</v>
      </c>
    </row>
    <row r="933" spans="1:8" x14ac:dyDescent="0.2">
      <c r="A933" s="6">
        <v>18</v>
      </c>
      <c r="B933" s="7" t="s">
        <v>925</v>
      </c>
      <c r="C933" s="6">
        <v>454</v>
      </c>
      <c r="D933" s="8">
        <v>7.9</v>
      </c>
      <c r="E933" s="8">
        <v>7.7</v>
      </c>
      <c r="F933" s="8">
        <v>1.8</v>
      </c>
      <c r="G933" s="8">
        <v>17.399999999999999</v>
      </c>
      <c r="H933" s="9">
        <v>957</v>
      </c>
    </row>
    <row r="934" spans="1:8" x14ac:dyDescent="0.2">
      <c r="A934" s="2">
        <v>19</v>
      </c>
      <c r="B934" s="3" t="s">
        <v>926</v>
      </c>
      <c r="C934" s="2">
        <v>10</v>
      </c>
      <c r="D934" s="4">
        <v>8</v>
      </c>
      <c r="E934" s="4">
        <v>12.3</v>
      </c>
      <c r="F934" s="4">
        <v>2.4</v>
      </c>
      <c r="G934" s="4">
        <v>22.7</v>
      </c>
      <c r="H934" s="5">
        <v>1248.5</v>
      </c>
    </row>
    <row r="935" spans="1:8" x14ac:dyDescent="0.2">
      <c r="A935" s="6">
        <v>19</v>
      </c>
      <c r="B935" s="7" t="s">
        <v>927</v>
      </c>
      <c r="C935" s="6">
        <v>38</v>
      </c>
      <c r="D935" s="8">
        <v>8.1</v>
      </c>
      <c r="E935" s="8">
        <v>10.3</v>
      </c>
      <c r="F935" s="8">
        <v>1.9</v>
      </c>
      <c r="G935" s="8">
        <v>20.3</v>
      </c>
      <c r="H935" s="9">
        <v>1115.4000000000001</v>
      </c>
    </row>
    <row r="936" spans="1:8" x14ac:dyDescent="0.2">
      <c r="A936" s="2">
        <v>19</v>
      </c>
      <c r="B936" s="3" t="s">
        <v>928</v>
      </c>
      <c r="C936" s="2">
        <v>52</v>
      </c>
      <c r="D936" s="4">
        <v>8</v>
      </c>
      <c r="E936" s="4">
        <v>7.8</v>
      </c>
      <c r="F936" s="4">
        <v>0.5</v>
      </c>
      <c r="G936" s="4">
        <v>16.3</v>
      </c>
      <c r="H936" s="5">
        <v>894.85</v>
      </c>
    </row>
    <row r="937" spans="1:8" x14ac:dyDescent="0.2">
      <c r="A937" s="6">
        <v>19</v>
      </c>
      <c r="B937" s="7" t="s">
        <v>929</v>
      </c>
      <c r="C937" s="6">
        <v>1</v>
      </c>
      <c r="D937" s="8">
        <v>8</v>
      </c>
      <c r="E937" s="8">
        <v>13</v>
      </c>
      <c r="F937" s="8">
        <v>2</v>
      </c>
      <c r="G937" s="8">
        <v>23</v>
      </c>
      <c r="H937" s="9">
        <v>1265</v>
      </c>
    </row>
    <row r="938" spans="1:8" x14ac:dyDescent="0.2">
      <c r="A938" s="2">
        <v>19</v>
      </c>
      <c r="B938" s="3" t="s">
        <v>930</v>
      </c>
      <c r="C938" s="2">
        <v>1</v>
      </c>
      <c r="D938" s="4">
        <v>6</v>
      </c>
      <c r="E938" s="4">
        <v>5</v>
      </c>
      <c r="F938" s="4">
        <v>4</v>
      </c>
      <c r="G938" s="4">
        <v>15</v>
      </c>
      <c r="H938" s="5">
        <v>825</v>
      </c>
    </row>
    <row r="939" spans="1:8" x14ac:dyDescent="0.2">
      <c r="A939" s="6">
        <v>19</v>
      </c>
      <c r="B939" s="7" t="s">
        <v>931</v>
      </c>
      <c r="C939" s="6">
        <v>179</v>
      </c>
      <c r="D939" s="8">
        <v>6.1</v>
      </c>
      <c r="E939" s="8">
        <v>11.9</v>
      </c>
      <c r="F939" s="8">
        <v>0.8</v>
      </c>
      <c r="G939" s="8">
        <v>18.7</v>
      </c>
      <c r="H939" s="9">
        <v>1028.5</v>
      </c>
    </row>
    <row r="940" spans="1:8" x14ac:dyDescent="0.2">
      <c r="A940" s="2">
        <v>19</v>
      </c>
      <c r="B940" s="3" t="s">
        <v>932</v>
      </c>
      <c r="C940" s="2">
        <v>60</v>
      </c>
      <c r="D940" s="4">
        <v>5</v>
      </c>
      <c r="E940" s="4">
        <v>5.6</v>
      </c>
      <c r="F940" s="4">
        <v>1.6</v>
      </c>
      <c r="G940" s="4">
        <v>12.1</v>
      </c>
      <c r="H940" s="5">
        <v>666.05</v>
      </c>
    </row>
    <row r="941" spans="1:8" x14ac:dyDescent="0.2">
      <c r="A941" s="6">
        <v>19</v>
      </c>
      <c r="B941" s="7" t="s">
        <v>933</v>
      </c>
      <c r="C941" s="6">
        <v>556</v>
      </c>
      <c r="D941" s="8">
        <v>4.0999999999999996</v>
      </c>
      <c r="E941" s="8">
        <v>2.5</v>
      </c>
      <c r="F941" s="8">
        <v>0.6</v>
      </c>
      <c r="G941" s="8">
        <v>7.2</v>
      </c>
      <c r="H941" s="9">
        <v>395.45</v>
      </c>
    </row>
    <row r="942" spans="1:8" x14ac:dyDescent="0.2">
      <c r="A942" s="2">
        <v>19</v>
      </c>
      <c r="B942" s="3" t="s">
        <v>934</v>
      </c>
      <c r="C942" s="2">
        <v>11</v>
      </c>
      <c r="D942" s="4">
        <v>4.0999999999999996</v>
      </c>
      <c r="E942" s="4">
        <v>2.6</v>
      </c>
      <c r="F942" s="4">
        <v>0.8</v>
      </c>
      <c r="G942" s="4">
        <v>7.5</v>
      </c>
      <c r="H942" s="5">
        <v>414.15</v>
      </c>
    </row>
    <row r="943" spans="1:8" x14ac:dyDescent="0.2">
      <c r="A943" s="6">
        <v>19</v>
      </c>
      <c r="B943" s="7" t="s">
        <v>935</v>
      </c>
      <c r="C943" s="6">
        <v>33</v>
      </c>
      <c r="D943" s="8">
        <v>5.7</v>
      </c>
      <c r="E943" s="8">
        <v>4.4000000000000004</v>
      </c>
      <c r="F943" s="8">
        <v>1.2</v>
      </c>
      <c r="G943" s="8">
        <v>11.4</v>
      </c>
      <c r="H943" s="9">
        <v>624.25</v>
      </c>
    </row>
    <row r="944" spans="1:8" x14ac:dyDescent="0.2">
      <c r="A944" s="2">
        <v>19</v>
      </c>
      <c r="B944" s="3" t="s">
        <v>936</v>
      </c>
      <c r="C944" s="2">
        <v>110</v>
      </c>
      <c r="D944" s="4">
        <v>6</v>
      </c>
      <c r="E944" s="4">
        <v>4.0999999999999996</v>
      </c>
      <c r="F944" s="4">
        <v>1.1000000000000001</v>
      </c>
      <c r="G944" s="4">
        <v>11.2</v>
      </c>
      <c r="H944" s="5">
        <v>613.79999999999995</v>
      </c>
    </row>
    <row r="945" spans="1:8" x14ac:dyDescent="0.2">
      <c r="A945" s="6">
        <v>19</v>
      </c>
      <c r="B945" s="7" t="s">
        <v>937</v>
      </c>
      <c r="C945" s="6">
        <v>5</v>
      </c>
      <c r="D945" s="8">
        <v>5</v>
      </c>
      <c r="E945" s="8">
        <v>2.8</v>
      </c>
      <c r="F945" s="8">
        <v>1.8</v>
      </c>
      <c r="G945" s="8">
        <v>9.6</v>
      </c>
      <c r="H945" s="9">
        <v>528</v>
      </c>
    </row>
    <row r="946" spans="1:8" x14ac:dyDescent="0.2">
      <c r="A946" s="2">
        <v>19</v>
      </c>
      <c r="B946" s="3" t="s">
        <v>938</v>
      </c>
      <c r="C946" s="2">
        <v>64</v>
      </c>
      <c r="D946" s="4">
        <v>5.0999999999999996</v>
      </c>
      <c r="E946" s="4">
        <v>3.4</v>
      </c>
      <c r="F946" s="4">
        <v>0.3</v>
      </c>
      <c r="G946" s="4">
        <v>8.8000000000000007</v>
      </c>
      <c r="H946" s="5">
        <v>482.9</v>
      </c>
    </row>
    <row r="947" spans="1:8" x14ac:dyDescent="0.2">
      <c r="A947" s="6">
        <v>19</v>
      </c>
      <c r="B947" s="7" t="s">
        <v>939</v>
      </c>
      <c r="C947" s="6">
        <v>317</v>
      </c>
      <c r="D947" s="8">
        <v>4.5</v>
      </c>
      <c r="E947" s="8">
        <v>2.9</v>
      </c>
      <c r="F947" s="8">
        <v>1.4</v>
      </c>
      <c r="G947" s="8">
        <v>8.8000000000000007</v>
      </c>
      <c r="H947" s="9">
        <v>485.65</v>
      </c>
    </row>
    <row r="948" spans="1:8" x14ac:dyDescent="0.2">
      <c r="A948" s="2">
        <v>19</v>
      </c>
      <c r="B948" s="3" t="s">
        <v>940</v>
      </c>
      <c r="C948" s="2">
        <v>3</v>
      </c>
      <c r="D948" s="4">
        <v>4.7</v>
      </c>
      <c r="E948" s="4">
        <v>3</v>
      </c>
      <c r="F948" s="4">
        <v>2.2999999999999998</v>
      </c>
      <c r="G948" s="4">
        <v>10</v>
      </c>
      <c r="H948" s="5">
        <v>549.45000000000005</v>
      </c>
    </row>
    <row r="949" spans="1:8" x14ac:dyDescent="0.2">
      <c r="A949" s="6">
        <v>19</v>
      </c>
      <c r="B949" s="7" t="s">
        <v>941</v>
      </c>
      <c r="C949" s="6">
        <v>1106</v>
      </c>
      <c r="D949" s="8">
        <v>5.9</v>
      </c>
      <c r="E949" s="8">
        <v>4</v>
      </c>
      <c r="F949" s="8">
        <v>1.2</v>
      </c>
      <c r="G949" s="8">
        <v>11.1</v>
      </c>
      <c r="H949" s="9">
        <v>609.4</v>
      </c>
    </row>
    <row r="950" spans="1:8" x14ac:dyDescent="0.2">
      <c r="A950" s="2">
        <v>19</v>
      </c>
      <c r="B950" s="3" t="s">
        <v>942</v>
      </c>
      <c r="C950" s="2">
        <v>14</v>
      </c>
      <c r="D950" s="4">
        <v>4.8</v>
      </c>
      <c r="E950" s="4">
        <v>4.5999999999999996</v>
      </c>
      <c r="F950" s="4">
        <v>0.2</v>
      </c>
      <c r="G950" s="4">
        <v>9.6</v>
      </c>
      <c r="H950" s="5">
        <v>529.65</v>
      </c>
    </row>
    <row r="951" spans="1:8" x14ac:dyDescent="0.2">
      <c r="A951" s="6">
        <v>19</v>
      </c>
      <c r="B951" s="7" t="s">
        <v>943</v>
      </c>
      <c r="C951" s="6">
        <v>75</v>
      </c>
      <c r="D951" s="8">
        <v>4.7</v>
      </c>
      <c r="E951" s="8">
        <v>3.9</v>
      </c>
      <c r="F951" s="8">
        <v>0.7</v>
      </c>
      <c r="G951" s="8">
        <v>9.3000000000000007</v>
      </c>
      <c r="H951" s="9">
        <v>508.75</v>
      </c>
    </row>
    <row r="952" spans="1:8" x14ac:dyDescent="0.2">
      <c r="A952" s="2">
        <v>19</v>
      </c>
      <c r="B952" s="3" t="s">
        <v>944</v>
      </c>
      <c r="C952" s="2">
        <v>0</v>
      </c>
      <c r="D952" s="4">
        <v>0</v>
      </c>
      <c r="E952" s="4">
        <v>0</v>
      </c>
      <c r="F952" s="4">
        <v>0</v>
      </c>
      <c r="G952" s="4">
        <v>0</v>
      </c>
      <c r="H952" s="5">
        <v>0</v>
      </c>
    </row>
    <row r="953" spans="1:8" x14ac:dyDescent="0.2">
      <c r="A953" s="6">
        <v>19</v>
      </c>
      <c r="B953" s="7" t="s">
        <v>945</v>
      </c>
      <c r="C953" s="6">
        <v>43</v>
      </c>
      <c r="D953" s="8">
        <v>5.6</v>
      </c>
      <c r="E953" s="8">
        <v>6.3</v>
      </c>
      <c r="F953" s="8">
        <v>0.5</v>
      </c>
      <c r="G953" s="8">
        <v>12.3</v>
      </c>
      <c r="H953" s="9">
        <v>678.7</v>
      </c>
    </row>
    <row r="954" spans="1:8" x14ac:dyDescent="0.2">
      <c r="A954" s="2">
        <v>19</v>
      </c>
      <c r="B954" s="3" t="s">
        <v>946</v>
      </c>
      <c r="C954" s="2">
        <v>8</v>
      </c>
      <c r="D954" s="4">
        <v>3</v>
      </c>
      <c r="E954" s="4">
        <v>4.5999999999999996</v>
      </c>
      <c r="F954" s="4">
        <v>0.4</v>
      </c>
      <c r="G954" s="4">
        <v>8</v>
      </c>
      <c r="H954" s="5">
        <v>442.2</v>
      </c>
    </row>
    <row r="955" spans="1:8" x14ac:dyDescent="0.2">
      <c r="A955" s="6">
        <v>19</v>
      </c>
      <c r="B955" s="7" t="s">
        <v>947</v>
      </c>
      <c r="C955" s="6">
        <v>1</v>
      </c>
      <c r="D955" s="8">
        <v>5</v>
      </c>
      <c r="E955" s="8">
        <v>3</v>
      </c>
      <c r="F955" s="8">
        <v>0</v>
      </c>
      <c r="G955" s="8">
        <v>8</v>
      </c>
      <c r="H955" s="9">
        <v>440</v>
      </c>
    </row>
    <row r="956" spans="1:8" x14ac:dyDescent="0.2">
      <c r="A956" s="2">
        <v>19</v>
      </c>
      <c r="B956" s="3" t="s">
        <v>948</v>
      </c>
      <c r="C956" s="2">
        <v>557</v>
      </c>
      <c r="D956" s="4">
        <v>4.5999999999999996</v>
      </c>
      <c r="E956" s="4">
        <v>3.6</v>
      </c>
      <c r="F956" s="4">
        <v>0.6</v>
      </c>
      <c r="G956" s="4">
        <v>8.8000000000000007</v>
      </c>
      <c r="H956" s="5">
        <v>481.25</v>
      </c>
    </row>
    <row r="957" spans="1:8" x14ac:dyDescent="0.2">
      <c r="A957" s="6">
        <v>19</v>
      </c>
      <c r="B957" s="7" t="s">
        <v>949</v>
      </c>
      <c r="C957" s="6">
        <v>2</v>
      </c>
      <c r="D957" s="8">
        <v>5</v>
      </c>
      <c r="E957" s="8">
        <v>3.5</v>
      </c>
      <c r="F957" s="8">
        <v>0</v>
      </c>
      <c r="G957" s="8">
        <v>8.5</v>
      </c>
      <c r="H957" s="9">
        <v>467.5</v>
      </c>
    </row>
    <row r="958" spans="1:8" x14ac:dyDescent="0.2">
      <c r="A958" s="2">
        <v>19</v>
      </c>
      <c r="B958" s="3" t="s">
        <v>950</v>
      </c>
      <c r="C958" s="2">
        <v>8</v>
      </c>
      <c r="D958" s="4">
        <v>4</v>
      </c>
      <c r="E958" s="4">
        <v>4.3</v>
      </c>
      <c r="F958" s="4">
        <v>0.5</v>
      </c>
      <c r="G958" s="4">
        <v>8.8000000000000007</v>
      </c>
      <c r="H958" s="5">
        <v>481.25</v>
      </c>
    </row>
    <row r="959" spans="1:8" x14ac:dyDescent="0.2">
      <c r="A959" s="6">
        <v>19</v>
      </c>
      <c r="B959" s="7" t="s">
        <v>951</v>
      </c>
      <c r="C959" s="6">
        <v>0</v>
      </c>
      <c r="D959" s="8">
        <v>0</v>
      </c>
      <c r="E959" s="8">
        <v>0</v>
      </c>
      <c r="F959" s="8">
        <v>0</v>
      </c>
      <c r="G959" s="8">
        <v>0</v>
      </c>
      <c r="H959" s="9">
        <v>0</v>
      </c>
    </row>
    <row r="960" spans="1:8" x14ac:dyDescent="0.2">
      <c r="A960" s="2">
        <v>19</v>
      </c>
      <c r="B960" s="3" t="s">
        <v>952</v>
      </c>
      <c r="C960" s="2">
        <v>1</v>
      </c>
      <c r="D960" s="4">
        <v>9</v>
      </c>
      <c r="E960" s="4">
        <v>9</v>
      </c>
      <c r="F960" s="4">
        <v>1</v>
      </c>
      <c r="G960" s="4">
        <v>19</v>
      </c>
      <c r="H960" s="5">
        <v>1045</v>
      </c>
    </row>
    <row r="961" spans="1:8" x14ac:dyDescent="0.2">
      <c r="A961" s="6">
        <v>19</v>
      </c>
      <c r="B961" s="7" t="s">
        <v>953</v>
      </c>
      <c r="C961" s="6">
        <v>21</v>
      </c>
      <c r="D961" s="8">
        <v>4.8</v>
      </c>
      <c r="E961" s="8">
        <v>4.4000000000000004</v>
      </c>
      <c r="F961" s="8">
        <v>0.9</v>
      </c>
      <c r="G961" s="8">
        <v>10</v>
      </c>
      <c r="H961" s="9">
        <v>552.20000000000005</v>
      </c>
    </row>
    <row r="962" spans="1:8" x14ac:dyDescent="0.2">
      <c r="A962" s="2">
        <v>19</v>
      </c>
      <c r="B962" s="3" t="s">
        <v>954</v>
      </c>
      <c r="C962" s="2">
        <v>44</v>
      </c>
      <c r="D962" s="4">
        <v>4.7</v>
      </c>
      <c r="E962" s="4">
        <v>4.2</v>
      </c>
      <c r="F962" s="4">
        <v>0.7</v>
      </c>
      <c r="G962" s="4">
        <v>9.6</v>
      </c>
      <c r="H962" s="5">
        <v>525.25</v>
      </c>
    </row>
    <row r="963" spans="1:8" x14ac:dyDescent="0.2">
      <c r="A963" s="6">
        <v>19</v>
      </c>
      <c r="B963" s="7" t="s">
        <v>955</v>
      </c>
      <c r="C963" s="6">
        <v>23</v>
      </c>
      <c r="D963" s="8">
        <v>5.3</v>
      </c>
      <c r="E963" s="8">
        <v>6.7</v>
      </c>
      <c r="F963" s="8">
        <v>0.9</v>
      </c>
      <c r="G963" s="8">
        <v>13</v>
      </c>
      <c r="H963" s="9">
        <v>713.9</v>
      </c>
    </row>
    <row r="964" spans="1:8" x14ac:dyDescent="0.2">
      <c r="A964" s="2">
        <v>19</v>
      </c>
      <c r="B964" s="3" t="s">
        <v>956</v>
      </c>
      <c r="C964" s="2">
        <v>10</v>
      </c>
      <c r="D964" s="4">
        <v>4.3</v>
      </c>
      <c r="E964" s="4">
        <v>2.5</v>
      </c>
      <c r="F964" s="4">
        <v>1.4</v>
      </c>
      <c r="G964" s="4">
        <v>8.1999999999999993</v>
      </c>
      <c r="H964" s="5">
        <v>451</v>
      </c>
    </row>
    <row r="965" spans="1:8" x14ac:dyDescent="0.2">
      <c r="A965" s="6">
        <v>19</v>
      </c>
      <c r="B965" s="7" t="s">
        <v>957</v>
      </c>
      <c r="C965" s="6">
        <v>1</v>
      </c>
      <c r="D965" s="8">
        <v>0</v>
      </c>
      <c r="E965" s="8">
        <v>1</v>
      </c>
      <c r="F965" s="8">
        <v>0</v>
      </c>
      <c r="G965" s="8">
        <v>1</v>
      </c>
      <c r="H965" s="9">
        <v>55</v>
      </c>
    </row>
    <row r="966" spans="1:8" x14ac:dyDescent="0.2">
      <c r="A966" s="2">
        <v>19</v>
      </c>
      <c r="B966" s="3" t="s">
        <v>958</v>
      </c>
      <c r="C966" s="2">
        <v>11</v>
      </c>
      <c r="D966" s="4">
        <v>5.2</v>
      </c>
      <c r="E966" s="4">
        <v>5.6</v>
      </c>
      <c r="F966" s="4">
        <v>0.3</v>
      </c>
      <c r="G966" s="4">
        <v>11.1</v>
      </c>
      <c r="H966" s="5">
        <v>609.4</v>
      </c>
    </row>
    <row r="967" spans="1:8" x14ac:dyDescent="0.2">
      <c r="A967" s="6">
        <v>19</v>
      </c>
      <c r="B967" s="7" t="s">
        <v>959</v>
      </c>
      <c r="C967" s="6">
        <v>6</v>
      </c>
      <c r="D967" s="8">
        <v>4.3</v>
      </c>
      <c r="E967" s="8">
        <v>2.7</v>
      </c>
      <c r="F967" s="8">
        <v>0</v>
      </c>
      <c r="G967" s="8">
        <v>7</v>
      </c>
      <c r="H967" s="9">
        <v>385</v>
      </c>
    </row>
    <row r="968" spans="1:8" x14ac:dyDescent="0.2">
      <c r="A968" s="2">
        <v>19</v>
      </c>
      <c r="B968" s="3" t="s">
        <v>960</v>
      </c>
      <c r="C968" s="2">
        <v>63</v>
      </c>
      <c r="D968" s="4">
        <v>6</v>
      </c>
      <c r="E968" s="4">
        <v>6.3</v>
      </c>
      <c r="F968" s="4">
        <v>0.5</v>
      </c>
      <c r="G968" s="4">
        <v>12.8</v>
      </c>
      <c r="H968" s="5">
        <v>704.55</v>
      </c>
    </row>
    <row r="969" spans="1:8" x14ac:dyDescent="0.2">
      <c r="A969" s="6">
        <v>19</v>
      </c>
      <c r="B969" s="7" t="s">
        <v>961</v>
      </c>
      <c r="C969" s="6">
        <v>288</v>
      </c>
      <c r="D969" s="8">
        <v>4</v>
      </c>
      <c r="E969" s="8">
        <v>5.7</v>
      </c>
      <c r="F969" s="8">
        <v>0.9</v>
      </c>
      <c r="G969" s="8">
        <v>10.6</v>
      </c>
      <c r="H969" s="9">
        <v>581.35</v>
      </c>
    </row>
    <row r="970" spans="1:8" x14ac:dyDescent="0.2">
      <c r="A970" s="2">
        <v>19</v>
      </c>
      <c r="B970" s="3" t="s">
        <v>962</v>
      </c>
      <c r="C970" s="2">
        <v>26</v>
      </c>
      <c r="D970" s="4">
        <v>2.4</v>
      </c>
      <c r="E970" s="4">
        <v>2.1</v>
      </c>
      <c r="F970" s="4">
        <v>0</v>
      </c>
      <c r="G970" s="4">
        <v>4.5</v>
      </c>
      <c r="H970" s="5">
        <v>248.6</v>
      </c>
    </row>
    <row r="971" spans="1:8" x14ac:dyDescent="0.2">
      <c r="A971" s="6">
        <v>19</v>
      </c>
      <c r="B971" s="7" t="s">
        <v>963</v>
      </c>
      <c r="C971" s="6">
        <v>56</v>
      </c>
      <c r="D971" s="8">
        <v>4.7</v>
      </c>
      <c r="E971" s="8">
        <v>10.5</v>
      </c>
      <c r="F971" s="8">
        <v>0.2</v>
      </c>
      <c r="G971" s="8">
        <v>15.3</v>
      </c>
      <c r="H971" s="9">
        <v>843.7</v>
      </c>
    </row>
    <row r="972" spans="1:8" x14ac:dyDescent="0.2">
      <c r="A972" s="2">
        <v>19</v>
      </c>
      <c r="B972" s="3" t="s">
        <v>964</v>
      </c>
      <c r="C972" s="2">
        <v>14</v>
      </c>
      <c r="D972" s="4">
        <v>4</v>
      </c>
      <c r="E972" s="4">
        <v>1.4</v>
      </c>
      <c r="F972" s="4">
        <v>0.1</v>
      </c>
      <c r="G972" s="4">
        <v>5.5</v>
      </c>
      <c r="H972" s="5">
        <v>301.95</v>
      </c>
    </row>
    <row r="973" spans="1:8" x14ac:dyDescent="0.2">
      <c r="A973" s="6">
        <v>19</v>
      </c>
      <c r="B973" s="7" t="s">
        <v>965</v>
      </c>
      <c r="C973" s="6">
        <v>14</v>
      </c>
      <c r="D973" s="8">
        <v>4.8</v>
      </c>
      <c r="E973" s="8">
        <v>6</v>
      </c>
      <c r="F973" s="8">
        <v>0.6</v>
      </c>
      <c r="G973" s="8">
        <v>11.4</v>
      </c>
      <c r="H973" s="9">
        <v>624.25</v>
      </c>
    </row>
    <row r="974" spans="1:8" x14ac:dyDescent="0.2">
      <c r="A974" s="2">
        <v>19</v>
      </c>
      <c r="B974" s="3" t="s">
        <v>966</v>
      </c>
      <c r="C974" s="2">
        <v>515</v>
      </c>
      <c r="D974" s="4">
        <v>3.9</v>
      </c>
      <c r="E974" s="4">
        <v>4</v>
      </c>
      <c r="F974" s="4">
        <v>0.8</v>
      </c>
      <c r="G974" s="4">
        <v>8.6999999999999993</v>
      </c>
      <c r="H974" s="5">
        <v>477.95</v>
      </c>
    </row>
    <row r="975" spans="1:8" x14ac:dyDescent="0.2">
      <c r="A975" s="6">
        <v>19</v>
      </c>
      <c r="B975" s="7" t="s">
        <v>967</v>
      </c>
      <c r="C975" s="6">
        <v>68</v>
      </c>
      <c r="D975" s="8">
        <v>3.6</v>
      </c>
      <c r="E975" s="8">
        <v>3.7</v>
      </c>
      <c r="F975" s="8">
        <v>0.5</v>
      </c>
      <c r="G975" s="8">
        <v>7.8</v>
      </c>
      <c r="H975" s="9">
        <v>427.35</v>
      </c>
    </row>
    <row r="976" spans="1:8" x14ac:dyDescent="0.2">
      <c r="A976" s="2">
        <v>19</v>
      </c>
      <c r="B976" s="3" t="s">
        <v>968</v>
      </c>
      <c r="C976" s="2">
        <v>57</v>
      </c>
      <c r="D976" s="4">
        <v>3.2</v>
      </c>
      <c r="E976" s="4">
        <v>3.8</v>
      </c>
      <c r="F976" s="4">
        <v>0.6</v>
      </c>
      <c r="G976" s="4">
        <v>7.7</v>
      </c>
      <c r="H976" s="5">
        <v>421.3</v>
      </c>
    </row>
    <row r="977" spans="1:8" x14ac:dyDescent="0.2">
      <c r="A977" s="6">
        <v>19</v>
      </c>
      <c r="B977" s="7" t="s">
        <v>969</v>
      </c>
      <c r="C977" s="6">
        <v>1</v>
      </c>
      <c r="D977" s="8">
        <v>4</v>
      </c>
      <c r="E977" s="8">
        <v>5</v>
      </c>
      <c r="F977" s="8">
        <v>1</v>
      </c>
      <c r="G977" s="8">
        <v>10</v>
      </c>
      <c r="H977" s="9">
        <v>550</v>
      </c>
    </row>
    <row r="978" spans="1:8" x14ac:dyDescent="0.2">
      <c r="A978" s="2">
        <v>19</v>
      </c>
      <c r="B978" s="3" t="s">
        <v>970</v>
      </c>
      <c r="C978" s="2">
        <v>0</v>
      </c>
      <c r="D978" s="4">
        <v>0</v>
      </c>
      <c r="E978" s="4">
        <v>0</v>
      </c>
      <c r="F978" s="4">
        <v>0</v>
      </c>
      <c r="G978" s="4">
        <v>0</v>
      </c>
      <c r="H978" s="5">
        <v>0</v>
      </c>
    </row>
    <row r="979" spans="1:8" x14ac:dyDescent="0.2">
      <c r="A979" s="6">
        <v>19</v>
      </c>
      <c r="B979" s="7" t="s">
        <v>971</v>
      </c>
      <c r="C979" s="6">
        <v>27</v>
      </c>
      <c r="D979" s="8">
        <v>1.2</v>
      </c>
      <c r="E979" s="8">
        <v>0.6</v>
      </c>
      <c r="F979" s="8">
        <v>0.6</v>
      </c>
      <c r="G979" s="8">
        <v>2.5</v>
      </c>
      <c r="H979" s="9">
        <v>135.30000000000001</v>
      </c>
    </row>
    <row r="980" spans="1:8" x14ac:dyDescent="0.2">
      <c r="A980" s="2">
        <v>19</v>
      </c>
      <c r="B980" s="3" t="s">
        <v>972</v>
      </c>
      <c r="C980" s="2">
        <v>35</v>
      </c>
      <c r="D980" s="4">
        <v>2.2000000000000002</v>
      </c>
      <c r="E980" s="4">
        <v>1</v>
      </c>
      <c r="F980" s="4">
        <v>0.6</v>
      </c>
      <c r="G980" s="4">
        <v>3.8</v>
      </c>
      <c r="H980" s="5">
        <v>207.35</v>
      </c>
    </row>
    <row r="981" spans="1:8" x14ac:dyDescent="0.2">
      <c r="A981" s="6">
        <v>19</v>
      </c>
      <c r="B981" s="7" t="s">
        <v>973</v>
      </c>
      <c r="C981" s="6">
        <v>1</v>
      </c>
      <c r="D981" s="8">
        <v>0</v>
      </c>
      <c r="E981" s="8">
        <v>0</v>
      </c>
      <c r="F981" s="8">
        <v>0</v>
      </c>
      <c r="G981" s="8">
        <v>0</v>
      </c>
      <c r="H981" s="9">
        <v>0</v>
      </c>
    </row>
    <row r="982" spans="1:8" x14ac:dyDescent="0.2">
      <c r="A982" s="2">
        <v>19</v>
      </c>
      <c r="B982" s="3" t="s">
        <v>974</v>
      </c>
      <c r="C982" s="2">
        <v>0</v>
      </c>
      <c r="D982" s="4">
        <v>0</v>
      </c>
      <c r="E982" s="4">
        <v>0</v>
      </c>
      <c r="F982" s="4">
        <v>0</v>
      </c>
      <c r="G982" s="4">
        <v>0</v>
      </c>
      <c r="H982" s="5">
        <v>0</v>
      </c>
    </row>
  </sheetData>
  <autoFilter ref="A1:H982" xr:uid="{00000000-0009-0000-0000-000000000000}"/>
  <pageMargins left="0.75" right="0.75" top="1" bottom="1" header="0.5" footer="0.5"/>
  <pageSetup fitToHeight="0" orientation="landscape"/>
  <headerFooter>
    <oddFooter>&amp;CAnaesthesia Associates – Operation Listing&amp;RPage &amp;P of &amp;N</oddFooter>
  </headerFooter>
</worksheet>
</file>

<file path=docMetadata/LabelInfo.xml><?xml version="1.0" encoding="utf-8"?>
<clbl:labelList xmlns:clbl="http://schemas.microsoft.com/office/2020/mipLabelMetadata">
  <clbl:label id="{f380cbde-ab2d-487c-9300-9c05637360d5}" enabled="1" method="Privileged" siteId="{5265a077-601f-4313-b5e9-946c239ec81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Info</vt:lpstr>
      <vt:lpstr>Master Fee List</vt:lpstr>
      <vt:lpstr>RVG Codes</vt:lpstr>
      <vt:lpstr>Solusions+ Operations List</vt:lpstr>
      <vt:lpstr>GST_Rate</vt:lpstr>
      <vt:lpstr>'Solusions+ Operations 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Anaesthesia Associates Operation Listing</dc:title>
  <dc:subject>Extracted operation listing data from scanned report</dc:subject>
  <dc:creator>OpenAI</dc:creator>
  <cp:lastModifiedBy>Donald Fraser</cp:lastModifiedBy>
  <dcterms:created xsi:type="dcterms:W3CDTF">2026-09-27T20:01:26Z</dcterms:created>
  <dcterms:modified xsi:type="dcterms:W3CDTF">2026-09-27T21:34:44Z</dcterms:modified>
</cp:coreProperties>
</file>