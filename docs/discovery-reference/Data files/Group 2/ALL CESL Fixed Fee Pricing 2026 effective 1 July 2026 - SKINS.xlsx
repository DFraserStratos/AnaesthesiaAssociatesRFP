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S:\Accounts\Xero Invoices\"/>
    </mc:Choice>
  </mc:AlternateContent>
  <xr:revisionPtr revIDLastSave="0" documentId="14_{F702A25C-4535-4C80-A79B-3493EC2F4E32}" xr6:coauthVersionLast="47" xr6:coauthVersionMax="47" xr10:uidLastSave="{00000000-0000-0000-0000-000000000000}"/>
  <bookViews>
    <workbookView xWindow="-120" yWindow="-120" windowWidth="51840" windowHeight="21120" tabRatio="726" activeTab="6" xr2:uid="{00000000-000D-0000-FFFF-FFFF00000000}"/>
  </bookViews>
  <sheets>
    <sheet name="ALL FIXED FEES 2026-2027" sheetId="16" r:id="rId1"/>
    <sheet name="HNZ ALL 1 JULY 2026" sheetId="20" r:id="rId2"/>
    <sheet name="Sheet1" sheetId="23" r:id="rId3"/>
    <sheet name="Theatre Fee Schedule 1 April 26" sheetId="13" r:id="rId4"/>
    <sheet name="SX CAT and VR Fees 1 March 2026" sheetId="1" r:id="rId5"/>
    <sheet name="MIGS 1 April 2026 updated  " sheetId="19" r:id="rId6"/>
    <sheet name="SX SKIN LESIONS 1 April 26 " sheetId="18" r:id="rId7"/>
    <sheet name="SX LIDS 1 March 26  " sheetId="12" r:id="rId8"/>
    <sheet name="ALL ACC FEES 1 July 2026" sheetId="22" r:id="rId9"/>
    <sheet name="ALL FIXED FEES archived 2025" sheetId="21" r:id="rId10"/>
  </sheets>
  <definedNames>
    <definedName name="_xlnm.Print_Area" localSheetId="5">'MIGS 1 April 2026 updated  '!$A$1:$S$30</definedName>
    <definedName name="_xlnm.Print_Area" localSheetId="4">'SX CAT and VR Fees 1 March 2026'!$A$1:$X$42</definedName>
    <definedName name="_xlnm.Print_Area" localSheetId="6">'SX SKIN LESIONS 1 April 26 '!$A$1:$T$29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 i="20" l="1"/>
  <c r="S9" i="18"/>
  <c r="O11" i="20"/>
  <c r="I11" i="20"/>
  <c r="I13" i="20"/>
  <c r="I14" i="20"/>
  <c r="O12" i="20"/>
  <c r="I12" i="20"/>
  <c r="M11" i="22"/>
  <c r="I128" i="20"/>
  <c r="S17" i="18"/>
  <c r="M12" i="16"/>
  <c r="L12" i="16"/>
  <c r="M11" i="16"/>
  <c r="M9" i="16"/>
  <c r="M8" i="16"/>
  <c r="N127" i="20"/>
  <c r="H127" i="20"/>
  <c r="N126" i="20"/>
  <c r="H126" i="20"/>
  <c r="N125" i="20"/>
  <c r="H125" i="20"/>
  <c r="N124" i="20"/>
  <c r="H124" i="20"/>
  <c r="N123" i="20"/>
  <c r="H123" i="20"/>
  <c r="N122" i="20"/>
  <c r="H122" i="20"/>
  <c r="N121" i="20"/>
  <c r="H121" i="20"/>
  <c r="N120" i="20"/>
  <c r="H120" i="20"/>
  <c r="N119" i="20"/>
  <c r="H119" i="20"/>
  <c r="N118" i="20"/>
  <c r="H118" i="20"/>
  <c r="N117" i="20"/>
  <c r="H117" i="20"/>
  <c r="N116" i="20"/>
  <c r="H116" i="20"/>
  <c r="N115" i="20"/>
  <c r="H115" i="20"/>
  <c r="N114" i="20"/>
  <c r="H114" i="20"/>
  <c r="N113" i="20"/>
  <c r="H113" i="20"/>
  <c r="N112" i="20"/>
  <c r="H112" i="20"/>
  <c r="N111" i="20"/>
  <c r="H111" i="20"/>
  <c r="N110" i="20"/>
  <c r="H110" i="20"/>
  <c r="N109" i="20"/>
  <c r="H109" i="20"/>
  <c r="N108" i="20"/>
  <c r="H108" i="20"/>
  <c r="N107" i="20"/>
  <c r="H107" i="20"/>
  <c r="N106" i="20"/>
  <c r="H106" i="20"/>
  <c r="N105" i="20"/>
  <c r="H105" i="20"/>
  <c r="N104" i="20"/>
  <c r="H104" i="20"/>
  <c r="N103" i="20"/>
  <c r="H103" i="20"/>
  <c r="N102" i="20"/>
  <c r="H102" i="20"/>
  <c r="N101" i="20"/>
  <c r="H101" i="20"/>
  <c r="N100" i="20"/>
  <c r="H100" i="20"/>
  <c r="N99" i="20"/>
  <c r="H99" i="20"/>
  <c r="O91" i="20"/>
  <c r="I91" i="20"/>
  <c r="O90" i="20"/>
  <c r="I90" i="20"/>
  <c r="O89" i="20"/>
  <c r="I89" i="20"/>
  <c r="O88" i="20"/>
  <c r="I88" i="20"/>
  <c r="O87" i="20"/>
  <c r="I87" i="20"/>
  <c r="O86" i="20"/>
  <c r="I86" i="20"/>
  <c r="O85" i="20"/>
  <c r="I85" i="20"/>
  <c r="O84" i="20"/>
  <c r="I84" i="20"/>
  <c r="O83" i="20"/>
  <c r="I83" i="20"/>
  <c r="O81" i="20"/>
  <c r="I81" i="20"/>
  <c r="O80" i="20"/>
  <c r="I80" i="20"/>
  <c r="O79" i="20"/>
  <c r="I79" i="20"/>
  <c r="O78" i="20"/>
  <c r="I78" i="20"/>
  <c r="O77" i="20"/>
  <c r="I77" i="20"/>
  <c r="O76" i="20"/>
  <c r="I76" i="20"/>
  <c r="O75" i="20"/>
  <c r="I75" i="20"/>
  <c r="O74" i="20"/>
  <c r="I74" i="20"/>
  <c r="O73" i="20"/>
  <c r="I73" i="20"/>
  <c r="O72" i="20"/>
  <c r="I72" i="20"/>
  <c r="O71" i="20"/>
  <c r="I71" i="20"/>
  <c r="O70" i="20"/>
  <c r="I70" i="20"/>
  <c r="O69" i="20"/>
  <c r="I69" i="20"/>
  <c r="O68" i="20"/>
  <c r="I68" i="20"/>
  <c r="O67" i="20"/>
  <c r="I67" i="20"/>
  <c r="O66" i="20"/>
  <c r="I66" i="20"/>
  <c r="O65" i="20"/>
  <c r="I65" i="20"/>
  <c r="O64" i="20"/>
  <c r="I64" i="20"/>
  <c r="O63" i="20"/>
  <c r="I63" i="20"/>
  <c r="O62" i="20"/>
  <c r="I62" i="20"/>
  <c r="O61" i="20"/>
  <c r="I61" i="20"/>
  <c r="O60" i="20"/>
  <c r="I60" i="20"/>
  <c r="O59" i="20"/>
  <c r="I59" i="20"/>
  <c r="O58" i="20"/>
  <c r="I58" i="20"/>
  <c r="O57" i="20"/>
  <c r="I57" i="20"/>
  <c r="O56" i="20"/>
  <c r="I56" i="20"/>
  <c r="O55" i="20"/>
  <c r="I55" i="20"/>
  <c r="O54" i="20"/>
  <c r="I54" i="20"/>
  <c r="O53" i="20"/>
  <c r="I53" i="20"/>
  <c r="O52" i="20"/>
  <c r="I52" i="20"/>
  <c r="O51" i="20"/>
  <c r="I51" i="20"/>
  <c r="O50" i="20"/>
  <c r="I50" i="20"/>
  <c r="O49" i="20"/>
  <c r="I49" i="20"/>
  <c r="O48" i="20"/>
  <c r="I48" i="20"/>
  <c r="O47" i="20"/>
  <c r="I47" i="20"/>
  <c r="O46" i="20"/>
  <c r="I46" i="20"/>
  <c r="O45" i="20"/>
  <c r="I45" i="20"/>
  <c r="O44" i="20"/>
  <c r="I44" i="20"/>
  <c r="O43" i="20"/>
  <c r="I43" i="20"/>
  <c r="O42" i="20"/>
  <c r="I42" i="20"/>
  <c r="O41" i="20"/>
  <c r="I41" i="20"/>
  <c r="O40" i="20"/>
  <c r="I40" i="20"/>
  <c r="O39" i="20"/>
  <c r="I39" i="20"/>
  <c r="O38" i="20"/>
  <c r="I38" i="20"/>
  <c r="O37" i="20"/>
  <c r="I37" i="20"/>
  <c r="O36" i="20"/>
  <c r="I36" i="20"/>
  <c r="O35" i="20"/>
  <c r="I35" i="20"/>
  <c r="O34" i="20"/>
  <c r="I34" i="20"/>
  <c r="O33" i="20"/>
  <c r="I33" i="20"/>
  <c r="O32" i="20"/>
  <c r="I32" i="20"/>
  <c r="O31" i="20"/>
  <c r="I31" i="20"/>
  <c r="O30" i="20"/>
  <c r="I30" i="20"/>
  <c r="O29" i="20"/>
  <c r="I29" i="20"/>
  <c r="O28" i="20"/>
  <c r="I28" i="20"/>
  <c r="O27" i="20"/>
  <c r="I27" i="20"/>
  <c r="O26" i="20"/>
  <c r="I26" i="20"/>
  <c r="O25" i="20"/>
  <c r="I25" i="20"/>
  <c r="O24" i="20"/>
  <c r="I24" i="20"/>
  <c r="O23" i="20"/>
  <c r="I23" i="20"/>
  <c r="O22" i="20"/>
  <c r="I22" i="20"/>
  <c r="O21" i="20"/>
  <c r="I21" i="20"/>
  <c r="O20" i="20"/>
  <c r="I20" i="20"/>
  <c r="O19" i="20"/>
  <c r="I19" i="20"/>
  <c r="O18" i="20"/>
  <c r="I18" i="20"/>
  <c r="O17" i="20"/>
  <c r="I17" i="20"/>
  <c r="O16" i="20"/>
  <c r="I16" i="20"/>
  <c r="O15" i="20"/>
  <c r="I15" i="20"/>
  <c r="O10" i="20"/>
  <c r="I10" i="20"/>
  <c r="O9" i="20"/>
  <c r="I9" i="20"/>
  <c r="M44" i="16"/>
  <c r="S11" i="18"/>
  <c r="M3" i="18"/>
  <c r="S4" i="18"/>
  <c r="S3" i="18"/>
  <c r="S25" i="18"/>
  <c r="S24" i="18"/>
  <c r="S23" i="18"/>
  <c r="S22" i="18"/>
  <c r="S15" i="18"/>
  <c r="S13" i="18"/>
  <c r="S14" i="18"/>
  <c r="S18" i="18"/>
  <c r="S16" i="18"/>
  <c r="S12" i="18"/>
  <c r="S10" i="18"/>
  <c r="S8" i="18"/>
  <c r="S7" i="18"/>
  <c r="S6" i="18"/>
  <c r="S5" i="18"/>
  <c r="H8" i="18"/>
  <c r="H3" i="18"/>
  <c r="H16" i="18"/>
  <c r="H13" i="18"/>
  <c r="H12" i="18"/>
  <c r="H10" i="18"/>
  <c r="H9" i="18"/>
  <c r="H7" i="18"/>
  <c r="L5" i="22"/>
  <c r="N5" i="22"/>
  <c r="N4" i="22"/>
  <c r="W4" i="22"/>
  <c r="P31" i="22"/>
  <c r="P30" i="22"/>
  <c r="W29" i="22"/>
  <c r="Q29" i="22"/>
  <c r="P29" i="22"/>
  <c r="K29" i="22"/>
  <c r="J29" i="22"/>
  <c r="H29" i="22"/>
  <c r="C29" i="22"/>
  <c r="W28" i="22"/>
  <c r="Q28" i="22"/>
  <c r="P28" i="22"/>
  <c r="K28" i="22"/>
  <c r="J28" i="22"/>
  <c r="H28" i="22"/>
  <c r="C28" i="22"/>
  <c r="W27" i="22"/>
  <c r="Q27" i="22"/>
  <c r="P27" i="22"/>
  <c r="K27" i="22"/>
  <c r="J27" i="22"/>
  <c r="H27" i="22"/>
  <c r="C27" i="22"/>
  <c r="W26" i="22"/>
  <c r="Q26" i="22"/>
  <c r="P26" i="22"/>
  <c r="K26" i="22"/>
  <c r="J26" i="22"/>
  <c r="H26" i="22"/>
  <c r="C26" i="22"/>
  <c r="W25" i="22"/>
  <c r="Q25" i="22"/>
  <c r="P25" i="22"/>
  <c r="K25" i="22"/>
  <c r="J25" i="22"/>
  <c r="H25" i="22"/>
  <c r="C25" i="22"/>
  <c r="W24" i="22"/>
  <c r="Q24" i="22"/>
  <c r="P24" i="22"/>
  <c r="K24" i="22"/>
  <c r="J24" i="22"/>
  <c r="H24" i="22"/>
  <c r="C24" i="22"/>
  <c r="W23" i="22"/>
  <c r="Q23" i="22"/>
  <c r="P23" i="22"/>
  <c r="K23" i="22"/>
  <c r="J23" i="22"/>
  <c r="H23" i="22"/>
  <c r="C23" i="22"/>
  <c r="W22" i="22"/>
  <c r="Q22" i="22"/>
  <c r="P22" i="22"/>
  <c r="K22" i="22"/>
  <c r="J22" i="22"/>
  <c r="H22" i="22"/>
  <c r="C22" i="22"/>
  <c r="W21" i="22"/>
  <c r="Q21" i="22"/>
  <c r="P21" i="22"/>
  <c r="K21" i="22"/>
  <c r="J21" i="22"/>
  <c r="H21" i="22"/>
  <c r="C21" i="22"/>
  <c r="W20" i="22"/>
  <c r="Q20" i="22"/>
  <c r="P20" i="22"/>
  <c r="K20" i="22"/>
  <c r="J20" i="22"/>
  <c r="H20" i="22"/>
  <c r="C20" i="22"/>
  <c r="W19" i="22"/>
  <c r="Q19" i="22"/>
  <c r="P19" i="22"/>
  <c r="K19" i="22"/>
  <c r="J19" i="22"/>
  <c r="H19" i="22"/>
  <c r="C19" i="22"/>
  <c r="W18" i="22"/>
  <c r="Q18" i="22"/>
  <c r="P18" i="22"/>
  <c r="K18" i="22"/>
  <c r="J18" i="22"/>
  <c r="H18" i="22"/>
  <c r="C18" i="22"/>
  <c r="W17" i="22"/>
  <c r="Q17" i="22"/>
  <c r="P17" i="22"/>
  <c r="K17" i="22"/>
  <c r="J17" i="22"/>
  <c r="H17" i="22"/>
  <c r="C17" i="22"/>
  <c r="W16" i="22"/>
  <c r="Q16" i="22"/>
  <c r="P16" i="22"/>
  <c r="K16" i="22"/>
  <c r="J16" i="22"/>
  <c r="H16" i="22"/>
  <c r="C16" i="22"/>
  <c r="W15" i="22"/>
  <c r="R15" i="22"/>
  <c r="Q15" i="22"/>
  <c r="P15" i="22"/>
  <c r="K15" i="22"/>
  <c r="J15" i="22"/>
  <c r="H15" i="22"/>
  <c r="C15" i="22"/>
  <c r="W14" i="22"/>
  <c r="Q14" i="22"/>
  <c r="P14" i="22"/>
  <c r="K14" i="22"/>
  <c r="J14" i="22"/>
  <c r="H14" i="22"/>
  <c r="C14" i="22"/>
  <c r="W13" i="22"/>
  <c r="Q13" i="22"/>
  <c r="P13" i="22"/>
  <c r="K13" i="22"/>
  <c r="J13" i="22"/>
  <c r="H13" i="22"/>
  <c r="C13" i="22"/>
  <c r="W12" i="22"/>
  <c r="R12" i="22"/>
  <c r="Q12" i="22"/>
  <c r="P12" i="22"/>
  <c r="L12" i="22"/>
  <c r="K12" i="22"/>
  <c r="J12" i="22"/>
  <c r="H12" i="22"/>
  <c r="C12" i="22"/>
  <c r="W11" i="22"/>
  <c r="Q11" i="22"/>
  <c r="P11" i="22"/>
  <c r="K11" i="22"/>
  <c r="J11" i="22"/>
  <c r="H11" i="22"/>
  <c r="C11" i="22"/>
  <c r="W10" i="22"/>
  <c r="R10" i="22"/>
  <c r="Q10" i="22"/>
  <c r="P10" i="22"/>
  <c r="K10" i="22"/>
  <c r="J10" i="22"/>
  <c r="H10" i="22"/>
  <c r="C10" i="22"/>
  <c r="W9" i="22"/>
  <c r="Q9" i="22"/>
  <c r="P9" i="22"/>
  <c r="K9" i="22"/>
  <c r="J9" i="22"/>
  <c r="H9" i="22"/>
  <c r="C9" i="22"/>
  <c r="W8" i="22"/>
  <c r="Q8" i="22"/>
  <c r="P8" i="22"/>
  <c r="K8" i="22"/>
  <c r="J8" i="22"/>
  <c r="H8" i="22"/>
  <c r="C8" i="22"/>
  <c r="W7" i="22"/>
  <c r="Q7" i="22"/>
  <c r="P7" i="22"/>
  <c r="K7" i="22"/>
  <c r="J7" i="22"/>
  <c r="H7" i="22"/>
  <c r="C7" i="22"/>
  <c r="W6" i="22"/>
  <c r="Q6" i="22"/>
  <c r="P6" i="22"/>
  <c r="K6" i="22"/>
  <c r="J6" i="22"/>
  <c r="H6" i="22"/>
  <c r="C6" i="22"/>
  <c r="W5" i="22"/>
  <c r="R5" i="22"/>
  <c r="Q5" i="22"/>
  <c r="P5" i="22"/>
  <c r="K5" i="22"/>
  <c r="J5" i="22"/>
  <c r="H5" i="22"/>
  <c r="C5" i="22"/>
  <c r="Q4" i="22"/>
  <c r="P4" i="22"/>
  <c r="K4" i="22"/>
  <c r="J4" i="22"/>
  <c r="H4" i="22"/>
  <c r="C4" i="22"/>
  <c r="AC37" i="21"/>
  <c r="Q31" i="22" l="1"/>
  <c r="R31" i="22" s="1"/>
  <c r="Q30" i="22"/>
  <c r="R30" i="22" s="1"/>
  <c r="S30" i="22" s="1"/>
  <c r="R29" i="22"/>
  <c r="L29" i="22"/>
  <c r="L24" i="22"/>
  <c r="R19" i="22"/>
  <c r="R18" i="22"/>
  <c r="R16" i="22"/>
  <c r="R28" i="22"/>
  <c r="L28" i="22"/>
  <c r="R27" i="22"/>
  <c r="L27" i="22"/>
  <c r="R26" i="22"/>
  <c r="L26" i="22"/>
  <c r="R25" i="22"/>
  <c r="R24" i="22"/>
  <c r="R23" i="22"/>
  <c r="R22" i="22"/>
  <c r="R20" i="22"/>
  <c r="L25" i="22"/>
  <c r="L15" i="22"/>
  <c r="R14" i="22"/>
  <c r="L14" i="22"/>
  <c r="N12" i="22"/>
  <c r="O12" i="22" s="1"/>
  <c r="L23" i="22"/>
  <c r="L21" i="22"/>
  <c r="L16" i="22"/>
  <c r="R13" i="22"/>
  <c r="L13" i="22"/>
  <c r="S12" i="22"/>
  <c r="M12" i="22"/>
  <c r="R11" i="22"/>
  <c r="L11" i="22"/>
  <c r="L20" i="22"/>
  <c r="L19" i="22"/>
  <c r="L17" i="22"/>
  <c r="L10" i="22"/>
  <c r="R9" i="22"/>
  <c r="L9" i="22"/>
  <c r="L22" i="22"/>
  <c r="R17" i="22"/>
  <c r="R8" i="22"/>
  <c r="L8" i="22"/>
  <c r="R7" i="22"/>
  <c r="L7" i="22"/>
  <c r="R6" i="22"/>
  <c r="L6" i="22"/>
  <c r="R21" i="22"/>
  <c r="R4" i="22"/>
  <c r="L18" i="22"/>
  <c r="X43" i="21"/>
  <c r="X41" i="21"/>
  <c r="Y41" i="21" s="1"/>
  <c r="Y40" i="21"/>
  <c r="Y39" i="21"/>
  <c r="Y38" i="21"/>
  <c r="Y37" i="21"/>
  <c r="Y43" i="21" s="1"/>
  <c r="X28" i="21"/>
  <c r="M29" i="22" l="1"/>
  <c r="N29" i="22"/>
  <c r="O29" i="22" s="1"/>
  <c r="S29" i="22"/>
  <c r="M24" i="22"/>
  <c r="N24" i="22"/>
  <c r="O24" i="22" s="1"/>
  <c r="S24" i="22"/>
  <c r="M28" i="22"/>
  <c r="N28" i="22"/>
  <c r="O28" i="22" s="1"/>
  <c r="S28" i="22"/>
  <c r="M27" i="22"/>
  <c r="N27" i="22"/>
  <c r="O27" i="22" s="1"/>
  <c r="S27" i="22"/>
  <c r="M26" i="22"/>
  <c r="N26" i="22"/>
  <c r="O26" i="22" s="1"/>
  <c r="S26" i="22"/>
  <c r="M25" i="22"/>
  <c r="N25" i="22"/>
  <c r="O25" i="22" s="1"/>
  <c r="S25" i="22"/>
  <c r="M15" i="22"/>
  <c r="N15" i="22"/>
  <c r="O15" i="22" s="1"/>
  <c r="S15" i="22"/>
  <c r="M14" i="22"/>
  <c r="N14" i="22"/>
  <c r="O14" i="22" s="1"/>
  <c r="S14" i="22"/>
  <c r="S23" i="22"/>
  <c r="M23" i="22"/>
  <c r="N23" i="22"/>
  <c r="O23" i="22" s="1"/>
  <c r="N21" i="22"/>
  <c r="O21" i="22" s="1"/>
  <c r="S21" i="22"/>
  <c r="M21" i="22"/>
  <c r="M16" i="22"/>
  <c r="S16" i="22"/>
  <c r="N16" i="22"/>
  <c r="O16" i="22" s="1"/>
  <c r="M13" i="22"/>
  <c r="N13" i="22"/>
  <c r="O13" i="22" s="1"/>
  <c r="S13" i="22"/>
  <c r="N11" i="22"/>
  <c r="O11" i="22" s="1"/>
  <c r="S11" i="22"/>
  <c r="S20" i="22"/>
  <c r="M20" i="22"/>
  <c r="N20" i="22"/>
  <c r="O20" i="22" s="1"/>
  <c r="N19" i="22"/>
  <c r="O19" i="22" s="1"/>
  <c r="M19" i="22"/>
  <c r="S19" i="22"/>
  <c r="N17" i="22"/>
  <c r="O17" i="22" s="1"/>
  <c r="S17" i="22"/>
  <c r="M17" i="22"/>
  <c r="M10" i="22"/>
  <c r="N10" i="22"/>
  <c r="O10" i="22" s="1"/>
  <c r="S10" i="22"/>
  <c r="M9" i="22"/>
  <c r="N9" i="22"/>
  <c r="O9" i="22" s="1"/>
  <c r="S9" i="22"/>
  <c r="S22" i="22"/>
  <c r="N22" i="22"/>
  <c r="O22" i="22" s="1"/>
  <c r="M22" i="22"/>
  <c r="M8" i="22"/>
  <c r="N8" i="22"/>
  <c r="O8" i="22" s="1"/>
  <c r="S8" i="22"/>
  <c r="M7" i="22"/>
  <c r="N7" i="22"/>
  <c r="O7" i="22" s="1"/>
  <c r="S7" i="22"/>
  <c r="M6" i="22"/>
  <c r="N6" i="22"/>
  <c r="O6" i="22" s="1"/>
  <c r="S6" i="22"/>
  <c r="M5" i="22"/>
  <c r="O5" i="22"/>
  <c r="S5" i="22"/>
  <c r="M4" i="22"/>
  <c r="O4" i="22"/>
  <c r="S4" i="22"/>
  <c r="N18" i="22"/>
  <c r="O18" i="22" s="1"/>
  <c r="S18" i="22"/>
  <c r="M18" i="22"/>
  <c r="X26" i="21"/>
  <c r="Y26" i="21" s="1"/>
  <c r="Y25" i="21"/>
  <c r="Y24" i="21"/>
  <c r="Y23" i="21"/>
  <c r="Y22" i="21"/>
  <c r="V58" i="21"/>
  <c r="R57" i="21"/>
  <c r="S57" i="21" s="1"/>
  <c r="T57" i="21" s="1"/>
  <c r="R56" i="21"/>
  <c r="S56" i="21" s="1"/>
  <c r="T56" i="21" s="1"/>
  <c r="R55" i="21"/>
  <c r="S55" i="21" s="1"/>
  <c r="T55" i="21" s="1"/>
  <c r="R54" i="21"/>
  <c r="S54" i="21" s="1"/>
  <c r="T54" i="21" s="1"/>
  <c r="S53" i="21"/>
  <c r="T53" i="21" s="1"/>
  <c r="R52" i="21"/>
  <c r="R58" i="21" s="1"/>
  <c r="S58" i="21" s="1"/>
  <c r="T58" i="21" s="1"/>
  <c r="G49" i="21"/>
  <c r="G48" i="21"/>
  <c r="M45" i="21"/>
  <c r="R43" i="21"/>
  <c r="S43" i="21" s="1"/>
  <c r="T43" i="21" s="1"/>
  <c r="S42" i="21"/>
  <c r="T42" i="21" s="1"/>
  <c r="R42" i="21"/>
  <c r="L42" i="21"/>
  <c r="S41" i="21"/>
  <c r="T41" i="21" s="1"/>
  <c r="H41" i="21"/>
  <c r="S40" i="21"/>
  <c r="T40" i="21" s="1"/>
  <c r="L40" i="21"/>
  <c r="M40" i="21" s="1"/>
  <c r="T39" i="21"/>
  <c r="S39" i="21"/>
  <c r="M39" i="21"/>
  <c r="C39" i="21"/>
  <c r="S38" i="21"/>
  <c r="T38" i="21" s="1"/>
  <c r="M38" i="21"/>
  <c r="M37" i="21"/>
  <c r="S36" i="21"/>
  <c r="T36" i="21" s="1"/>
  <c r="M36" i="21"/>
  <c r="M42" i="21" s="1"/>
  <c r="R28" i="21"/>
  <c r="S27" i="21"/>
  <c r="T27" i="21" s="1"/>
  <c r="R27" i="21"/>
  <c r="L27" i="21"/>
  <c r="S26" i="21"/>
  <c r="T26" i="21" s="1"/>
  <c r="C26" i="21"/>
  <c r="B26" i="21"/>
  <c r="S25" i="21"/>
  <c r="T25" i="21" s="1"/>
  <c r="L25" i="21"/>
  <c r="M25" i="21" s="1"/>
  <c r="H25" i="21"/>
  <c r="C25" i="21"/>
  <c r="S24" i="21"/>
  <c r="T24" i="21" s="1"/>
  <c r="M24" i="21"/>
  <c r="T23" i="21"/>
  <c r="S23" i="21"/>
  <c r="M23" i="21"/>
  <c r="M27" i="21" s="1"/>
  <c r="S22" i="21"/>
  <c r="S28" i="21" s="1"/>
  <c r="T28" i="21" s="1"/>
  <c r="M22" i="21"/>
  <c r="C22" i="21"/>
  <c r="M21" i="21"/>
  <c r="R13" i="21"/>
  <c r="R12" i="21"/>
  <c r="S12" i="21" s="1"/>
  <c r="T12" i="21" s="1"/>
  <c r="M12" i="21"/>
  <c r="L12" i="21"/>
  <c r="S11" i="21"/>
  <c r="T11" i="21" s="1"/>
  <c r="M11" i="21"/>
  <c r="H11" i="21"/>
  <c r="C11" i="21"/>
  <c r="S10" i="21"/>
  <c r="T10" i="21" s="1"/>
  <c r="M10" i="21"/>
  <c r="B10" i="21"/>
  <c r="B12" i="21" s="1"/>
  <c r="S9" i="21"/>
  <c r="T9" i="21" s="1"/>
  <c r="M9" i="21"/>
  <c r="C9" i="21"/>
  <c r="C12" i="21" s="1"/>
  <c r="S8" i="21"/>
  <c r="T8" i="21" s="1"/>
  <c r="M8" i="21"/>
  <c r="C8" i="21"/>
  <c r="S7" i="21"/>
  <c r="S13" i="21" s="1"/>
  <c r="T13" i="21" s="1"/>
  <c r="P10" i="19"/>
  <c r="O8" i="19"/>
  <c r="N8" i="19"/>
  <c r="L10" i="19"/>
  <c r="L8" i="19"/>
  <c r="Q8" i="19" s="1"/>
  <c r="P6" i="19"/>
  <c r="O6" i="19"/>
  <c r="N6" i="19"/>
  <c r="L6" i="19"/>
  <c r="P4" i="19"/>
  <c r="O4" i="19"/>
  <c r="N4" i="19"/>
  <c r="G4" i="19"/>
  <c r="O10" i="19"/>
  <c r="N10" i="19"/>
  <c r="G10" i="19"/>
  <c r="G9" i="19"/>
  <c r="P8" i="19"/>
  <c r="G7" i="19"/>
  <c r="G6" i="19"/>
  <c r="G5" i="19"/>
  <c r="L4" i="19"/>
  <c r="G3" i="19"/>
  <c r="H15" i="18"/>
  <c r="H4" i="18"/>
  <c r="H5" i="18"/>
  <c r="H6" i="18"/>
  <c r="H11" i="18"/>
  <c r="C9" i="16"/>
  <c r="C25" i="16"/>
  <c r="C22" i="16"/>
  <c r="I20" i="1"/>
  <c r="C11" i="16"/>
  <c r="C8" i="16"/>
  <c r="G34" i="12"/>
  <c r="G7" i="12"/>
  <c r="Y28" i="21" l="1"/>
  <c r="T7" i="21"/>
  <c r="T22" i="21"/>
  <c r="S52" i="21"/>
  <c r="T52" i="21" s="1"/>
  <c r="R59" i="21"/>
  <c r="S59" i="21" s="1"/>
  <c r="T59" i="21" s="1"/>
  <c r="Q10" i="19"/>
  <c r="Q4" i="19"/>
  <c r="Q6" i="19"/>
  <c r="I15" i="1"/>
  <c r="H54" i="16"/>
  <c r="H53" i="16"/>
  <c r="H11" i="16"/>
  <c r="H25" i="16"/>
  <c r="H41" i="16"/>
  <c r="L42" i="16"/>
  <c r="L40" i="16"/>
  <c r="M40" i="16" s="1"/>
  <c r="M39" i="16"/>
  <c r="C39" i="16"/>
  <c r="M37" i="16"/>
  <c r="M36" i="16"/>
  <c r="M42" i="16" s="1"/>
  <c r="C26" i="16"/>
  <c r="L25" i="16"/>
  <c r="M25" i="16" s="1"/>
  <c r="B26" i="16"/>
  <c r="M24" i="16"/>
  <c r="M22" i="16"/>
  <c r="M21" i="16"/>
  <c r="M27" i="16" l="1"/>
  <c r="G22" i="12" l="1"/>
  <c r="G27" i="12"/>
  <c r="G26" i="12"/>
  <c r="G25" i="12"/>
  <c r="G24" i="12"/>
  <c r="G23" i="12"/>
  <c r="G17" i="12"/>
  <c r="G16" i="12"/>
  <c r="G15" i="12"/>
  <c r="G14" i="12"/>
  <c r="G13" i="12"/>
  <c r="G12" i="12"/>
  <c r="G8" i="12"/>
  <c r="G6" i="12"/>
  <c r="G5" i="12"/>
  <c r="G4" i="12"/>
  <c r="G3" i="12"/>
  <c r="I36" i="1"/>
  <c r="I35" i="1"/>
  <c r="I34" i="1"/>
  <c r="I33" i="1"/>
  <c r="I32" i="1"/>
  <c r="I31" i="1"/>
  <c r="I30" i="1"/>
  <c r="W29" i="1"/>
  <c r="I29" i="1"/>
  <c r="W28" i="1"/>
  <c r="I28" i="1"/>
  <c r="W27" i="1"/>
  <c r="I27" i="1"/>
  <c r="W26" i="1"/>
  <c r="I26" i="1"/>
  <c r="W25" i="1"/>
  <c r="I25" i="1"/>
  <c r="W24" i="1"/>
  <c r="I24" i="1"/>
  <c r="W23" i="1"/>
  <c r="P23" i="1"/>
  <c r="O23" i="1"/>
  <c r="N23" i="1"/>
  <c r="I23" i="1"/>
  <c r="W22" i="1"/>
  <c r="O22" i="1"/>
  <c r="P22" i="1" s="1"/>
  <c r="N22" i="1"/>
  <c r="I22" i="1"/>
  <c r="W21" i="1"/>
  <c r="P21" i="1"/>
  <c r="O21" i="1"/>
  <c r="N21" i="1"/>
  <c r="I21" i="1"/>
  <c r="W20" i="1"/>
  <c r="O20" i="1"/>
  <c r="P20" i="1" s="1"/>
  <c r="N20" i="1"/>
  <c r="W19" i="1"/>
  <c r="P19" i="1"/>
  <c r="O19" i="1"/>
  <c r="N19" i="1"/>
  <c r="W18" i="1"/>
  <c r="O18" i="1"/>
  <c r="P18" i="1" s="1"/>
  <c r="N18" i="1"/>
  <c r="W17" i="1"/>
  <c r="O17" i="1"/>
  <c r="P17" i="1" s="1"/>
  <c r="N17" i="1"/>
  <c r="W16" i="1"/>
  <c r="O16" i="1"/>
  <c r="P16" i="1" s="1"/>
  <c r="N16" i="1"/>
  <c r="W15" i="1"/>
  <c r="O15" i="1"/>
  <c r="P15" i="1" s="1"/>
  <c r="N15" i="1"/>
  <c r="W14" i="1"/>
  <c r="P14" i="1"/>
  <c r="O14" i="1"/>
  <c r="N14" i="1"/>
  <c r="I14" i="1"/>
  <c r="W13" i="1"/>
  <c r="O13" i="1"/>
  <c r="P13" i="1" s="1"/>
  <c r="N13" i="1"/>
  <c r="I13" i="1"/>
  <c r="W12" i="1"/>
  <c r="P12" i="1"/>
  <c r="O12" i="1"/>
  <c r="N12" i="1"/>
  <c r="I12" i="1"/>
  <c r="W11" i="1"/>
  <c r="O11" i="1"/>
  <c r="P11" i="1" s="1"/>
  <c r="N11" i="1"/>
  <c r="I11" i="1"/>
  <c r="W10" i="1"/>
  <c r="O10" i="1"/>
  <c r="P10" i="1" s="1"/>
  <c r="N10" i="1"/>
  <c r="I10" i="1"/>
  <c r="W9" i="1"/>
  <c r="O9" i="1"/>
  <c r="P9" i="1" s="1"/>
  <c r="N9" i="1"/>
  <c r="I9" i="1"/>
  <c r="W8" i="1"/>
  <c r="P8" i="1"/>
  <c r="O8" i="1"/>
  <c r="N8" i="1"/>
  <c r="I8" i="1"/>
  <c r="W7" i="1"/>
  <c r="O7" i="1"/>
  <c r="P7" i="1" s="1"/>
  <c r="N7" i="1"/>
  <c r="I7" i="1"/>
  <c r="W6" i="1"/>
  <c r="O6" i="1"/>
  <c r="P6" i="1" s="1"/>
  <c r="N6" i="1"/>
  <c r="I6" i="1"/>
  <c r="W5" i="1"/>
  <c r="O5" i="1"/>
  <c r="P5" i="1" s="1"/>
  <c r="N5" i="1"/>
  <c r="I5" i="1"/>
  <c r="I4" i="1"/>
  <c r="I3" i="1"/>
  <c r="C12" i="16"/>
  <c r="B10" i="16"/>
  <c r="B12" i="16" s="1"/>
</calcChain>
</file>

<file path=xl/sharedStrings.xml><?xml version="1.0" encoding="utf-8"?>
<sst xmlns="http://schemas.openxmlformats.org/spreadsheetml/2006/main" count="1652" uniqueCount="811">
  <si>
    <t>Table A</t>
  </si>
  <si>
    <t xml:space="preserve">Code </t>
  </si>
  <si>
    <t>Description</t>
  </si>
  <si>
    <t xml:space="preserve">Surgeon Fee </t>
  </si>
  <si>
    <t>Anaes Fee</t>
  </si>
  <si>
    <t>Hosp Fee</t>
  </si>
  <si>
    <t xml:space="preserve">Total </t>
  </si>
  <si>
    <t>AP0163</t>
  </si>
  <si>
    <t>Vitrectomy (minimum)</t>
  </si>
  <si>
    <t>refer table A</t>
  </si>
  <si>
    <t xml:space="preserve">Actual Time Charge
 per 5 minute block </t>
  </si>
  <si>
    <t>AP0163
VR Time Bracket</t>
  </si>
  <si>
    <t xml:space="preserve">Vitrectomy(Max up to 2 hour) </t>
  </si>
  <si>
    <t>Mins</t>
  </si>
  <si>
    <t xml:space="preserve">Incl GST </t>
  </si>
  <si>
    <t>Exl GST</t>
  </si>
  <si>
    <t>AP0164</t>
  </si>
  <si>
    <t>VITY add peel(sundries)</t>
  </si>
  <si>
    <t>0-30</t>
  </si>
  <si>
    <t xml:space="preserve">Level 1 </t>
  </si>
  <si>
    <t>AP0165</t>
  </si>
  <si>
    <t>VITY add cataract(sundries)</t>
  </si>
  <si>
    <t>31-35</t>
  </si>
  <si>
    <t>AP0166</t>
  </si>
  <si>
    <t>VITY add laser(sundries)</t>
  </si>
  <si>
    <t>36-40</t>
  </si>
  <si>
    <t>AP0167</t>
  </si>
  <si>
    <t>VITYaddCmplxLaser(sundries)</t>
  </si>
  <si>
    <t>41-45</t>
  </si>
  <si>
    <t>AP0168</t>
  </si>
  <si>
    <t>VITY add cryo (sundries)</t>
  </si>
  <si>
    <t>46-50</t>
  </si>
  <si>
    <t>AP0169</t>
  </si>
  <si>
    <t>VITY add Gas Ex(sundries)</t>
  </si>
  <si>
    <t>51-55</t>
  </si>
  <si>
    <t>AP0170</t>
  </si>
  <si>
    <t>VITY add HeavyLiq(sundries)</t>
  </si>
  <si>
    <t>56-60</t>
  </si>
  <si>
    <t xml:space="preserve"> </t>
  </si>
  <si>
    <t>AP0171</t>
  </si>
  <si>
    <t>VITYaddDmdDstr(sundries)</t>
  </si>
  <si>
    <t>61-65</t>
  </si>
  <si>
    <t>Level 2</t>
  </si>
  <si>
    <t>AP0172</t>
  </si>
  <si>
    <t>VITY add buckle(sundries)</t>
  </si>
  <si>
    <t>66-70</t>
  </si>
  <si>
    <t>65-70</t>
  </si>
  <si>
    <t>AP0173</t>
  </si>
  <si>
    <t>VITY add silicone(sundries)</t>
  </si>
  <si>
    <t>71-75</t>
  </si>
  <si>
    <t xml:space="preserve">Top up </t>
  </si>
  <si>
    <t xml:space="preserve">heavy oil </t>
  </si>
  <si>
    <t>76-80</t>
  </si>
  <si>
    <t>81-85</t>
  </si>
  <si>
    <t xml:space="preserve">  </t>
  </si>
  <si>
    <t>86-90</t>
  </si>
  <si>
    <t>Code</t>
  </si>
  <si>
    <t xml:space="preserve">comment </t>
  </si>
  <si>
    <t>91-95</t>
  </si>
  <si>
    <t>Level 3</t>
  </si>
  <si>
    <t>Vision Blue - Assoc Cataract</t>
  </si>
  <si>
    <t>96-100</t>
  </si>
  <si>
    <t>Cataract w Multi-focal Lens</t>
  </si>
  <si>
    <t>101-105</t>
  </si>
  <si>
    <t>Cataract Extraction with IOL Implant</t>
  </si>
  <si>
    <t>106-110</t>
  </si>
  <si>
    <t>Level 4</t>
  </si>
  <si>
    <t>Cataract w Toric Lens Impl</t>
  </si>
  <si>
    <t>111-115</t>
  </si>
  <si>
    <t>GA by Anaesthetist</t>
  </si>
  <si>
    <t>116-120</t>
  </si>
  <si>
    <t>Cataract IOL (LA by Anaesthetist)</t>
  </si>
  <si>
    <t xml:space="preserve">120 plus </t>
  </si>
  <si>
    <t xml:space="preserve">plus $600 per 15 mins( apply for top up) </t>
  </si>
  <si>
    <t xml:space="preserve">Top up $500 </t>
  </si>
  <si>
    <t>121-135</t>
  </si>
  <si>
    <t>Cataract Mfocal (LA by Anaesthetist)</t>
  </si>
  <si>
    <t xml:space="preserve">*Surgeon gets additional  $250 per 15 mins over 2 hours </t>
  </si>
  <si>
    <t>136-150</t>
  </si>
  <si>
    <t>Cataract Toric (LA by Anaesthetist)</t>
  </si>
  <si>
    <t xml:space="preserve">* Always add 15 mins anaesthetic time </t>
  </si>
  <si>
    <t>151-175</t>
  </si>
  <si>
    <t>Capsule Tension Rings</t>
  </si>
  <si>
    <t>176-180</t>
  </si>
  <si>
    <t>Iris Hooks</t>
  </si>
  <si>
    <t>181-195</t>
  </si>
  <si>
    <t>Malyugin Ring</t>
  </si>
  <si>
    <t>196-210</t>
  </si>
  <si>
    <t>Ant Vitrectmy addn to Catrct</t>
  </si>
  <si>
    <t>AP1018</t>
  </si>
  <si>
    <t>Uni-Intrav injctn(same eye) with another surgery</t>
  </si>
  <si>
    <t xml:space="preserve">Top up Split </t>
  </si>
  <si>
    <t>AP1019</t>
  </si>
  <si>
    <t>Uni-Intrav injctn(different eye) with another surgery</t>
  </si>
  <si>
    <t>AP1016</t>
  </si>
  <si>
    <t>Intravitreal Injection Uni with Triamcinolone</t>
  </si>
  <si>
    <t>AP1014</t>
  </si>
  <si>
    <t>Add on - pharmaceutical cost of drug up to $100.00 - unilateral
Used to claim for the actual cost of the non-funded drug (up to a maximum $100) when using service AP1016, AP1018 and AP1019.</t>
  </si>
  <si>
    <t>new code</t>
  </si>
  <si>
    <t>AP0909</t>
  </si>
  <si>
    <t>Dexameth same eye</t>
  </si>
  <si>
    <t>AP0910</t>
  </si>
  <si>
    <t>Dexameth other eye</t>
  </si>
  <si>
    <t xml:space="preserve">no change </t>
  </si>
  <si>
    <t>AP1313</t>
  </si>
  <si>
    <t>AP1316</t>
  </si>
  <si>
    <t>AP1317</t>
  </si>
  <si>
    <t>AP1319</t>
  </si>
  <si>
    <t>AP1320</t>
  </si>
  <si>
    <t>Service Item Code</t>
  </si>
  <si>
    <t>Item description</t>
  </si>
  <si>
    <t>Flat Rate (GST inclusive)</t>
  </si>
  <si>
    <t>Flat Rate (GST Exclusive)</t>
  </si>
  <si>
    <t>From date</t>
  </si>
  <si>
    <t>To date</t>
  </si>
  <si>
    <t xml:space="preserve">Surgeon Fee excl GST </t>
  </si>
  <si>
    <t xml:space="preserve">Surgeon Fee Incl. GST </t>
  </si>
  <si>
    <t xml:space="preserve">Surgeon &amp; Anaesthetist  Total Excl GST </t>
  </si>
  <si>
    <t xml:space="preserve">Hospital Excl GST </t>
  </si>
  <si>
    <t>check w/o gst</t>
  </si>
  <si>
    <t xml:space="preserve">check with gst </t>
  </si>
  <si>
    <t>Surgeon Fee %</t>
  </si>
  <si>
    <t>Anaesthetist fee %</t>
  </si>
  <si>
    <t>Surgeon &amp; Anaesthetist  Total %</t>
  </si>
  <si>
    <t>Hospital %</t>
  </si>
  <si>
    <t>OPT04</t>
  </si>
  <si>
    <t>YAG Laser Capsulotomy</t>
  </si>
  <si>
    <t>OPT05</t>
  </si>
  <si>
    <t>Repair of Blepharoptosis</t>
  </si>
  <si>
    <t>OPT06</t>
  </si>
  <si>
    <t>Lid/Adnexa - lid surgery - minor</t>
  </si>
  <si>
    <t>OPT07</t>
  </si>
  <si>
    <t>Lid/Adnexa - lid surgery - major</t>
  </si>
  <si>
    <t>OPT08</t>
  </si>
  <si>
    <t>Dacryocystorhinostomy with intubation</t>
  </si>
  <si>
    <t>OPT09</t>
  </si>
  <si>
    <t>Strabismus Surgery - one muscle</t>
  </si>
  <si>
    <t>OPT10</t>
  </si>
  <si>
    <t>Strabismus Surgery - two muscles</t>
  </si>
  <si>
    <t>OPT101</t>
  </si>
  <si>
    <t>Cataract Extraction Simple - Phacoemulsion + IOL</t>
  </si>
  <si>
    <t>OPT102</t>
  </si>
  <si>
    <t xml:space="preserve">Cataract Surgery with spec OVDs </t>
  </si>
  <si>
    <t>OPT103</t>
  </si>
  <si>
    <t>Cataract Surgery w spec OVDs &amp; extra item/procedur</t>
  </si>
  <si>
    <t>OPT104</t>
  </si>
  <si>
    <t>Cataract Surgery ltd ant vitrec, sutured lens/ring</t>
  </si>
  <si>
    <t>OPT105</t>
  </si>
  <si>
    <t>Cataract Surgery with iris procedures</t>
  </si>
  <si>
    <t>OPT106</t>
  </si>
  <si>
    <t>Cataract Surgery - Corneal Transplant</t>
  </si>
  <si>
    <t>OPT107</t>
  </si>
  <si>
    <t>Cataract Surgery - Glaucoma drainage</t>
  </si>
  <si>
    <t>OPT11</t>
  </si>
  <si>
    <t>Strabismus Surgery - more than two muscles</t>
  </si>
  <si>
    <t>OPT120</t>
  </si>
  <si>
    <t xml:space="preserve">Cataract Surgery Revision incl Anterior Vitrectomy and or pupilloplasty </t>
  </si>
  <si>
    <t>OPT121</t>
  </si>
  <si>
    <t>Cataract Surgery Revision incl IOL repositioning</t>
  </si>
  <si>
    <t>OPT122</t>
  </si>
  <si>
    <t>Cataract Surgery Revision incl IOL replacement</t>
  </si>
  <si>
    <t>OPT123</t>
  </si>
  <si>
    <t>Cataract Surgery Revisn inc Mechanical Capsulotomy</t>
  </si>
  <si>
    <t>OPT13</t>
  </si>
  <si>
    <t>Phototherapeutic Keratectomy</t>
  </si>
  <si>
    <t>OPT130</t>
  </si>
  <si>
    <t>Cataract Surgery combined w Vitreo-retinal surgery</t>
  </si>
  <si>
    <t>OPT131</t>
  </si>
  <si>
    <t>Cataract Surg &amp; posterior vitrectomy inc IOL repos</t>
  </si>
  <si>
    <t>OPT132</t>
  </si>
  <si>
    <t>Cataract Surg w posterior vitrectomy&amp;pupilloplasty</t>
  </si>
  <si>
    <t>OPT133</t>
  </si>
  <si>
    <t>Cataract Surgery w posterior vitrectomy, incl IOL</t>
  </si>
  <si>
    <t>OPT14</t>
  </si>
  <si>
    <t>Trabeculectomy with Antimetabolite Application</t>
  </si>
  <si>
    <t>OPT15</t>
  </si>
  <si>
    <t>Enucleation/Evisceration with implant</t>
  </si>
  <si>
    <t>OPTAFRAG</t>
  </si>
  <si>
    <t>Fragmatome Use. Add on with OPT101-OPT133.</t>
  </si>
  <si>
    <t xml:space="preserve"> Actual &amp; Reasonable </t>
  </si>
  <si>
    <t xml:space="preserve">Actual and Reasonable </t>
  </si>
  <si>
    <t>OPTAEYEB</t>
  </si>
  <si>
    <t>National Eye Bank fee. Add on with OPT106</t>
  </si>
  <si>
    <t>8268/8270/8269</t>
  </si>
  <si>
    <t xml:space="preserve"> Cataract Self funded</t>
  </si>
  <si>
    <t xml:space="preserve">Simple Cataract and IOL </t>
  </si>
  <si>
    <t xml:space="preserve">20-30 mins theatre time </t>
  </si>
  <si>
    <t xml:space="preserve">Procedure </t>
  </si>
  <si>
    <t xml:space="preserve">APS Cataract IOL with Anaesthetist </t>
  </si>
  <si>
    <t>Cataract IOL</t>
  </si>
  <si>
    <t xml:space="preserve"> Cataract IOL</t>
  </si>
  <si>
    <t xml:space="preserve"> Outsourced Ophthalmic Procedures </t>
  </si>
  <si>
    <t xml:space="preserve">Description </t>
  </si>
  <si>
    <t>EG Minor Trabeculectomy, Pterygium</t>
  </si>
  <si>
    <t>GST</t>
  </si>
  <si>
    <t>Mono/Toric/Multi Focal Lens</t>
  </si>
  <si>
    <t xml:space="preserve">All Lens </t>
  </si>
  <si>
    <t xml:space="preserve">Excl. Gst </t>
  </si>
  <si>
    <t xml:space="preserve">Incl.Gst </t>
  </si>
  <si>
    <t>Specialist Fees:</t>
  </si>
  <si>
    <t xml:space="preserve">Anaesthetist </t>
  </si>
  <si>
    <t>Anaesthetist  Fees:</t>
  </si>
  <si>
    <t xml:space="preserve">FSA </t>
  </si>
  <si>
    <t>Other Fees:</t>
  </si>
  <si>
    <t xml:space="preserve">Fu'p </t>
  </si>
  <si>
    <t xml:space="preserve">Hospital </t>
  </si>
  <si>
    <t>Total:</t>
  </si>
  <si>
    <t>Surgeon Fee + FSA +f'up</t>
  </si>
  <si>
    <t>7775/7910/7588</t>
  </si>
  <si>
    <t xml:space="preserve">Fixed Fee Cataract Other Insurance </t>
  </si>
  <si>
    <t xml:space="preserve">APS Cataract IOL No Anaesthetist </t>
  </si>
  <si>
    <t xml:space="preserve">31 Plus minutes theatre time </t>
  </si>
  <si>
    <t xml:space="preserve">Complex DCR,Strabismus, Ptosis ,Cornea Procedures , blephs </t>
  </si>
  <si>
    <t xml:space="preserve">Surgeon Fee + FSA </t>
  </si>
  <si>
    <t xml:space="preserve">WC HNZ CATARACT CONTRACT </t>
  </si>
  <si>
    <t xml:space="preserve">NIB Cataract </t>
  </si>
  <si>
    <t xml:space="preserve">GST </t>
  </si>
  <si>
    <t xml:space="preserve">Specialist Fees:(surgery)  </t>
  </si>
  <si>
    <t xml:space="preserve">F'up </t>
  </si>
  <si>
    <t xml:space="preserve">Total Surgeon Fee </t>
  </si>
  <si>
    <t>120+</t>
  </si>
  <si>
    <t xml:space="preserve">Fup </t>
  </si>
  <si>
    <t>Minimally Invasive Glaucoma Surgery and Goniotomy - Category A (GA)</t>
  </si>
  <si>
    <t>Minimally Invasive Glaucoma Surgery - Category B - Add on to Cataract (GA)</t>
  </si>
  <si>
    <t>Minimally Invasive Glaucoma Surgery and Goniotomy - Category A (LA)</t>
  </si>
  <si>
    <t>Minimally Invasive Glaucoma Surgery - Category B (LA)</t>
  </si>
  <si>
    <t>Minimally Invasive Glaucoma Surgery - Category B - Add on to Cataract (LA)</t>
  </si>
  <si>
    <t xml:space="preserve">Blepharoplasty and Ptosis LA (Day Stay/Theatre) </t>
  </si>
  <si>
    <t>AP Code</t>
  </si>
  <si>
    <t>Short Service Description</t>
  </si>
  <si>
    <t>Long Service Description</t>
  </si>
  <si>
    <t>SURGEON FEE</t>
  </si>
  <si>
    <t>ANAESTHESIA FEE</t>
  </si>
  <si>
    <t>DISCOUNTED HOSP  FEE</t>
  </si>
  <si>
    <t xml:space="preserve">AGREED SXAP </t>
  </si>
  <si>
    <t>AP0126</t>
  </si>
  <si>
    <t xml:space="preserve"> Blepharoplasty – unilateral – LA (Day Stay/Theatre)</t>
  </si>
  <si>
    <t>Upper eyelid blepharoplasty for one eye performed under local anaesthetic in day stay / theatre. Price includes surgeon’s fees, facility and ancillary costs and all associated equipment and personnel. The contract price includes post-operative care for six weeks following surgery.</t>
  </si>
  <si>
    <t>AP0127</t>
  </si>
  <si>
    <t>Blepharoplasty bilateral – LA (Day Stay/Theatre)</t>
  </si>
  <si>
    <t>Upper eyelid blepharoplasty for both eyes performed under local anaesthetic in day stay / theatre. Price includes surgeon’s fees, facility and ancillary costs and all associated equipment and personnel. The contract price includes post-operative care for six weeks following surgery.</t>
  </si>
  <si>
    <t>AP0130</t>
  </si>
  <si>
    <t>Ptosis repair – unilateral – LA (Day Stay/Theatre)</t>
  </si>
  <si>
    <t>Unilateral ptosis repair performed under local anaesthetic in day stay / theatre. Price includes surgeon’s fees, facility and ancillary costs and all associated equipment and personnel. The contract price includes post-operative care for six weeks following surgery.</t>
  </si>
  <si>
    <t>AP0131</t>
  </si>
  <si>
    <t>Ptosis repair – bilateral – LA (Day Stay/Theatre)</t>
  </si>
  <si>
    <t xml:space="preserve">Bilateral ptosis repair performed under local anaesthetic in day stay / theatre. Price includes surgeon’s fees, facility and ancillary costs and all associated equipment and personnel. The contract price includes post-operative care for six weeks following surgery. </t>
  </si>
  <si>
    <t>AP0135</t>
  </si>
  <si>
    <t>Blepharoplasty &amp; ptosis bilateral – LA (Day Stay/Theatre)</t>
  </si>
  <si>
    <t>Combined upper eyelid blepharoplasty and ptosis repair for both eyes performed under local anaesthetic in day stay / theatre. Price includes surgeon’s fees, facility and ancillary costs and all associated equipment and personnel. The contract price includes post-operative care for six weeks following surgery.</t>
  </si>
  <si>
    <t xml:space="preserve">Entropion and Ectropion </t>
  </si>
  <si>
    <t>x6</t>
  </si>
  <si>
    <t>CES OFFER</t>
  </si>
  <si>
    <t>AP0140</t>
  </si>
  <si>
    <t>Unilateral repair of entropion – LA (Day Stay/Theatre)</t>
  </si>
  <si>
    <t>Unilateral surgical repair of an inward-folding eyelid without graft. Performed in day stay / theatre under local anaesthetic. Price includes surgeon's fee, theatre and ancillary costs, and all associated equipment and personnel costs and post- operative care for six weeks following surgery.</t>
  </si>
  <si>
    <t>AP0141</t>
  </si>
  <si>
    <t>Bilateral repair of entropion – LA (Day Stay/Theatre)</t>
  </si>
  <si>
    <t>Bilateral surgical repair of inward-folding eyelids without grafts. Performed in day stay / theatre under local anaesthetic. Price includes surgeon's fee, theatre and ancillary costs, and all associated equipment and personnel costs and post- operative care for six weeks following surgery.</t>
  </si>
  <si>
    <t>Unilateral repair of ectropion with graft – LA (Day Stay/Theatre)</t>
  </si>
  <si>
    <t>Unilateral surgical repair of an outward-folding eyelid with graft. Performed in day stay / theatre with local anaesthetic. Price includes surgeon's fee, theatre and ancillary costs, and all associated equipment and personnel costs and post- operative care for six weeks following surgery.</t>
  </si>
  <si>
    <t>Bilateral repair of ectropion with grafts – LA (Day Stay/Theatre)</t>
  </si>
  <si>
    <t>Bilateral surgical repair of outward-folding eyelids with grafts. Performed in day stay / theatre under local anaesthetic block. Price includes surgeon's fee, theatre and ancillary costs, and all associated equipment and personnel costs and post- operative care for six weeks following surgery.</t>
  </si>
  <si>
    <t>AP0138</t>
  </si>
  <si>
    <t>Unilateral repair of ectropion – LA (Day Stay/Theatre)</t>
  </si>
  <si>
    <t>Unilateral surgical repair of an outward-folding eyelid without graft. Performed in theatre under local anaesthetic. Price includes surgeon's fee, theatre and ancillary costs, and all associated equipment and personnel costs and post- operative care for six weeks following surgery</t>
  </si>
  <si>
    <t>AP0139</t>
  </si>
  <si>
    <t>Bilateral repair of ectropion – LA (Day Stay/Theatre)</t>
  </si>
  <si>
    <t>Bilateral surgical repair of outward-folding eyelids without grafts. Performed in day stay / theatre under local anaesthetic. Price includes surgeon's fee, theatre and ancillary costs, and all associated equipment and personnel costs and post- operative care for six weeks following surgery.</t>
  </si>
  <si>
    <t>Pterygium / Pinguecula</t>
  </si>
  <si>
    <t>x7</t>
  </si>
  <si>
    <t>Pterygium (or pinguecula) excision and conjunctival graft with suture – local anaesthetic</t>
  </si>
  <si>
    <t>The Price includes surgeon’s fee, theatre fees sundry items, disposables and all drugs used preoperatively and intraoperatively, and any facility costs. Performed under local anaesthetic. Also includes post-operative care for six weeks following surgery.</t>
  </si>
  <si>
    <t>Pterygium (or pinguecula) excision and conjunctival graft with tissue glue – topical anaesthetic</t>
  </si>
  <si>
    <t>The Price includes surgeon’s fee, theatre fees, sundry items, disposables and all drugs used preoperatively and intraoperatively and any facility costs. Performed under topical (gel or drops) anaesthetic. Also includes post-operative care for six weeks following surgery.</t>
  </si>
  <si>
    <t xml:space="preserve">ADD On Glue </t>
  </si>
  <si>
    <t>Pterygium (or pinguecula) excision and conjunctival graft with glue – local anaesthetic</t>
  </si>
  <si>
    <t>The Price includes surgeon’s fees, theatre fees, sundry items, disposables and all drugs used preoperatively and intraoperatively. The procedure will be carried out on a day stay basis under local anaesthetic. Also includes post-operative care for six weeks following surgery.</t>
  </si>
  <si>
    <r>
      <t xml:space="preserve">Pterygium (or pinguecula) excision and conjunctival graft with glue – </t>
    </r>
    <r>
      <rPr>
        <b/>
        <sz val="10"/>
        <color theme="1"/>
        <rFont val="Arial"/>
        <family val="2"/>
      </rPr>
      <t>general anaesthetic</t>
    </r>
  </si>
  <si>
    <t>The Price includes surgeon’s fee, theatre fees, anaesthetist’s fee, sundry items, disposables and all drugs used preoperatively and intraoperatively, and any facility costs. Performed under general anaesthetic. Also includes post-operative care for six weeks following surgery.</t>
  </si>
  <si>
    <t>Pterygium (or pinguecula) excision and conjunctival graft with tissue glue – local anaesthetic: one eye/two pterygia or two eyes/one pterygium</t>
  </si>
  <si>
    <t>The Price includes surgeon’s fee, theatre fees, sundry items, disposables and all drugs used preoperatively and intraoperatively, and any facility costs. Performed under a local anaesthetic. Also includes post-operative care for six weeks following surgery.</t>
  </si>
  <si>
    <t>AP0879</t>
  </si>
  <si>
    <r>
      <t xml:space="preserve">Pterygium (or pinguecula) excision and conjunctival graft with glue – </t>
    </r>
    <r>
      <rPr>
        <b/>
        <sz val="10"/>
        <color theme="1"/>
        <rFont val="Arial"/>
        <family val="2"/>
      </rPr>
      <t>under sedation</t>
    </r>
  </si>
  <si>
    <t xml:space="preserve">The Price includes surgeon’s fee, theatre fees, sundry items, disposables and all drugs used preoperatively and intraoperatively. The procedure will be carried out on a day stay basis under sedation. Also includes post-operative care for six weeks following surgery.  </t>
  </si>
  <si>
    <t>AP1397</t>
  </si>
  <si>
    <t xml:space="preserve">Artiss Glue Add on </t>
  </si>
  <si>
    <t>Actual cost of Artiss Glue as invoiced by Baxter Healthcare when using in conjunction with eligible Pterygium surgery with glue. You will not be able to charge any shortfall to the member</t>
  </si>
  <si>
    <t>AP1314</t>
  </si>
  <si>
    <t>AP1315</t>
  </si>
  <si>
    <t>AP1318</t>
  </si>
  <si>
    <t>2025  Price (incl gst)</t>
  </si>
  <si>
    <t>New 2025 Price  (incl gst)</t>
  </si>
  <si>
    <t xml:space="preserve">SURGEON FEE
INCLUSIVE OF GST </t>
  </si>
  <si>
    <t>FULL HOSPITAL FEE</t>
  </si>
  <si>
    <t xml:space="preserve">Includes procedures: iStent trabecular bypass microstent implantation, Kahook Dual Blade Goniotomy, iTrack Canaloplasty. Excludes cost of device/  prosthesis. The Price includes pre-operative technical assessment including the surgeon's fee, anaesthetist fees, theatre fees, sundry items, disposables and all drugs used intraoperatively and postoperatively as well as any facility costs. Price also includes post-operative care for six weeks following surgery. The procedure will be carried out on a day-stay basis performed under general anaesthetic by an anaesthetist. </t>
  </si>
  <si>
    <t xml:space="preserve">To be used in conjunction with cataract surgery. Includes procedures: iStent trabecular microstent implantation, Kahook Dual Blade Goniotomy, iTrack Canaloplasty. Includes all item costs to be able to perform MIGS (excluding device/ prosthesis) as an additional procedure to cataract surgery. The Price includes pre-operative technical assessment including surgeon's fee, anaesthetist fees, additional theatre time, sundry items, disposables and all drugs used intraoperatively and postoperatively as well as any facility costs. Price also includes post-operative care for six weeks following surgery. The procedure will be carried out on a day-stay basis performed under general anaesthetic by an anaesthetist. The items required to perform a cataract should not be included as they are already part of the base cataract cost. </t>
  </si>
  <si>
    <t>Minimally Invasive Glaucoma Surgery - Category B (GA)</t>
  </si>
  <si>
    <t xml:space="preserve">Includes the implantation of a minimally invasive subconjunctival filtration device using XEN or PreserFlo. Excludes cost of device/ prosthesis.The Price includes pre-operative technical assessment including the surgeon's fee, anaesthetist fees, theatre fees, sundry items, disposables and all drugs used intraoperatively and postoperatively as well as any facility costs. Price also includes post-operative care for six weeks following surgery. The procedure will be carried out on a day-stay basis performed under general anaesthetic by an anaesthetist. </t>
  </si>
  <si>
    <t xml:space="preserve">To be used in conjunction with cataract surgery. Includes the implantation of a minimally invasive subconjunctival filtration device using XEN or PreserFlo. Includes all item costs to be able to perform MIGS (excluding device/ prosthesis) as an additional procedure to cataract surgery. The Price includes pre-operative technical assessment including surgeon's fee, anaesthetist fees, additional theatre time, sundry items, disposables and all drugs used intraoperatively and postoperatively as well as any facility costs. Price also includes post-operative care for six weeks following surgery. The procedure will be carried out on a day-stay basis performed under general anaesthetic by an anaesthetist.. The items required to perform a cataract should not be included as they are already part of the base cataract cost. </t>
  </si>
  <si>
    <t xml:space="preserve">To be used in conjunction with cataract surgery. Includes the implantation of a minimally invasive subconjunctival filtration device using XEN or PreserFlo. Includes all item costs to be able to perform MIGS (excluding device/ prosthesis) as an additional procedure to cataract surgery. The Price includes pre-operative technical assessment including surgeon's fee, additional theatre time,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(with or without anaesthetist). The items required to perform a cataract should not be included as they are already part of the base cataract cost. </t>
  </si>
  <si>
    <t>AP1326</t>
  </si>
  <si>
    <t>Minimally Invasive Glaucoma Surgery - Category C (LA)</t>
  </si>
  <si>
    <t xml:space="preserve">MicroPulse Transscleral Cyclophotocoagulation (MP-TSCPC). Excludes cost of device/ prosthesis.The Price includes pre-operative technical assessment including the surgeon's fee, theatre fees,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(with or without anaesthetist). </t>
  </si>
  <si>
    <t xml:space="preserve">IRIS IMPLANTS </t>
  </si>
  <si>
    <t xml:space="preserve">Including GST </t>
  </si>
  <si>
    <t xml:space="preserve">CES OFFER </t>
  </si>
  <si>
    <t>Iris hooks</t>
  </si>
  <si>
    <t>To be used in conjunction with cataract surgery. Device used to enlarge small pupils to allow adequate visualisation during surgery. Price includes cost of hooks and any other sundries required.</t>
  </si>
  <si>
    <t xml:space="preserve">n/a </t>
  </si>
  <si>
    <t>AP1297</t>
  </si>
  <si>
    <t>Unilateral Custom Iris Implant Insertion (LA)</t>
  </si>
  <si>
    <t>The Price includes pre-operative technical assessment including the surgeon's fee, theatre fees,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Excludes cost of prosthesis.</t>
  </si>
  <si>
    <t>AP1298</t>
  </si>
  <si>
    <t>Prosthesis for Unilateral Custom Iris Implant Insertion</t>
  </si>
  <si>
    <t>Custom prosthesis used for iris defects in one eye.</t>
  </si>
  <si>
    <t>AP1327</t>
  </si>
  <si>
    <t>Unilateral Custom Iris Implant Insertion (LA) - Add on</t>
  </si>
  <si>
    <t xml:space="preserve">To be used in conjunction with cataract and/or vitrectomy surgery (or any other ophthalmic surgery). Includes all item costs to be able to perform iris implantion (excluding device/ prothesis) as an additional procedure to cataract and/or vitrectomy surgery (or any other ophthalmic surgery). The Price includes pre-operative technical assessment including the surgeon's fee, theatre fees,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(with or without anaesthetist). The items required to perform a cataract and/or vitrectomy (or any other ophthalmic surgery) should not be included as they are already part of the base cataract cost. </t>
  </si>
  <si>
    <t>MIGS Device - Category 1</t>
  </si>
  <si>
    <t> AP1304</t>
  </si>
  <si>
    <t>$0- $ 1,000.00</t>
  </si>
  <si>
    <t xml:space="preserve">MIGS Device - Category 2 </t>
  </si>
  <si>
    <t> AP1305</t>
  </si>
  <si>
    <t>$0- $ 1,500.00</t>
  </si>
  <si>
    <t xml:space="preserve">MIGS Device - Category 3 </t>
  </si>
  <si>
    <t> AP1306</t>
  </si>
  <si>
    <t>$0- $ 2,500.00</t>
  </si>
  <si>
    <t>Minimally Invasive Glaucoma Surgery and Goniotomy - Category A - Add on to Cataract (GA)</t>
  </si>
  <si>
    <t>Minimally Invasive Glaucoma Surgery and Goniotomy - Category A - Add on to Cataract (LA)</t>
  </si>
  <si>
    <r>
      <t xml:space="preserve">Actual cost </t>
    </r>
    <r>
      <rPr>
        <b/>
        <u/>
        <sz val="14"/>
        <rFont val="Arial"/>
        <family val="2"/>
      </rPr>
      <t>up to GST inclusive</t>
    </r>
    <r>
      <rPr>
        <b/>
        <sz val="14"/>
        <rFont val="Arial"/>
        <family val="2"/>
      </rPr>
      <t xml:space="preserve"> </t>
    </r>
  </si>
  <si>
    <t xml:space="preserve">      </t>
  </si>
  <si>
    <t xml:space="preserve">AP Code </t>
  </si>
  <si>
    <t xml:space="preserve"> WC HNZ PROCEDURES  -Level 1/Low Level Procedures</t>
  </si>
  <si>
    <t xml:space="preserve">WC HNZ PROCEDURES  -Level 2/High Level Procedures </t>
  </si>
  <si>
    <t>CHRISTCHURCH EYE SURGERY</t>
  </si>
  <si>
    <t>FEE SCHEDULE</t>
  </si>
  <si>
    <t>Theatre time (minutes)</t>
  </si>
  <si>
    <t xml:space="preserve">Theatre charge </t>
  </si>
  <si>
    <t xml:space="preserve">(Exclusive GST) </t>
  </si>
  <si>
    <t>0 – 15 min</t>
  </si>
  <si>
    <t>16 - 30 min</t>
  </si>
  <si>
    <t>31 – 45 min</t>
  </si>
  <si>
    <t>46 - 60 min</t>
  </si>
  <si>
    <t>61 – 75 min</t>
  </si>
  <si>
    <t>76 – 90 min</t>
  </si>
  <si>
    <t>91 – 105 min</t>
  </si>
  <si>
    <t>106- 120 min</t>
  </si>
  <si>
    <t>121 – 135 min</t>
  </si>
  <si>
    <t>136 - 150 min</t>
  </si>
  <si>
    <t>151 - 165 min</t>
  </si>
  <si>
    <t>166 – 180 min</t>
  </si>
  <si>
    <t>181 - 195 min</t>
  </si>
  <si>
    <t xml:space="preserve">Recovery time </t>
  </si>
  <si>
    <t>Recovery charge</t>
  </si>
  <si>
    <t>0 – 60 minutes</t>
  </si>
  <si>
    <t>60 – 120 minutes</t>
  </si>
  <si>
    <t>120 – 180 minutes</t>
  </si>
  <si>
    <t xml:space="preserve">CES Fixed Fee Cataracts </t>
  </si>
  <si>
    <t xml:space="preserve">Fixed Fee Pricing 14 April 2025 </t>
  </si>
  <si>
    <t xml:space="preserve">Total SX Pay </t>
  </si>
  <si>
    <t>AP0134</t>
  </si>
  <si>
    <t>Unilateral ptosis and blephs repair performed under local anaesthetic in day stay / theatre. Price includes surgeon’s fees, facility and ancillary costs and all associated equipment and personnel. The contract price includes post-operative care for six weeks following surgery.</t>
  </si>
  <si>
    <t>Blepharoplasty &amp; ptosis uni lateral – LA (Day Stay/Theatre)</t>
  </si>
  <si>
    <t>c</t>
  </si>
  <si>
    <t xml:space="preserve">Hospital INCL GST </t>
  </si>
  <si>
    <t>*</t>
  </si>
  <si>
    <t xml:space="preserve">Anaesthetist fee
 Excl GST </t>
  </si>
  <si>
    <t xml:space="preserve">Anaesthetist fee
  Incl. GST </t>
  </si>
  <si>
    <t>D.PATON</t>
  </si>
  <si>
    <t>PHM Procedure Items updated 10/7/2025</t>
  </si>
  <si>
    <t xml:space="preserve">LESLEY ALLAN </t>
  </si>
  <si>
    <t xml:space="preserve"> updated  PHM Service items  Non Core sheet 10/7/2025</t>
  </si>
  <si>
    <t>C=</t>
  </si>
  <si>
    <t>ACC   1/7/2025</t>
  </si>
  <si>
    <t xml:space="preserve">HNZ 4% uplift ? Effective date </t>
  </si>
  <si>
    <t xml:space="preserve"> Canterbury HNZ Pricing 1/10/2025</t>
  </si>
  <si>
    <t>No Anaes Outsourced Cataracts 1 October 25 to 30 Sept  2026</t>
  </si>
  <si>
    <t>Oursourced Cataracts 1 October 2025</t>
  </si>
  <si>
    <t>Canterbury HNZ Pricing 1/10/2025</t>
  </si>
  <si>
    <t xml:space="preserve">Outsourced Level 1 Ophthalmology Procedures 1 October 2025 </t>
  </si>
  <si>
    <t>Outsourced Ophthalmology Procedures 1 October 2025</t>
  </si>
  <si>
    <t>Outsourced Cataracts- 1 October 2025</t>
  </si>
  <si>
    <t xml:space="preserve">WC HNZ CATARACT GA  </t>
  </si>
  <si>
    <t xml:space="preserve"> Cataract IOL under GA</t>
  </si>
  <si>
    <t>2187.67 until 30 sept</t>
  </si>
  <si>
    <t>2024 fees</t>
  </si>
  <si>
    <t>1168 until 30 sept 25</t>
  </si>
  <si>
    <t>ces 2894.09 until 30 sept 25</t>
  </si>
  <si>
    <t xml:space="preserve">Fixed Fee Cataract MIGS Other Insurance </t>
  </si>
  <si>
    <t>Cataract MIGS and IOL</t>
  </si>
  <si>
    <t xml:space="preserve">self funded/Other insured </t>
  </si>
  <si>
    <t>Actual cost of the Kahook Dual Blade device and Tanito Microhook 
as invoiced by the manufacturer used in Minimally Invasive Glaucoma Surgery or goniotomy</t>
  </si>
  <si>
    <t>Actual cost of the device used in Minimally Invasive Glaucoma Surgery as invoiced by the manufacturer.
  Includes: iTrack canaloplasty microcatheter and MicroPulse P3 Delivery and Streamline devices only.</t>
  </si>
  <si>
    <t>Actual cost of the device used in Minimally Invasive Glaucoma Surgery as invoiced by the manufacturer. 
Includes: iStent or iStent Infinite Trabecular Micro-Bypass Stent, PreserFlo MicroShunt, Xen Gel Stent and Hydrus Microstent devices only.</t>
  </si>
  <si>
    <t>Includes procedures: iStent or iStent Infinite trabecular bypass microstent implantation, Hydrus Microstent, Kahook Dual Blade Goniotomy, Tanito Microhook Goniotomy, iTrack Canaloplasty, Streamline. Excludes cost of device/ prosthesis. The Price includes pre-operative technical assessment including the surgeon's fee, theatre fees,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(with or without anaesthetist).</t>
  </si>
  <si>
    <t xml:space="preserve">To be used in conjunction with cataract surgery. Includes procedures: iStent or iStent Infinite trabecular microstent implantation, Hydrus Microstent, Kahook Dual Blade Goniotomy, Tanito Microhook Goniotomy, iTrack Canaloplasty, Streamline. Includes all item costs to be able to perform MIGS (excluding device/ prosthesis) as an additional procedure to cataract surgery. The Price includes pre-operative technical assessment including surgeon's fee, additional theatre time,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(with or without anaesthetist). The items required to perform a cataract should not be included as they are already part of the base cataract cost. </t>
  </si>
  <si>
    <t xml:space="preserve">Includes the implantation of a minimally invasive subconjunctival filtration device using XEN or PreserFlo. Excludes cost of device/ prosthesis. The Price includes pre-operative technical assessment including the surgeon's fee, theatre fees, sundry items, disposables and all drugs used intraoperatively and postoperatively as well as any facility costs. Price also includes post-operative care for six weeks following surgery. The procedure will be carried out on a day-stay basis performed under topical (gel or drops) or local anaesthetic (with or without anaesthetist). </t>
  </si>
  <si>
    <t xml:space="preserve">AIA </t>
  </si>
  <si>
    <t xml:space="preserve">Cat </t>
  </si>
  <si>
    <t xml:space="preserve">Cat GA add </t>
  </si>
  <si>
    <t>SX Pricing 1/3/2026</t>
  </si>
  <si>
    <t xml:space="preserve">no change TO SURGOEN AND ANAESTHETISTS FEES </t>
  </si>
  <si>
    <t>to be entered PHM 2 March 2026</t>
  </si>
  <si>
    <t xml:space="preserve">VR Time Calculation (March 2026) </t>
  </si>
  <si>
    <t xml:space="preserve">Effective 1 March 2026(No change from 2025) </t>
  </si>
  <si>
    <t xml:space="preserve">No Vitrectomy time fee increases since  1 March 2024 </t>
  </si>
  <si>
    <t xml:space="preserve">                    Effective 1 April 2026</t>
  </si>
  <si>
    <t xml:space="preserve">NIB Cataracts patients $2,120.00 excluding GST ($2,438.00 including GST) </t>
  </si>
  <si>
    <t>Self-Funded Cataract patients $2,494.00  excluding GST ($2,868.00 including GST)</t>
  </si>
  <si>
    <t>Other Insured Cataracts patients are $2,859.00 excluding GST ($3,287.00 including GST)</t>
  </si>
  <si>
    <t xml:space="preserve">MIGS +/- Cataract Fixed Fee $2,796.96 excluding GST ($3,216.50 including GST) </t>
  </si>
  <si>
    <t>AIA Fixed Cataract Fee $2,521.74 Excluding GST ($2,900.00 including GST)</t>
  </si>
  <si>
    <t>AIA GA added to Fixed fee AIA Cataract $382.61 Excluding GST ($440.00 including GST)</t>
  </si>
  <si>
    <t>CES Fixed Fee Pricing  1 April 2026</t>
  </si>
  <si>
    <t>CES Fixed Fee Pricing 1 April 2026</t>
  </si>
  <si>
    <t xml:space="preserve">Fixed Fee GA extra $393 excl.GST </t>
  </si>
  <si>
    <t>CES MIGS Pricing 1 April 2026</t>
  </si>
  <si>
    <t xml:space="preserve">$452 Inclusive </t>
  </si>
  <si>
    <t>Service Code</t>
  </si>
  <si>
    <t xml:space="preserve">Short Description </t>
  </si>
  <si>
    <t>Detailed Service Description</t>
  </si>
  <si>
    <t>Price</t>
  </si>
  <si>
    <t>GST inclusive</t>
  </si>
  <si>
    <t>AP1491</t>
  </si>
  <si>
    <t>AP1515</t>
  </si>
  <si>
    <t>Eyelid or periocular surgery for skin lesions, between 30-45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</si>
  <si>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AP1516</t>
  </si>
  <si>
    <t>Eyelid or periocular surgery for skin lesions, between 45-75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</si>
  <si>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AP1517</t>
  </si>
  <si>
    <t>Eyelid or periocular surgery for skin lesions, taking over 75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</si>
  <si>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AP1524</t>
  </si>
  <si>
    <t>Closure of surgical defect on the eyelid and/or periocular region following Mohs excision under local anaesthetic, performed by contracted oculoplastic.   The Price includes pre-operative technical assessment including the surgeons fee, theatre/rooms fees, sundry items, disposables and all drugs used intraoperatively and postoperatively as well as any facility costs. Price also includes post-operative care for six weeks following surgery. The procedure will be carried out on a day-stay basis performed under local anaesthetic.</t>
  </si>
  <si>
    <t>AP1525</t>
  </si>
  <si>
    <t>$1.00 - $3,500</t>
  </si>
  <si>
    <t>AP1526</t>
  </si>
  <si>
    <t>$1.00 - $8,750</t>
  </si>
  <si>
    <t>AP0919</t>
  </si>
  <si>
    <t>AP0920</t>
  </si>
  <si>
    <t>$3,501 - $5,500</t>
  </si>
  <si>
    <t>AP0921</t>
  </si>
  <si>
    <t>$5,501 - $10,000</t>
  </si>
  <si>
    <t>SX AP TotaL</t>
  </si>
  <si>
    <r>
      <t xml:space="preserve">GA/IV Sedation for removal or closure  of lesion/s – (option 3)
</t>
    </r>
    <r>
      <rPr>
        <sz val="10"/>
        <color rgb="FFFF0000"/>
        <rFont val="Arial"/>
        <family val="2"/>
      </rPr>
      <t xml:space="preserve"> (case by case option to add on to codes AP1525 and AP1526 based on actual costs and theatre time over 60 mins between fee range $5,501 and $10,000) </t>
    </r>
  </si>
  <si>
    <r>
      <t xml:space="preserve">GA/IV Sedation for removal or closure  of lesion/s – (option 2) 
</t>
    </r>
    <r>
      <rPr>
        <sz val="10"/>
        <color rgb="FFFF0000"/>
        <rFont val="Arial"/>
        <family val="2"/>
      </rPr>
      <t xml:space="preserve"> (case by case option to add on to AP1525 and AP1526  NB fee based on on actual theatre time over 60 mins and actual total costs between  $3,501 and $5,500) </t>
    </r>
  </si>
  <si>
    <t xml:space="preserve">ADDONS </t>
  </si>
  <si>
    <r>
      <t xml:space="preserve">Intermediate eyelid or periocular surgery for skin lesions in theatre (LA) &lt;30 mins
</t>
    </r>
    <r>
      <rPr>
        <sz val="10"/>
        <color rgb="FFFF0000"/>
        <rFont val="Arial"/>
        <family val="2"/>
      </rPr>
      <t xml:space="preserve"> NO ANAESTHETIST 
</t>
    </r>
    <r>
      <rPr>
        <sz val="10"/>
        <color rgb="FF000000"/>
        <rFont val="Arial"/>
        <family val="2"/>
      </rPr>
      <t xml:space="preserve">
</t>
    </r>
  </si>
  <si>
    <r>
      <t xml:space="preserve">Intermediate eyelid or periocular surgery for skin lesions in theatre (LA) 30-45 mins
</t>
    </r>
    <r>
      <rPr>
        <sz val="10"/>
        <color rgb="FFFF0000"/>
        <rFont val="Arial"/>
        <family val="2"/>
      </rPr>
      <t xml:space="preserve">NO ANAESTHETIST 
</t>
    </r>
    <r>
      <rPr>
        <sz val="10"/>
        <color rgb="FF000000"/>
        <rFont val="Arial"/>
        <family val="2"/>
      </rPr>
      <t xml:space="preserve">
</t>
    </r>
  </si>
  <si>
    <t xml:space="preserve">MIGS 1 March 25 </t>
  </si>
  <si>
    <t xml:space="preserve"> cataract fee</t>
  </si>
  <si>
    <t>Total inc add on Cat</t>
  </si>
  <si>
    <t xml:space="preserve"> SX price</t>
  </si>
  <si>
    <t xml:space="preserve">sub TOTAL </t>
  </si>
  <si>
    <t xml:space="preserve">fee plus cat </t>
  </si>
  <si>
    <t xml:space="preserve">SX TOTAL </t>
  </si>
  <si>
    <t xml:space="preserve">GA </t>
  </si>
  <si>
    <t xml:space="preserve">Category A </t>
  </si>
  <si>
    <t xml:space="preserve">Category A /add on Cataract </t>
  </si>
  <si>
    <t xml:space="preserve">Category B </t>
  </si>
  <si>
    <t xml:space="preserve">Category B Add on Cataract </t>
  </si>
  <si>
    <t xml:space="preserve">LA </t>
  </si>
  <si>
    <t xml:space="preserve">Categopry A </t>
  </si>
  <si>
    <t xml:space="preserve">Category A add on Cataract </t>
  </si>
  <si>
    <t>GA added to Fixed Cataract Fee$382.61 Excluding GST ($440.00 including GST)</t>
  </si>
  <si>
    <t xml:space="preserve">GA Cataract Add On </t>
  </si>
  <si>
    <t>Canterbury and West Coast HNZ Pricing 1/7/2026</t>
  </si>
  <si>
    <t xml:space="preserve">No Anaes Outsourced Cataracts 1 July 2026 GETS RFP </t>
  </si>
  <si>
    <t xml:space="preserve">t Cataracts 1 July 2026 GETS RFP </t>
  </si>
  <si>
    <t xml:space="preserve">FSA fup </t>
  </si>
  <si>
    <t>New Pricing from 1 July 2026 to 30 June 2027</t>
  </si>
  <si>
    <t>30/6/2027</t>
  </si>
  <si>
    <r>
      <t xml:space="preserve">Eyelid or periocular surgery </t>
    </r>
    <r>
      <rPr>
        <sz val="10"/>
        <color rgb="FFFF0000"/>
        <rFont val="Arial"/>
        <family val="2"/>
      </rPr>
      <t xml:space="preserve">(including excision and/or closure) </t>
    </r>
    <r>
      <rPr>
        <sz val="10"/>
        <color rgb="FF000000"/>
        <rFont val="Arial"/>
        <family val="2"/>
      </rPr>
      <t>for skin lesions, up to 30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r>
  </si>
  <si>
    <t>$1.00 - $2691</t>
  </si>
  <si>
    <t>$1.00 - $4568</t>
  </si>
  <si>
    <t>$1.00 - $6521</t>
  </si>
  <si>
    <t>$1.00 - $11499</t>
  </si>
  <si>
    <t>AP1518</t>
  </si>
  <si>
    <t>AP1519</t>
  </si>
  <si>
    <t>AP1520</t>
  </si>
  <si>
    <t>AP1521</t>
  </si>
  <si>
    <r>
      <t xml:space="preserve">Eyelid or periocular surgery for skin lesions, up to 30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</si>
  <si>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r>
      <t xml:space="preserve">Eyelid or periocular surgery for skin lesions, between 30-45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</si>
  <si>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r>
      <t xml:space="preserve">Eyelid or periocular surgery for skin lesions, between 45-75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</si>
  <si>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r>
      <t xml:space="preserve">Eyelid or periocular surgery for skin lesions, taking over 75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</si>
  <si>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t>$1.00-2461</t>
  </si>
  <si>
    <t>$1.00- 6870</t>
  </si>
  <si>
    <t>$1.00-9112</t>
  </si>
  <si>
    <t>$1.00-13999</t>
  </si>
  <si>
    <t>$1.00 - $9554</t>
  </si>
  <si>
    <t>$1.00 - $5200</t>
  </si>
  <si>
    <r>
      <t xml:space="preserve">Intermediate eyelid or periocular surgery for skin lesions in theatre (GA/IV sedation) &lt;30 mins </t>
    </r>
    <r>
      <rPr>
        <sz val="10"/>
        <color rgb="FFFF0000"/>
        <rFont val="Arial"/>
        <family val="2"/>
      </rPr>
      <t xml:space="preserve">WITH ANAESTHETIST </t>
    </r>
  </si>
  <si>
    <r>
      <t xml:space="preserve">Intermediate eyelid or periocular surgery for skin lesions in theatre (GA/IV sedation) 30-45 mins  </t>
    </r>
    <r>
      <rPr>
        <sz val="10"/>
        <color rgb="FFFF0000"/>
        <rFont val="Arial"/>
        <family val="2"/>
      </rPr>
      <t>WITH ANAESTHETIST</t>
    </r>
    <r>
      <rPr>
        <sz val="10"/>
        <color rgb="FF000000"/>
        <rFont val="Arial"/>
        <family val="2"/>
      </rPr>
      <t xml:space="preserve"> </t>
    </r>
  </si>
  <si>
    <r>
      <t xml:space="preserve">Major eyelid or periocular surgery for skin lesions in theatre (GA/IV sedation) 45-75 mins </t>
    </r>
    <r>
      <rPr>
        <sz val="10"/>
        <color rgb="FFFF0000"/>
        <rFont val="Arial"/>
        <family val="2"/>
      </rPr>
      <t xml:space="preserve">WITH ANAESTHETIST </t>
    </r>
  </si>
  <si>
    <r>
      <t xml:space="preserve">Major eyelid or periocular surgery for skin lesions in theatre (GA/IV sedation) &gt;75 mins   </t>
    </r>
    <r>
      <rPr>
        <sz val="10"/>
        <color rgb="FFFF0000"/>
        <rFont val="Arial"/>
        <family val="2"/>
      </rPr>
      <t xml:space="preserve">WITH ANAESTHETIST </t>
    </r>
  </si>
  <si>
    <r>
      <t xml:space="preserve">Periocular and/ or eyelid Mohs Closure (LA)
</t>
    </r>
    <r>
      <rPr>
        <sz val="10"/>
        <color rgb="FFFF0000"/>
        <rFont val="Arial"/>
        <family val="2"/>
      </rPr>
      <t xml:space="preserve">
WITH ANAESTHETIST 
</t>
    </r>
  </si>
  <si>
    <r>
      <t xml:space="preserve">Major eyelid or periocular surgery for skin lesions in theatre (LA) 45-75 mins 
</t>
    </r>
    <r>
      <rPr>
        <sz val="10"/>
        <color rgb="FFFF0000"/>
        <rFont val="Arial"/>
        <family val="2"/>
      </rPr>
      <t xml:space="preserve">WITH ANAESTHETIST </t>
    </r>
  </si>
  <si>
    <r>
      <t xml:space="preserve">Major eyelid or periocular surgery for skin lesions in theatre (LA) &gt;75 mins 
</t>
    </r>
    <r>
      <rPr>
        <sz val="10"/>
        <color rgb="FFFF0000"/>
        <rFont val="Arial"/>
        <family val="2"/>
      </rPr>
      <t xml:space="preserve">WITH ANAESTHETIST </t>
    </r>
    <r>
      <rPr>
        <sz val="10"/>
        <color rgb="FF000000"/>
        <rFont val="Arial"/>
        <family val="2"/>
      </rPr>
      <t xml:space="preserve">
</t>
    </r>
  </si>
  <si>
    <r>
      <t>All costs associated with the removal or closure of skin lesion/s where the actual cost is less than $3,500.00. Price includes anaesthetist's fee and all associated facility costs. Performed under general anaesthetic or IV sedation.(</t>
    </r>
    <r>
      <rPr>
        <sz val="10"/>
        <color rgb="FFFF0000"/>
        <rFont val="Arial"/>
        <family val="2"/>
      </rPr>
      <t xml:space="preserve"> no surgeon fee) </t>
    </r>
  </si>
  <si>
    <r>
      <t>All costs associated with the removal or closure of skin lesion/s where the actual cost is between $3,501.00 and $5,500.00. Price includes anaesthetist's fee and all associated facility costs. Performed under general anaesthetic or IV sedation.
.</t>
    </r>
    <r>
      <rPr>
        <sz val="10"/>
        <color rgb="FFFF0000"/>
        <rFont val="Arial"/>
        <family val="2"/>
      </rPr>
      <t xml:space="preserve">( no surgeon fee) </t>
    </r>
  </si>
  <si>
    <r>
      <t xml:space="preserve">All costs associated with the removal or closure of skin lesion/s where the actual cost and theatre time over 60 mins is between $5,501.00 and $10,000.00. Price includes anaesthetist's fee and all associated facility costs. Performed under general anaesthetic or IV sedation.
.( </t>
    </r>
    <r>
      <rPr>
        <sz val="10"/>
        <color rgb="FFFF0000"/>
        <rFont val="Arial"/>
        <family val="2"/>
      </rPr>
      <t>no surgeon fee)</t>
    </r>
    <r>
      <rPr>
        <sz val="10"/>
        <color rgb="FF000000"/>
        <rFont val="Arial"/>
        <family val="2"/>
      </rPr>
      <t xml:space="preserve"> </t>
    </r>
  </si>
  <si>
    <r>
      <t xml:space="preserve">Reconstruction of Mohs surgical defect under GA/IV Sedation &lt;60 mins
</t>
    </r>
    <r>
      <rPr>
        <sz val="10"/>
        <color rgb="FFFF0000"/>
        <rFont val="Arial"/>
        <family val="2"/>
      </rPr>
      <t xml:space="preserve">Price includes surgeon’s fee only. </t>
    </r>
  </si>
  <si>
    <r>
      <t xml:space="preserve">Reconstruction of Mohs surgical defect under GA/IV Sedation &gt;60 mins
</t>
    </r>
    <r>
      <rPr>
        <sz val="10"/>
        <color rgb="FFFF0000"/>
        <rFont val="Arial"/>
        <family val="2"/>
      </rPr>
      <t xml:space="preserve">Price includes surgeon’s fee only. </t>
    </r>
  </si>
  <si>
    <r>
      <t xml:space="preserve">Closure of surgical defect following Mohs excision, performed in a facility setting under GA or IV sedation, with a total theatre time of under 60 minutes. </t>
    </r>
    <r>
      <rPr>
        <sz val="10"/>
        <color rgb="FFFF0000"/>
        <rFont val="Arial"/>
        <family val="2"/>
      </rPr>
      <t xml:space="preserve">Price includes surgeon’s fee </t>
    </r>
  </si>
  <si>
    <r>
      <t xml:space="preserve">Closure of surgical defect following Mohs excision, performed in a facility setting under GA or IV sedation, with a total theatre time of over 60 minutes. </t>
    </r>
    <r>
      <rPr>
        <sz val="10"/>
        <color rgb="FFFF0000"/>
        <rFont val="Arial"/>
        <family val="2"/>
      </rPr>
      <t xml:space="preserve">Price includes surgeon’s fee </t>
    </r>
  </si>
  <si>
    <t xml:space="preserve">Minutes </t>
  </si>
  <si>
    <t xml:space="preserve">Skins Effective 1 April 2026 </t>
  </si>
  <si>
    <t>45-60</t>
  </si>
  <si>
    <t>61-75</t>
  </si>
  <si>
    <t>75-89</t>
  </si>
  <si>
    <t>90-120</t>
  </si>
  <si>
    <t>GA/IV Sedation for removal or closure of lesion/s – (option 1)</t>
  </si>
  <si>
    <t>30-45</t>
  </si>
  <si>
    <t>Max</t>
  </si>
  <si>
    <t xml:space="preserve">AP1516(1) </t>
  </si>
  <si>
    <t xml:space="preserve">AP1516(2) </t>
  </si>
  <si>
    <t>AP1517(1)</t>
  </si>
  <si>
    <t xml:space="preserve">AP1517(2) </t>
  </si>
  <si>
    <t xml:space="preserve">AP1520 (1) </t>
  </si>
  <si>
    <t xml:space="preserve">AP1520 (2) </t>
  </si>
  <si>
    <t xml:space="preserve">AP1521(2) </t>
  </si>
  <si>
    <t xml:space="preserve">AP1521 (1) </t>
  </si>
  <si>
    <t xml:space="preserve">                                             </t>
  </si>
  <si>
    <t xml:space="preserve">AP1524 (1) </t>
  </si>
  <si>
    <t xml:space="preserve">AP1524 (2) </t>
  </si>
  <si>
    <t xml:space="preserve">AP1525 </t>
  </si>
  <si>
    <t>&lt;60</t>
  </si>
  <si>
    <t>&gt;60</t>
  </si>
  <si>
    <t>60-90</t>
  </si>
  <si>
    <t xml:space="preserve">AP0921 (2) </t>
  </si>
  <si>
    <t xml:space="preserve">                                                                                                                                          </t>
  </si>
  <si>
    <t>&lt;30</t>
  </si>
  <si>
    <r>
      <t xml:space="preserve">Major eyelid or periocular surgery for skin lesions in theatre (LA) 45-60 mins 
</t>
    </r>
    <r>
      <rPr>
        <sz val="10"/>
        <color rgb="FFFF0000"/>
        <rFont val="Arial"/>
        <family val="2"/>
      </rPr>
      <t xml:space="preserve">WITH ANAESTHETIST </t>
    </r>
  </si>
  <si>
    <r>
      <t xml:space="preserve">Major eyelid or periocular surgery for skin lesions in theatre (LA) 61-75mins 
</t>
    </r>
    <r>
      <rPr>
        <sz val="10"/>
        <color rgb="FFFF0000"/>
        <rFont val="Arial"/>
        <family val="2"/>
      </rPr>
      <t xml:space="preserve">WITH ANAESTHETIST </t>
    </r>
  </si>
  <si>
    <r>
      <t xml:space="preserve">Major eyelid or periocular surgery for skin lesions in theatre (LA) 90-120+ mins 
</t>
    </r>
    <r>
      <rPr>
        <sz val="10"/>
        <color rgb="FFFF0000"/>
        <rFont val="Arial"/>
        <family val="2"/>
      </rPr>
      <t xml:space="preserve">WITH ANAESTHETIST </t>
    </r>
    <r>
      <rPr>
        <sz val="10"/>
        <color rgb="FF000000"/>
        <rFont val="Arial"/>
        <family val="2"/>
      </rPr>
      <t xml:space="preserve">
</t>
    </r>
  </si>
  <si>
    <t>90-120+</t>
  </si>
  <si>
    <t>75-120</t>
  </si>
  <si>
    <r>
      <t xml:space="preserve">Major eyelid or periocular surgery for skin lesions in theatre (GA/IV sedation) 75 -120  </t>
    </r>
    <r>
      <rPr>
        <sz val="10"/>
        <color rgb="FFFF0000"/>
        <rFont val="Arial"/>
        <family val="2"/>
      </rPr>
      <t xml:space="preserve">WITH ANAESTHETIST </t>
    </r>
  </si>
  <si>
    <t>121+</t>
  </si>
  <si>
    <r>
      <t xml:space="preserve">Periocular and/ or eyelid Mohs Closure (LA) 30-45 mins 
</t>
    </r>
    <r>
      <rPr>
        <sz val="10"/>
        <color rgb="FFFF0000"/>
        <rFont val="Arial"/>
        <family val="2"/>
      </rPr>
      <t xml:space="preserve">
WITH ANAESTHETIST 
</t>
    </r>
  </si>
  <si>
    <t>45-59</t>
  </si>
  <si>
    <t>Eyelid or periocular surgery for skin lesions, between 45-60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</si>
  <si>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Eyelid or periocular surgery for skin lesions, between 61-75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</si>
  <si>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Eyelid or periocular surgery for skin lesions, taking over 75 - 89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</si>
  <si>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Eyelid or periocular surgery for skin lesions, taking over 90-120+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t>
  </si>
  <si>
    <t>&gt;29</t>
  </si>
  <si>
    <r>
      <t xml:space="preserve">Intermediate eyelid or periocular surgery for skin lesions in theatre (GA/IV sedation) &lt;29mins </t>
    </r>
    <r>
      <rPr>
        <sz val="10"/>
        <color rgb="FFFF0000"/>
        <rFont val="Arial"/>
        <family val="2"/>
      </rPr>
      <t xml:space="preserve">WITH ANAESTHETIST </t>
    </r>
  </si>
  <si>
    <r>
      <t xml:space="preserve">Eyelid or periocular surgery for skin lesions, up to 29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</si>
  <si>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t xml:space="preserve">AP1519 </t>
  </si>
  <si>
    <r>
      <t xml:space="preserve">Major eyelid or periocular surgery for skin lesions in theatre (LA) 75 - 89mins 
</t>
    </r>
    <r>
      <rPr>
        <sz val="10"/>
        <color rgb="FFFF0000"/>
        <rFont val="Arial"/>
        <family val="2"/>
      </rPr>
      <t xml:space="preserve">WITH ANAESTHETIST </t>
    </r>
    <r>
      <rPr>
        <sz val="10"/>
        <color rgb="FF000000"/>
        <rFont val="Arial"/>
        <family val="2"/>
      </rPr>
      <t xml:space="preserve">
</t>
    </r>
  </si>
  <si>
    <t>60-75</t>
  </si>
  <si>
    <r>
      <t xml:space="preserve">Eyelid or periocular surgery for skin lesions, between 45-59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</si>
  <si>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r>
      <t xml:space="preserve">Major eyelid or periocular surgery for skin lesions in theatre (GA/IV sedation) 45-59 mins </t>
    </r>
    <r>
      <rPr>
        <sz val="10"/>
        <color rgb="FFFF0000"/>
        <rFont val="Arial"/>
        <family val="2"/>
      </rPr>
      <t xml:space="preserve">WITH ANAESTHETIST </t>
    </r>
  </si>
  <si>
    <r>
      <t xml:space="preserve">Eyelid or periocular surgery for skin lesions, between 60-75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</si>
  <si>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r>
      <t xml:space="preserve">Major eyelid or periocular surgery for skin lesions in theatre (GA/IV sedation) 60-75 mins </t>
    </r>
    <r>
      <rPr>
        <sz val="10"/>
        <color rgb="FFFF0000"/>
        <rFont val="Arial"/>
        <family val="2"/>
      </rPr>
      <t xml:space="preserve">WITH ANAESTHETIST </t>
    </r>
  </si>
  <si>
    <r>
      <t xml:space="preserve">Eyelid or periocular surgery for skin lesions, taking over 121+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</si>
  <si>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r>
      <t xml:space="preserve">Major eyelid or periocular surgery for skin lesions in theatre (GA/IV sedation) 121+ mins   </t>
    </r>
    <r>
      <rPr>
        <sz val="10"/>
        <color rgb="FFFF0000"/>
        <rFont val="Arial"/>
        <family val="2"/>
      </rPr>
      <t xml:space="preserve">WITH ANAESTHETIST </t>
    </r>
  </si>
  <si>
    <r>
      <t xml:space="preserve">Eyelid or periocular surgery for skin lesions, taking over 75 -120 minutes </t>
    </r>
    <r>
      <rPr>
        <sz val="10"/>
        <color rgb="FFFF0000"/>
        <rFont val="Arial"/>
        <family val="2"/>
      </rPr>
      <t xml:space="preserve">under GA or IV sedation </t>
    </r>
    <r>
      <rPr>
        <sz val="10"/>
        <color rgb="FF000000"/>
        <rFont val="Arial"/>
        <family val="2"/>
      </rPr>
      <t>in theatre. Price includes surgeon’s fee, facility and ancillary costs including anaesthetic, and all associated equipment and personnel. The contract price includes post-operative care for six weeks following surgery. Detailed description and theatre time must be retained and provided to Us on request.</t>
    </r>
  </si>
  <si>
    <t>46-59</t>
  </si>
  <si>
    <r>
      <t xml:space="preserve">Periocular and/ or eyelid Mohs Closure (LA) 46-59
</t>
    </r>
    <r>
      <rPr>
        <sz val="10"/>
        <color rgb="FFFF0000"/>
        <rFont val="Arial"/>
        <family val="2"/>
      </rPr>
      <t xml:space="preserve">
WITH ANAESTHETIST 
</t>
    </r>
  </si>
  <si>
    <t xml:space="preserve">AP0921(1) </t>
  </si>
  <si>
    <r>
      <t xml:space="preserve">GA/IV Sedation for removal or closure  of lesion/s – (option 2) 
</t>
    </r>
    <r>
      <rPr>
        <sz val="10"/>
        <color rgb="FFFF0000"/>
        <rFont val="Arial"/>
        <family val="2"/>
      </rPr>
      <t xml:space="preserve"> </t>
    </r>
  </si>
  <si>
    <t>All costs associated with the removal or closure of skin lesion/s where the actual cost is less than $3,500.00. Price includes anaesthetist's fee and all associated facility costs. Performed under general anaesthetic or IV sedation</t>
  </si>
  <si>
    <t xml:space="preserve">All costs associated with the removal or closure of skin lesion/s where the actual cost is between $3,501.00 and $5,500.00. Price includes anaesthetist's fee and all associated facility costs. Performed under general anaesthetic or IV sedation.
</t>
  </si>
  <si>
    <t xml:space="preserve">GA/IV Sedation for removal or closure  of lesion/s – (option 3)
</t>
  </si>
  <si>
    <t xml:space="preserve">All costs associated with the removal or closure of skin lesion/s where the actual cost and theatre time over 60 mins is between $5,501.00 and $10,000.00. Price includes anaesthetist's fee and all associated facility costs. Performed under general anaesthetic or IV sedation.
</t>
  </si>
  <si>
    <t xml:space="preserve">Anaesthetist Fee Inclusive GST </t>
  </si>
  <si>
    <t xml:space="preserve">Annaesthetist </t>
  </si>
  <si>
    <t xml:space="preserve">Subtotal </t>
  </si>
  <si>
    <t>Entered to PHM 29 June 2026 /DP</t>
  </si>
  <si>
    <t>Distributed to Surgoens and Ananesthietists same day</t>
  </si>
  <si>
    <t>ALL  HNZ Pricing 1/7/2026</t>
  </si>
  <si>
    <t>ALL Outsourced Cataracts1 July 2026</t>
  </si>
  <si>
    <t xml:space="preserve">Surgeon Fee + FSA FUP and Lens </t>
  </si>
  <si>
    <t xml:space="preserve">No Anaes Outsourced Cataracts 1 July 2026 </t>
  </si>
  <si>
    <t xml:space="preserve">All regions </t>
  </si>
  <si>
    <t xml:space="preserve">FSA ONLY </t>
  </si>
  <si>
    <t xml:space="preserve">as at 22 June 2026 </t>
  </si>
  <si>
    <t>PANEL IST ROW PRICING</t>
  </si>
  <si>
    <t xml:space="preserve">COMMITMENT 2ND ROW PRICING </t>
  </si>
  <si>
    <t>Proposed Fees</t>
  </si>
  <si>
    <t xml:space="preserve">PHM Code </t>
  </si>
  <si>
    <t>Procedures</t>
  </si>
  <si>
    <t>Procedure Category</t>
  </si>
  <si>
    <t>Surgeon</t>
  </si>
  <si>
    <t xml:space="preserve">Hosp </t>
  </si>
  <si>
    <t xml:space="preserve">Anaes </t>
  </si>
  <si>
    <t xml:space="preserve">Proposed Commitment  excl GST Commitment </t>
  </si>
  <si>
    <t>Proposed Panel Agreement Fee Excl. G.S.T.</t>
  </si>
  <si>
    <t>PHM</t>
  </si>
  <si>
    <t xml:space="preserve">HNZCATall </t>
  </si>
  <si>
    <t>Cataract  - inclusive of Standard  Intraocular Lens (Unilateral)</t>
  </si>
  <si>
    <t>Cataract</t>
  </si>
  <si>
    <t xml:space="preserve">ENTERED </t>
  </si>
  <si>
    <t>HNZCATNOANAES</t>
  </si>
  <si>
    <t xml:space="preserve">Cataract  - inclusive of Standard  Intraocular Lens (Unilateral no anaesthetist) </t>
  </si>
  <si>
    <t xml:space="preserve">HNZ Add Toric </t>
  </si>
  <si>
    <r>
      <rPr>
        <i/>
        <sz val="12"/>
        <color rgb="FF000000"/>
        <rFont val="Arial"/>
        <family val="2"/>
      </rPr>
      <t>Additional Charge</t>
    </r>
    <r>
      <rPr>
        <sz val="12"/>
        <color rgb="FF000000"/>
        <rFont val="Arial"/>
        <family val="2"/>
      </rPr>
      <t xml:space="preserve"> if Toric Lens is used</t>
    </r>
  </si>
  <si>
    <t>HNZINJ</t>
  </si>
  <si>
    <r>
      <rPr>
        <i/>
        <sz val="12"/>
        <color rgb="FF000000"/>
        <rFont val="Arial"/>
        <family val="2"/>
      </rPr>
      <t xml:space="preserve">Additional Charge </t>
    </r>
    <r>
      <rPr>
        <sz val="12"/>
        <color rgb="FF000000"/>
        <rFont val="Arial"/>
        <family val="2"/>
      </rPr>
      <t>if  Intravitreal Injection is used</t>
    </r>
  </si>
  <si>
    <t>HNZ01</t>
  </si>
  <si>
    <t>Corneal Transplants – Full thickness</t>
  </si>
  <si>
    <t>Corneal</t>
  </si>
  <si>
    <t>HNZ02</t>
  </si>
  <si>
    <t>Corneal Transplants – Partial thickness</t>
  </si>
  <si>
    <t>HNZ03</t>
  </si>
  <si>
    <t>Removal of corneal sutures</t>
  </si>
  <si>
    <t>HNZ04</t>
  </si>
  <si>
    <t>Crosslinking</t>
  </si>
  <si>
    <t>HNZ05</t>
  </si>
  <si>
    <t>EDTA Chelation</t>
  </si>
  <si>
    <t>HNZ06</t>
  </si>
  <si>
    <t>Excision of pterygium +/- conjunctival graft</t>
  </si>
  <si>
    <t>HNZ07</t>
  </si>
  <si>
    <t xml:space="preserve">DSAEK </t>
  </si>
  <si>
    <t>HNZ08</t>
  </si>
  <si>
    <t>Ophthalmological examination (examination under anaesthetic)</t>
  </si>
  <si>
    <t>General</t>
  </si>
  <si>
    <t>HNZ09</t>
  </si>
  <si>
    <t>Trabulectomy +/- MMC</t>
  </si>
  <si>
    <t>Glaucoma</t>
  </si>
  <si>
    <t>HNZ10</t>
  </si>
  <si>
    <t>Insertion of a tube implant +/- scleral patch</t>
  </si>
  <si>
    <t>HNZ11</t>
  </si>
  <si>
    <t>Destruction of ciliary body</t>
  </si>
  <si>
    <t>HNZ12</t>
  </si>
  <si>
    <t>Destruction procedures on retina, choroid or posterior chamber</t>
  </si>
  <si>
    <t>Lasers</t>
  </si>
  <si>
    <t>HNZ13</t>
  </si>
  <si>
    <t>Iridoplasty</t>
  </si>
  <si>
    <t>HNZ14</t>
  </si>
  <si>
    <t>Canthoplasty/Canthotomy</t>
  </si>
  <si>
    <t>Ocular Plastics</t>
  </si>
  <si>
    <t>HNZ15</t>
  </si>
  <si>
    <t>Canthal Sling</t>
  </si>
  <si>
    <t>HNZ16</t>
  </si>
  <si>
    <t>Lateral Tarsal Strip (LTS) +/- 3 snip punctoplasty +/- everting sutures</t>
  </si>
  <si>
    <t>HNZ17</t>
  </si>
  <si>
    <t>Conjunctivoplasty +/- 3 snip punctoplasty +/- sutures</t>
  </si>
  <si>
    <t>HNZ18</t>
  </si>
  <si>
    <t>3 snip punctoplasty</t>
  </si>
  <si>
    <t>HNZ19</t>
  </si>
  <si>
    <t>Cyst Excision and curettage</t>
  </si>
  <si>
    <t>HNZ20</t>
  </si>
  <si>
    <t>Entropian repair</t>
  </si>
  <si>
    <t>HNZ21</t>
  </si>
  <si>
    <t>Ectropian repair</t>
  </si>
  <si>
    <t>HNZ22</t>
  </si>
  <si>
    <t>Epiblepharon repair</t>
  </si>
  <si>
    <t>HNZ23</t>
  </si>
  <si>
    <t>Blepharoplasty</t>
  </si>
  <si>
    <t>HNZ24</t>
  </si>
  <si>
    <t>Punctoplasty +/- syringing</t>
  </si>
  <si>
    <t>HNZ25</t>
  </si>
  <si>
    <t>Lump/Mass Excision +/- Biopsy +/- frozen section</t>
  </si>
  <si>
    <t>HNZ26</t>
  </si>
  <si>
    <t>Pentagon Excision Biopsy</t>
  </si>
  <si>
    <t>HNZ27</t>
  </si>
  <si>
    <t>Lesion Excision +/- Biopsy</t>
  </si>
  <si>
    <t>HNZ28</t>
  </si>
  <si>
    <t>Chalazion incision +/- curettage</t>
  </si>
  <si>
    <t>HNZ29</t>
  </si>
  <si>
    <t>Wedge Excision</t>
  </si>
  <si>
    <t>HNZ30</t>
  </si>
  <si>
    <t>Insertion of Gold Weight</t>
  </si>
  <si>
    <t>HNZ31</t>
  </si>
  <si>
    <t>Enucleation +/- insertion of orbital implant +/- sclera</t>
  </si>
  <si>
    <t>HNZ32</t>
  </si>
  <si>
    <t>Evisceration +/- implant</t>
  </si>
  <si>
    <t>HNZ33</t>
  </si>
  <si>
    <t>Brow lift/pexy</t>
  </si>
  <si>
    <t>HNZ34</t>
  </si>
  <si>
    <t>Cryotherapy</t>
  </si>
  <si>
    <t>HNZ35</t>
  </si>
  <si>
    <t>Membrane graft and fornix suture</t>
  </si>
  <si>
    <t>HNZ36</t>
  </si>
  <si>
    <t>Fine needle diathermy</t>
  </si>
  <si>
    <t>HNZ37</t>
  </si>
  <si>
    <t>Deroofing +/- cautery</t>
  </si>
  <si>
    <t>HNZ38</t>
  </si>
  <si>
    <t>Insertion/removal of sutures</t>
  </si>
  <si>
    <t>HNZ39</t>
  </si>
  <si>
    <t>Biopsy of eyelid</t>
  </si>
  <si>
    <t>HNZ40</t>
  </si>
  <si>
    <t>Correction of ptosis of eyelid by resection or advancement of levator muscle (Unilateral)</t>
  </si>
  <si>
    <t>HNZ41</t>
  </si>
  <si>
    <t>Correction of ptosis of eyelid by resection or advancement of levator muscle (Bilateral)</t>
  </si>
  <si>
    <t>HNZ42</t>
  </si>
  <si>
    <t>Excision of lesion of skin and subcutaneous tissue of eyelid</t>
  </si>
  <si>
    <t>HNZ43</t>
  </si>
  <si>
    <t>Microscopically controlled serial excision of lesion of skin</t>
  </si>
  <si>
    <t>HNZ44</t>
  </si>
  <si>
    <t>Destruction procedures on eyelash follicle (Electrolysis)</t>
  </si>
  <si>
    <t>HNZ45</t>
  </si>
  <si>
    <t>Reconstruction of eyelid</t>
  </si>
  <si>
    <t>HNZ46</t>
  </si>
  <si>
    <t>Dacryocystorhinostomy [DCR]</t>
  </si>
  <si>
    <t>HNZ47</t>
  </si>
  <si>
    <t>Lateral Tarsal Strip (LTS) procedure</t>
  </si>
  <si>
    <t>HNZ48</t>
  </si>
  <si>
    <t>Tarsorrhaphy</t>
  </si>
  <si>
    <t>HNZ49</t>
  </si>
  <si>
    <t>Squint procedure (one eye) 1 muscle</t>
  </si>
  <si>
    <t>Paediatric</t>
  </si>
  <si>
    <t>HNZ50</t>
  </si>
  <si>
    <t>Squint procedure (one eye) 2 muscle</t>
  </si>
  <si>
    <t>HNZ51</t>
  </si>
  <si>
    <t>Squint procedure (one eye) 3 muscle</t>
  </si>
  <si>
    <t>HNZ52</t>
  </si>
  <si>
    <t>Squint procedure (one eye) 4 muscle</t>
  </si>
  <si>
    <t>HNZ53</t>
  </si>
  <si>
    <t>Syringe and Probe Unilateral</t>
  </si>
  <si>
    <t>HNZ54</t>
  </si>
  <si>
    <t>Syringe and Probe Bilateral</t>
  </si>
  <si>
    <t>HNZ55</t>
  </si>
  <si>
    <t>Removal of vitreous, pars plana approach</t>
  </si>
  <si>
    <t>Retinal</t>
  </si>
  <si>
    <t>HNZ56</t>
  </si>
  <si>
    <t>Administration of therapeutic agent into posterior chamber</t>
  </si>
  <si>
    <t>HNZ57</t>
  </si>
  <si>
    <t>Repair of retinal detachment</t>
  </si>
  <si>
    <t>HNZ58</t>
  </si>
  <si>
    <t>Repair of macula hole</t>
  </si>
  <si>
    <t>HNZ59</t>
  </si>
  <si>
    <t>Epiretinal membrane peel</t>
  </si>
  <si>
    <t>Squint</t>
  </si>
  <si>
    <t>HNZ64</t>
  </si>
  <si>
    <r>
      <t xml:space="preserve">Vity +EMR Peel LAS </t>
    </r>
    <r>
      <rPr>
        <sz val="12"/>
        <rFont val="Arial"/>
        <family val="2"/>
      </rPr>
      <t xml:space="preserve">(Vitrectomy + Epiretinal Membrane Peel + Laser Photocoagulation) </t>
    </r>
  </si>
  <si>
    <t>Vitreoretinal</t>
  </si>
  <si>
    <t>HNZ65</t>
  </si>
  <si>
    <r>
      <t xml:space="preserve">Vity +EMR Peel + CAT LAS </t>
    </r>
    <r>
      <rPr>
        <sz val="12"/>
        <rFont val="Arial"/>
        <family val="2"/>
      </rPr>
      <t xml:space="preserve">(Vitrectomy + Epiretinal Membrane Peel + Cataract Procedure + Laser Treatment) </t>
    </r>
  </si>
  <si>
    <t>Add Ons:</t>
  </si>
  <si>
    <t>HNZADD1</t>
  </si>
  <si>
    <t>Vision blue</t>
  </si>
  <si>
    <t xml:space="preserve">add on </t>
  </si>
  <si>
    <t>HNZADD2</t>
  </si>
  <si>
    <t>Anterior Vitrectomy</t>
  </si>
  <si>
    <t>HNZADD3</t>
  </si>
  <si>
    <t>Posterior Vitrectomy</t>
  </si>
  <si>
    <t>HNZADD4</t>
  </si>
  <si>
    <t>Sutures</t>
  </si>
  <si>
    <t>HNZADD5</t>
  </si>
  <si>
    <t xml:space="preserve">Capsular tension rings or Malygurin Ring </t>
  </si>
  <si>
    <t>HNZADD6</t>
  </si>
  <si>
    <t>Iris retractors</t>
  </si>
  <si>
    <t>HNZADD7</t>
  </si>
  <si>
    <t>Additional viscoelastic Chamber lenses</t>
  </si>
  <si>
    <t>HNZADD8</t>
  </si>
  <si>
    <t xml:space="preserve">Additional Anterior Chamber lenses </t>
  </si>
  <si>
    <t>HNZADD9</t>
  </si>
  <si>
    <t>Additional intracameral drugs</t>
  </si>
  <si>
    <t>Note: The Price must include all requirements as defined in 'Appendix E: Service Specifications, Standards and Reporting'; and 'Appendix F: Clinical Pathways'</t>
  </si>
  <si>
    <t>Assumptions</t>
  </si>
  <si>
    <t xml:space="preserve">                 </t>
  </si>
  <si>
    <t xml:space="preserve">All fees above include surgeon and anaesthetist fees, based on the assumption that these procedures will be outsourced referrals from Canterbury, West Coast and Nelson Marlborough in the Te Waipounamu region. 
 However if these procedures are added to an Outplaced list ( Wet Lease) there would not be a Theatre time fee, Surgeon Fee and an Anaesthetist fee only if HNZ are unable to provide an anaesthetist, in this situation Christchurch Eye Surgery would find a private anaesthetist. In this scenario, HNZ would be charged the Anaesthetist Fee (as per Tab 6 Wet Lease costs.) For Wet lease Christchurch Eye Surgery  will offer a 20% discount on stocked consumables used. 
 </t>
  </si>
  <si>
    <t xml:space="preserve">Surg </t>
  </si>
  <si>
    <t xml:space="preserve">Commitment </t>
  </si>
  <si>
    <t>HNZ66</t>
  </si>
  <si>
    <t>HNZ67</t>
  </si>
  <si>
    <t>HNZ68</t>
  </si>
  <si>
    <t>HNZ69</t>
  </si>
  <si>
    <t>HNZ70</t>
  </si>
  <si>
    <t>HNZ71</t>
  </si>
  <si>
    <t>HNZ72</t>
  </si>
  <si>
    <t>HNZ73</t>
  </si>
  <si>
    <t>HNZ74</t>
  </si>
  <si>
    <t>HNZ75</t>
  </si>
  <si>
    <t>HNZ76</t>
  </si>
  <si>
    <t>HNZ77</t>
  </si>
  <si>
    <t>HNZ78</t>
  </si>
  <si>
    <t>HNZ79</t>
  </si>
  <si>
    <t>HNZ80</t>
  </si>
  <si>
    <t>HNZ81</t>
  </si>
  <si>
    <t>HNZ82</t>
  </si>
  <si>
    <t>HNZ83</t>
  </si>
  <si>
    <t>HNZ84</t>
  </si>
  <si>
    <t>HNZ85</t>
  </si>
  <si>
    <t>HNZ86</t>
  </si>
  <si>
    <t>HNZ87</t>
  </si>
  <si>
    <t>HNZ88</t>
  </si>
  <si>
    <t>HNZ89</t>
  </si>
  <si>
    <t>HNZ90</t>
  </si>
  <si>
    <t>HNZ91</t>
  </si>
  <si>
    <t>HNZ92</t>
  </si>
  <si>
    <t>HNZ93</t>
  </si>
  <si>
    <t>HNZ94</t>
  </si>
  <si>
    <t>HNZCATnoanaes</t>
  </si>
  <si>
    <t>ACC   1/7/2026</t>
  </si>
  <si>
    <t xml:space="preserve">NO ANAESTHETIST </t>
  </si>
  <si>
    <t>ALL EXCLUDING GST</t>
  </si>
  <si>
    <t xml:space="preserve">? Add on </t>
  </si>
  <si>
    <t xml:space="preserve">Detailed Service Description(EDITED) </t>
  </si>
  <si>
    <t>Elective Surgery Services Variation from 1 July 2026 - 30 June 2027 with GST inclusive prices:</t>
  </si>
  <si>
    <t xml:space="preserve">SURGEON </t>
  </si>
  <si>
    <t>WCHNZCAT</t>
  </si>
  <si>
    <t>WC Cataract  - inclusive of Standard  Intraocular Lens (Unilateral)</t>
  </si>
  <si>
    <t xml:space="preserve">Panel </t>
  </si>
  <si>
    <t>WCFSAonly</t>
  </si>
  <si>
    <t>HNZFSA only</t>
  </si>
  <si>
    <t>canterbury</t>
  </si>
  <si>
    <t xml:space="preserve">west coast </t>
  </si>
  <si>
    <t>fsawc</t>
  </si>
  <si>
    <t>fsacant</t>
  </si>
  <si>
    <t>HNZCATARACT</t>
  </si>
  <si>
    <t>WCHNZCATNOAN</t>
  </si>
  <si>
    <t xml:space="preserve">WC Cataract  - inclusive of Standard  Intraocular Lens (Unilateral no anaesthetist) </t>
  </si>
  <si>
    <t xml:space="preserve">CES PHM Code </t>
  </si>
  <si>
    <t xml:space="preserve">None </t>
  </si>
  <si>
    <t xml:space="preserve">Commitment Contract excluding GST </t>
  </si>
  <si>
    <t xml:space="preserve">3-6 year term </t>
  </si>
  <si>
    <t xml:space="preserve">5 -10 yerar term </t>
  </si>
  <si>
    <t xml:space="preserve">Full Package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</si>
</sst>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Red]\-&quot;$&quot;#,##0"/>
    <numFmt numFmtId="44" formatCode="_-&quot;$&quot;* #,##0.00_-;\-&quot;$&quot;* #,##0.00_-;_-&quot;$&quot;* &quot;-&quot;??_-;_-@_-"/>
    <numFmt numFmtId="164" formatCode="_(&quot;$&quot;* #,##0.00_);_(&quot;$&quot;* \(#,##0.00\);_(&quot;$&quot;* &quot;-&quot;??_);_(@_)"/>
    <numFmt numFmtId="165" formatCode="_(* #,##0.00_);_(* \(#,##0.00\);_(* &quot;-&quot;??_);_(@_)"/>
    <numFmt numFmtId="166" formatCode="[$-1409]d\-mmm\-yy"/>
    <numFmt numFmtId="167" formatCode="\$#,##0.00;[Red]&quot;-$&quot;#,##0.00"/>
    <numFmt numFmtId="168" formatCode="\$#,##0;[Red]&quot;-$&quot;#,##0"/>
    <numFmt numFmtId="169" formatCode="_(\$* #,##0.00_);_(\$* \(#,##0.00\);_(\$* \-??_);_(@_)"/>
    <numFmt numFmtId="170" formatCode="_-\$* #,##0_-;&quot;-$&quot;* #,##0_-;_-\$* \-??_-;_-@_-"/>
    <numFmt numFmtId="171" formatCode="_-\$* #,##0.00_-;&quot;-$&quot;* #,##0.00_-;_-\$* \-??_-;_-@_-"/>
    <numFmt numFmtId="172" formatCode="[$-1409]d/mm/yyyy"/>
    <numFmt numFmtId="173" formatCode="\$#,##0.00"/>
    <numFmt numFmtId="174" formatCode="\$#,##0.000"/>
    <numFmt numFmtId="175" formatCode="\$#,##0.000;[Red]&quot;-$&quot;#,##0.000"/>
    <numFmt numFmtId="176" formatCode="\$#,##0"/>
    <numFmt numFmtId="177" formatCode="&quot;$&quot;#,##0.00"/>
    <numFmt numFmtId="178" formatCode="[$-1409]d\ mmmm\ yyyy;@"/>
    <numFmt numFmtId="179" formatCode="#,##0.000"/>
  </numFmts>
  <fonts count="95">
    <font>
      <sz val="10"/>
      <name val="Calibri"/>
      <charset val="1"/>
    </font>
    <font>
      <b/>
      <sz val="10"/>
      <name val="Calibri"/>
      <family val="2"/>
      <charset val="1"/>
    </font>
    <font>
      <sz val="10"/>
      <name val="Calibri"/>
      <family val="2"/>
      <charset val="1"/>
    </font>
    <font>
      <b/>
      <sz val="10"/>
      <color rgb="FF000000"/>
      <name val="Arial"/>
      <family val="2"/>
      <charset val="1"/>
    </font>
    <font>
      <sz val="10"/>
      <color rgb="FF000000"/>
      <name val="Arial"/>
      <family val="2"/>
      <charset val="1"/>
    </font>
    <font>
      <sz val="10"/>
      <name val="Arial"/>
      <family val="2"/>
      <charset val="1"/>
    </font>
    <font>
      <sz val="10"/>
      <color rgb="FFFF0000"/>
      <name val="Calibri"/>
      <family val="2"/>
      <charset val="1"/>
    </font>
    <font>
      <b/>
      <sz val="11"/>
      <color rgb="FF000000"/>
      <name val="Calibri"/>
      <family val="2"/>
      <charset val="1"/>
    </font>
    <font>
      <b/>
      <i/>
      <sz val="11"/>
      <color rgb="FF000000"/>
      <name val="Calibri"/>
      <family val="2"/>
      <charset val="1"/>
    </font>
    <font>
      <b/>
      <i/>
      <sz val="11"/>
      <color rgb="FF4F81BD"/>
      <name val="Calibri"/>
      <family val="2"/>
      <charset val="1"/>
    </font>
    <font>
      <b/>
      <sz val="11"/>
      <color rgb="FFFF0000"/>
      <name val="Calibri"/>
      <family val="2"/>
      <charset val="1"/>
    </font>
    <font>
      <i/>
      <sz val="10"/>
      <color rgb="FF4F81BD"/>
      <name val="Calibri"/>
      <family val="2"/>
      <charset val="1"/>
    </font>
    <font>
      <i/>
      <sz val="11"/>
      <color rgb="FF4F81BD"/>
      <name val="Calibri"/>
      <family val="2"/>
      <charset val="1"/>
    </font>
    <font>
      <i/>
      <sz val="11"/>
      <color rgb="FFD99694"/>
      <name val="Calibri"/>
      <family val="2"/>
      <charset val="1"/>
    </font>
    <font>
      <sz val="12"/>
      <name val="Calibri"/>
      <family val="2"/>
      <charset val="1"/>
    </font>
    <font>
      <b/>
      <sz val="10"/>
      <color rgb="FFFF0000"/>
      <name val="Arial"/>
      <family val="2"/>
      <charset val="1"/>
    </font>
    <font>
      <b/>
      <sz val="10"/>
      <name val="Arial"/>
      <family val="2"/>
      <charset val="1"/>
    </font>
    <font>
      <sz val="12"/>
      <color rgb="FF000000"/>
      <name val="Calibri"/>
      <family val="2"/>
      <charset val="1"/>
    </font>
    <font>
      <sz val="11"/>
      <color rgb="FFFF0000"/>
      <name val="Calibri"/>
      <family val="2"/>
      <charset val="1"/>
    </font>
    <font>
      <sz val="11"/>
      <color rgb="FF000000"/>
      <name val="Calibri"/>
      <family val="2"/>
      <charset val="1"/>
    </font>
    <font>
      <i/>
      <sz val="10"/>
      <name val="Calibri"/>
      <family val="2"/>
      <charset val="1"/>
    </font>
    <font>
      <b/>
      <sz val="11"/>
      <name val="Calibri"/>
      <family val="2"/>
      <charset val="1"/>
    </font>
    <font>
      <sz val="22"/>
      <name val="Calibri"/>
      <family val="2"/>
      <charset val="1"/>
    </font>
    <font>
      <b/>
      <sz val="9"/>
      <name val="Arial"/>
      <family val="2"/>
      <charset val="1"/>
    </font>
    <font>
      <b/>
      <sz val="9"/>
      <color rgb="FFFF0000"/>
      <name val="Arial"/>
      <family val="2"/>
      <charset val="1"/>
    </font>
    <font>
      <sz val="12"/>
      <name val="Berkeley"/>
      <family val="1"/>
      <charset val="1"/>
    </font>
    <font>
      <sz val="9"/>
      <name val="Arial"/>
      <family val="2"/>
      <charset val="1"/>
    </font>
    <font>
      <b/>
      <sz val="8"/>
      <name val="Arial"/>
      <family val="2"/>
      <charset val="1"/>
    </font>
    <font>
      <b/>
      <sz val="14"/>
      <name val="Calibri"/>
      <family val="2"/>
      <charset val="1"/>
    </font>
    <font>
      <sz val="14"/>
      <name val="Calibri"/>
      <family val="2"/>
      <charset val="1"/>
    </font>
    <font>
      <b/>
      <sz val="14"/>
      <color rgb="FFFFFFFF"/>
      <name val="Calibri"/>
      <family val="2"/>
      <charset val="1"/>
    </font>
    <font>
      <b/>
      <i/>
      <sz val="12"/>
      <name val="Calibri"/>
      <family val="2"/>
      <charset val="1"/>
    </font>
    <font>
      <b/>
      <sz val="14"/>
      <color rgb="FFFF0000"/>
      <name val="Calibri"/>
      <family val="2"/>
      <charset val="1"/>
    </font>
    <font>
      <sz val="14"/>
      <color rgb="FFFF0000"/>
      <name val="Calibri"/>
      <family val="2"/>
      <charset val="1"/>
    </font>
    <font>
      <b/>
      <sz val="14"/>
      <color rgb="FF4F81BD"/>
      <name val="Calibri"/>
      <family val="2"/>
      <charset val="1"/>
    </font>
    <font>
      <sz val="10"/>
      <name val="Calibri"/>
      <family val="2"/>
    </font>
    <font>
      <b/>
      <sz val="12"/>
      <color rgb="FF000000"/>
      <name val="Calibri"/>
      <family val="2"/>
    </font>
    <font>
      <sz val="12"/>
      <color rgb="FF000000"/>
      <name val="Calibri"/>
      <family val="2"/>
    </font>
    <font>
      <sz val="12"/>
      <color rgb="FFFF0000"/>
      <name val="Calibri"/>
      <family val="2"/>
    </font>
    <font>
      <sz val="12"/>
      <name val="Calibri"/>
      <family val="2"/>
    </font>
    <font>
      <sz val="10"/>
      <color theme="1"/>
      <name val="Arial"/>
      <family val="2"/>
    </font>
    <font>
      <b/>
      <sz val="10"/>
      <color theme="1"/>
      <name val="Arial"/>
      <family val="2"/>
    </font>
    <font>
      <sz val="16"/>
      <color rgb="FF000000"/>
      <name val="Calibri"/>
      <family val="2"/>
    </font>
    <font>
      <sz val="16"/>
      <name val="Calibri"/>
      <family val="2"/>
    </font>
    <font>
      <sz val="12"/>
      <color theme="1"/>
      <name val="Arial"/>
      <family val="2"/>
    </font>
    <font>
      <b/>
      <sz val="12"/>
      <name val="Calibri"/>
      <family val="2"/>
    </font>
    <font>
      <sz val="12"/>
      <color theme="1"/>
      <name val="Aptos Narrow"/>
      <family val="2"/>
      <scheme val="minor"/>
    </font>
    <font>
      <b/>
      <sz val="9"/>
      <color theme="1"/>
      <name val="Arial"/>
      <family val="2"/>
    </font>
    <font>
      <b/>
      <sz val="10"/>
      <color rgb="FF000000"/>
      <name val="Arial"/>
      <family val="2"/>
    </font>
    <font>
      <sz val="14"/>
      <color theme="1"/>
      <name val="Arial"/>
      <family val="2"/>
    </font>
    <font>
      <sz val="14"/>
      <name val="Calibri"/>
      <family val="2"/>
    </font>
    <font>
      <b/>
      <sz val="14"/>
      <color theme="1"/>
      <name val="Arial"/>
      <family val="2"/>
    </font>
    <font>
      <b/>
      <sz val="14"/>
      <name val="Arial"/>
      <family val="2"/>
    </font>
    <font>
      <b/>
      <u/>
      <sz val="14"/>
      <name val="Arial"/>
      <family val="2"/>
    </font>
    <font>
      <b/>
      <sz val="14"/>
      <name val="Calibri"/>
      <family val="2"/>
    </font>
    <font>
      <b/>
      <sz val="14"/>
      <color rgb="FF4F81BD"/>
      <name val="Calibri"/>
      <family val="2"/>
    </font>
    <font>
      <i/>
      <sz val="14"/>
      <name val="Calibri"/>
      <family val="2"/>
    </font>
    <font>
      <b/>
      <i/>
      <sz val="14"/>
      <name val="Calibri"/>
      <family val="2"/>
    </font>
    <font>
      <b/>
      <i/>
      <sz val="14"/>
      <color rgb="FF4F81BD"/>
      <name val="Calibri"/>
      <family val="2"/>
    </font>
    <font>
      <b/>
      <sz val="12"/>
      <color theme="4"/>
      <name val="Calibri"/>
      <family val="2"/>
    </font>
    <font>
      <b/>
      <sz val="14"/>
      <color rgb="FF000000"/>
      <name val="Calibri"/>
      <family val="2"/>
    </font>
    <font>
      <sz val="14"/>
      <color theme="4"/>
      <name val="Arial"/>
      <family val="2"/>
    </font>
    <font>
      <b/>
      <sz val="14"/>
      <color theme="4"/>
      <name val="Calibri"/>
      <family val="2"/>
    </font>
    <font>
      <b/>
      <sz val="12"/>
      <color theme="1"/>
      <name val="Arial"/>
      <family val="2"/>
    </font>
    <font>
      <b/>
      <sz val="12"/>
      <color theme="4"/>
      <name val="Arial"/>
      <family val="2"/>
    </font>
    <font>
      <b/>
      <sz val="12"/>
      <name val="Arial"/>
      <family val="2"/>
    </font>
    <font>
      <sz val="11"/>
      <name val="Calibri"/>
      <family val="2"/>
    </font>
    <font>
      <b/>
      <sz val="18"/>
      <name val="Calibri"/>
      <family val="2"/>
    </font>
    <font>
      <b/>
      <sz val="16"/>
      <name val="Calibri"/>
      <family val="2"/>
    </font>
    <font>
      <b/>
      <sz val="11"/>
      <color rgb="FF000000"/>
      <name val="Calibri"/>
      <family val="2"/>
    </font>
    <font>
      <sz val="8"/>
      <name val="Calibri"/>
      <family val="2"/>
    </font>
    <font>
      <b/>
      <sz val="10"/>
      <color theme="7"/>
      <name val="Calibri"/>
      <family val="2"/>
    </font>
    <font>
      <sz val="10"/>
      <color rgb="FFFF0000"/>
      <name val="Calibri"/>
      <family val="2"/>
    </font>
    <font>
      <sz val="10"/>
      <color rgb="FF000000"/>
      <name val="Arial"/>
      <family val="2"/>
    </font>
    <font>
      <sz val="10"/>
      <color rgb="FFFF0000"/>
      <name val="Arial"/>
      <family val="2"/>
    </font>
    <font>
      <b/>
      <sz val="10"/>
      <color rgb="FFFF0000"/>
      <name val="Arial"/>
      <family val="2"/>
    </font>
    <font>
      <b/>
      <sz val="10"/>
      <name val="Arial"/>
      <family val="2"/>
    </font>
    <font>
      <b/>
      <sz val="10"/>
      <name val="Calibri"/>
      <family val="2"/>
    </font>
    <font>
      <sz val="14"/>
      <color theme="0"/>
      <name val="Calibri"/>
      <family val="2"/>
    </font>
    <font>
      <sz val="12"/>
      <name val="Arial"/>
      <family val="2"/>
    </font>
    <font>
      <sz val="12"/>
      <name val="Aptos Narrow"/>
      <family val="2"/>
      <scheme val="minor"/>
    </font>
    <font>
      <sz val="12"/>
      <color theme="4"/>
      <name val="Calibri"/>
      <family val="2"/>
    </font>
    <font>
      <sz val="10"/>
      <color theme="2" tint="-0.499984740745262"/>
      <name val="Calibri"/>
      <family val="2"/>
    </font>
    <font>
      <b/>
      <sz val="10"/>
      <color theme="2" tint="-0.499984740745262"/>
      <name val="Calibri"/>
      <family val="2"/>
    </font>
    <font>
      <sz val="10"/>
      <name val="Arial"/>
      <family val="2"/>
    </font>
    <font>
      <b/>
      <sz val="10"/>
      <color rgb="FFFF0000"/>
      <name val="Calibri"/>
      <family val="2"/>
    </font>
    <font>
      <b/>
      <sz val="12"/>
      <color rgb="FFFF0000"/>
      <name val="Calibri"/>
      <family val="2"/>
    </font>
    <font>
      <b/>
      <sz val="12"/>
      <color theme="0"/>
      <name val="Arial"/>
      <family val="2"/>
    </font>
    <font>
      <sz val="12"/>
      <color theme="0"/>
      <name val="Arial"/>
      <family val="2"/>
    </font>
    <font>
      <i/>
      <sz val="12"/>
      <color theme="0"/>
      <name val="Arial"/>
      <family val="2"/>
    </font>
    <font>
      <sz val="12"/>
      <color rgb="FF000000"/>
      <name val="Arial"/>
      <family val="2"/>
    </font>
    <font>
      <i/>
      <sz val="12"/>
      <color rgb="FF000000"/>
      <name val="Arial"/>
      <family val="2"/>
    </font>
    <font>
      <sz val="12"/>
      <color rgb="FFFF0000"/>
      <name val="Arial"/>
      <family val="2"/>
    </font>
    <font>
      <i/>
      <sz val="12"/>
      <color theme="1"/>
      <name val="Arial"/>
      <family val="2"/>
    </font>
    <font>
      <sz val="16"/>
      <color rgb="FF7030A0"/>
      <name val="Calibri"/>
      <family val="2"/>
    </font>
  </fonts>
  <fills count="54">
    <fill>
      <patternFill patternType="none"/>
    </fill>
    <fill>
      <patternFill patternType="gray125"/>
    </fill>
    <fill>
      <patternFill patternType="solid">
        <fgColor rgb="FF00B0F0"/>
        <bgColor rgb="FF4BACC6"/>
      </patternFill>
    </fill>
    <fill>
      <patternFill patternType="solid">
        <fgColor rgb="FFFFC000"/>
        <bgColor rgb="FFF79646"/>
      </patternFill>
    </fill>
    <fill>
      <patternFill patternType="solid">
        <fgColor rgb="FFB4C6E7"/>
        <bgColor rgb="FFC0C0C0"/>
      </patternFill>
    </fill>
    <fill>
      <patternFill patternType="solid">
        <fgColor rgb="FF92D050"/>
        <bgColor rgb="FF9BBB59"/>
      </patternFill>
    </fill>
    <fill>
      <patternFill patternType="solid">
        <fgColor rgb="FFEBF1DE"/>
        <bgColor rgb="FFE2EFDA"/>
      </patternFill>
    </fill>
    <fill>
      <patternFill patternType="solid">
        <fgColor rgb="FFF2DCDB"/>
        <bgColor rgb="FFE6E0EC"/>
      </patternFill>
    </fill>
    <fill>
      <patternFill patternType="solid">
        <fgColor rgb="FFFFFF00"/>
        <bgColor rgb="FFFFC000"/>
      </patternFill>
    </fill>
    <fill>
      <patternFill patternType="solid">
        <fgColor rgb="FFFDE9D9"/>
        <bgColor rgb="FFFDEADA"/>
      </patternFill>
    </fill>
    <fill>
      <patternFill patternType="solid">
        <fgColor rgb="FFFDEADA"/>
        <bgColor rgb="FFFDE9D9"/>
      </patternFill>
    </fill>
    <fill>
      <patternFill patternType="solid">
        <fgColor rgb="FFD9E1F2"/>
        <bgColor rgb="FFDCE6F2"/>
      </patternFill>
    </fill>
    <fill>
      <patternFill patternType="solid">
        <fgColor rgb="FFDBEEF4"/>
        <bgColor rgb="FFDCE6F2"/>
      </patternFill>
    </fill>
    <fill>
      <patternFill patternType="solid">
        <fgColor rgb="FFC3D69B"/>
        <bgColor rgb="FFC0C0C0"/>
      </patternFill>
    </fill>
    <fill>
      <patternFill patternType="solid">
        <fgColor rgb="FF4BACC6"/>
        <bgColor rgb="FF558ED5"/>
      </patternFill>
    </fill>
    <fill>
      <patternFill patternType="solid">
        <fgColor rgb="FF9BBB59"/>
        <bgColor rgb="FF92D050"/>
      </patternFill>
    </fill>
    <fill>
      <patternFill patternType="solid">
        <fgColor rgb="FFCCFFFF"/>
        <bgColor rgb="FFDBEEF4"/>
      </patternFill>
    </fill>
    <fill>
      <patternFill patternType="solid">
        <fgColor rgb="FF558ED5"/>
        <bgColor rgb="FF4F81BD"/>
      </patternFill>
    </fill>
    <fill>
      <patternFill patternType="solid">
        <fgColor rgb="FFC0C0C0"/>
        <bgColor rgb="FFB4C6E7"/>
      </patternFill>
    </fill>
    <fill>
      <patternFill patternType="solid">
        <fgColor rgb="FFC0504D"/>
        <bgColor rgb="FF993366"/>
      </patternFill>
    </fill>
    <fill>
      <patternFill patternType="solid">
        <fgColor rgb="FF00B050"/>
        <bgColor rgb="FF008080"/>
      </patternFill>
    </fill>
    <fill>
      <patternFill patternType="solid">
        <fgColor theme="2"/>
        <bgColor indexed="64"/>
      </patternFill>
    </fill>
    <fill>
      <patternFill patternType="solid">
        <fgColor rgb="FF99CCFF"/>
        <bgColor indexed="64"/>
      </patternFill>
    </fill>
    <fill>
      <patternFill patternType="solid">
        <fgColor theme="9"/>
        <bgColor indexed="64"/>
      </patternFill>
    </fill>
    <fill>
      <patternFill patternType="solid">
        <fgColor rgb="FF00CCFF"/>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bgColor indexed="64"/>
      </patternFill>
    </fill>
    <fill>
      <patternFill patternType="solid">
        <fgColor theme="4" tint="0.79998168889431442"/>
        <bgColor indexed="64"/>
      </patternFill>
    </fill>
    <fill>
      <patternFill patternType="solid">
        <fgColor theme="1"/>
        <bgColor indexed="64"/>
      </patternFill>
    </fill>
    <fill>
      <patternFill patternType="solid">
        <fgColor rgb="FF00B0F0"/>
        <bgColor indexed="64"/>
      </patternFill>
    </fill>
    <fill>
      <patternFill patternType="solid">
        <fgColor rgb="FF6CC8D2"/>
        <bgColor rgb="FFD99694"/>
      </patternFill>
    </fill>
    <fill>
      <patternFill patternType="solid">
        <fgColor rgb="FF6CC8D2"/>
        <bgColor rgb="FF99CCFF"/>
      </patternFill>
    </fill>
    <fill>
      <patternFill patternType="solid">
        <fgColor rgb="FFD9D9D9"/>
        <bgColor indexed="64"/>
      </patternFill>
    </fill>
    <fill>
      <patternFill patternType="solid">
        <fgColor rgb="FF6CC8D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6" tint="0.79998168889431442"/>
        <bgColor rgb="FFE2EFDA"/>
      </patternFill>
    </fill>
    <fill>
      <patternFill patternType="solid">
        <fgColor theme="3" tint="0.89999084444715716"/>
        <bgColor rgb="FFE2EFDA"/>
      </patternFill>
    </fill>
    <fill>
      <patternFill patternType="solid">
        <fgColor theme="3" tint="0.89999084444715716"/>
        <bgColor rgb="FFFDE9D9"/>
      </patternFill>
    </fill>
    <fill>
      <patternFill patternType="solid">
        <fgColor rgb="FFFDEADA"/>
        <bgColor rgb="FFE2EFDA"/>
      </patternFill>
    </fill>
    <fill>
      <patternFill patternType="solid">
        <fgColor rgb="FFFDEADA"/>
        <bgColor rgb="FFFDEADA"/>
      </patternFill>
    </fill>
    <fill>
      <patternFill patternType="solid">
        <fgColor rgb="FFFDEADA"/>
        <bgColor rgb="FFDCE6F2"/>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249977111117893"/>
        <bgColor indexed="64"/>
      </patternFill>
    </fill>
    <fill>
      <patternFill patternType="solid">
        <fgColor theme="3"/>
        <bgColor indexed="64"/>
      </patternFill>
    </fill>
    <fill>
      <patternFill patternType="solid">
        <fgColor rgb="FF782170"/>
        <bgColor indexed="64"/>
      </patternFill>
    </fill>
    <fill>
      <patternFill patternType="solid">
        <fgColor theme="6" tint="0.79998168889431442"/>
        <bgColor indexed="64"/>
      </patternFill>
    </fill>
  </fills>
  <borders count="53">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bottom/>
      <diagonal/>
    </border>
    <border>
      <left/>
      <right style="medium">
        <color auto="1"/>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medium">
        <color auto="1"/>
      </bottom>
      <diagonal/>
    </border>
    <border>
      <left/>
      <right style="thin">
        <color auto="1"/>
      </right>
      <top/>
      <bottom style="medium">
        <color auto="1"/>
      </bottom>
      <diagonal/>
    </border>
    <border>
      <left style="medium">
        <color auto="1"/>
      </left>
      <right/>
      <top style="medium">
        <color auto="1"/>
      </top>
      <bottom/>
      <diagonal/>
    </border>
    <border>
      <left/>
      <right/>
      <top style="thin">
        <color auto="1"/>
      </top>
      <bottom style="thin">
        <color auto="1"/>
      </bottom>
      <diagonal/>
    </border>
    <border>
      <left style="medium">
        <color auto="1"/>
      </left>
      <right style="medium">
        <color auto="1"/>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top style="medium">
        <color indexed="64"/>
      </top>
      <bottom/>
      <diagonal/>
    </border>
    <border>
      <left style="medium">
        <color theme="8" tint="-0.24994659260841701"/>
      </left>
      <right/>
      <top style="medium">
        <color theme="8" tint="-0.24994659260841701"/>
      </top>
      <bottom style="medium">
        <color theme="8" tint="-0.24994659260841701"/>
      </bottom>
      <diagonal/>
    </border>
    <border>
      <left/>
      <right/>
      <top style="medium">
        <color theme="8" tint="-0.24994659260841701"/>
      </top>
      <bottom style="medium">
        <color theme="8" tint="-0.24994659260841701"/>
      </bottom>
      <diagonal/>
    </border>
    <border>
      <left/>
      <right style="medium">
        <color theme="8" tint="-0.24994659260841701"/>
      </right>
      <top style="medium">
        <color theme="8" tint="-0.24994659260841701"/>
      </top>
      <bottom style="medium">
        <color theme="8" tint="-0.24994659260841701"/>
      </bottom>
      <diagonal/>
    </border>
    <border>
      <left style="medium">
        <color theme="8" tint="-0.24994659260841701"/>
      </left>
      <right/>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style="thin">
        <color rgb="FF000000"/>
      </bottom>
      <diagonal/>
    </border>
  </borders>
  <cellStyleXfs count="3">
    <xf numFmtId="0" fontId="0" fillId="0" borderId="0"/>
    <xf numFmtId="171" fontId="35" fillId="0" borderId="0" applyBorder="0" applyProtection="0"/>
    <xf numFmtId="9" fontId="35" fillId="0" borderId="0" applyBorder="0" applyProtection="0"/>
  </cellStyleXfs>
  <cellXfs count="669">
    <xf numFmtId="0" fontId="0" fillId="0" borderId="0" xfId="0"/>
    <xf numFmtId="0" fontId="29" fillId="0" borderId="0" xfId="0" applyFont="1" applyAlignment="1">
      <alignment horizontal="left" vertical="top" wrapText="1"/>
    </xf>
    <xf numFmtId="0" fontId="2" fillId="0" borderId="0" xfId="0" applyFont="1"/>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 fillId="0" borderId="0" xfId="0" applyFont="1"/>
    <xf numFmtId="0" fontId="0" fillId="0" borderId="0" xfId="0" applyAlignment="1">
      <alignment vertical="center"/>
    </xf>
    <xf numFmtId="0" fontId="4" fillId="6" borderId="3" xfId="0" applyFont="1" applyFill="1" applyBorder="1" applyAlignment="1">
      <alignment vertical="center"/>
    </xf>
    <xf numFmtId="0" fontId="4" fillId="0" borderId="4" xfId="0" applyFont="1" applyBorder="1" applyAlignment="1">
      <alignment vertical="center"/>
    </xf>
    <xf numFmtId="167" fontId="5" fillId="0" borderId="4" xfId="0" applyNumberFormat="1" applyFont="1" applyBorder="1" applyAlignment="1">
      <alignment horizontal="center" vertical="center"/>
    </xf>
    <xf numFmtId="0" fontId="6" fillId="0" borderId="0" xfId="0" applyFont="1"/>
    <xf numFmtId="0" fontId="2" fillId="6" borderId="5" xfId="0" applyFont="1" applyFill="1" applyBorder="1"/>
    <xf numFmtId="0" fontId="1" fillId="6" borderId="5" xfId="0" applyFont="1" applyFill="1" applyBorder="1"/>
    <xf numFmtId="0" fontId="7" fillId="0" borderId="5" xfId="0" applyFont="1" applyBorder="1" applyAlignment="1">
      <alignment horizontal="center" wrapText="1"/>
    </xf>
    <xf numFmtId="0" fontId="8" fillId="0" borderId="5" xfId="0" applyFont="1" applyBorder="1" applyAlignment="1">
      <alignment horizontal="center"/>
    </xf>
    <xf numFmtId="0" fontId="8" fillId="0" borderId="5" xfId="2" applyNumberFormat="1" applyFont="1" applyBorder="1" applyAlignment="1" applyProtection="1">
      <alignment horizontal="center"/>
    </xf>
    <xf numFmtId="0" fontId="1" fillId="0" borderId="5" xfId="0" applyFont="1" applyBorder="1"/>
    <xf numFmtId="0" fontId="4" fillId="0" borderId="3" xfId="0" applyFont="1" applyBorder="1" applyAlignment="1">
      <alignment vertical="center"/>
    </xf>
    <xf numFmtId="0" fontId="1" fillId="0" borderId="0" xfId="0" applyFont="1" applyAlignment="1">
      <alignment wrapText="1"/>
    </xf>
    <xf numFmtId="0" fontId="4" fillId="6" borderId="3" xfId="0" applyFont="1" applyFill="1" applyBorder="1" applyAlignment="1">
      <alignment horizontal="center" vertical="center"/>
    </xf>
    <xf numFmtId="0" fontId="2" fillId="7" borderId="5" xfId="0" applyFont="1" applyFill="1" applyBorder="1"/>
    <xf numFmtId="1" fontId="1" fillId="7" borderId="5" xfId="0" applyNumberFormat="1" applyFont="1" applyFill="1" applyBorder="1"/>
    <xf numFmtId="0" fontId="7" fillId="0" borderId="0" xfId="0" applyFont="1"/>
    <xf numFmtId="0" fontId="9" fillId="0" borderId="5" xfId="0" applyFont="1" applyBorder="1" applyAlignment="1">
      <alignment horizontal="center"/>
    </xf>
    <xf numFmtId="0" fontId="9" fillId="0" borderId="5" xfId="0" applyFont="1" applyBorder="1"/>
    <xf numFmtId="0" fontId="7" fillId="0" borderId="5" xfId="0" applyFont="1" applyBorder="1"/>
    <xf numFmtId="0" fontId="10" fillId="0" borderId="5" xfId="0" applyFont="1" applyBorder="1"/>
    <xf numFmtId="0" fontId="4" fillId="8" borderId="3" xfId="0" applyFont="1" applyFill="1" applyBorder="1" applyAlignment="1">
      <alignment horizontal="center" vertical="center"/>
    </xf>
    <xf numFmtId="168" fontId="5" fillId="0" borderId="4" xfId="0" applyNumberFormat="1" applyFont="1" applyBorder="1" applyAlignment="1">
      <alignment horizontal="center" vertical="center"/>
    </xf>
    <xf numFmtId="0" fontId="6" fillId="0" borderId="5" xfId="0" applyFont="1" applyBorder="1"/>
    <xf numFmtId="0" fontId="2" fillId="0" borderId="5" xfId="0" applyFont="1" applyBorder="1"/>
    <xf numFmtId="0" fontId="7" fillId="0" borderId="0" xfId="0" applyFont="1" applyAlignment="1">
      <alignment horizontal="center"/>
    </xf>
    <xf numFmtId="0" fontId="11" fillId="6" borderId="5" xfId="0" applyFont="1" applyFill="1" applyBorder="1"/>
    <xf numFmtId="0" fontId="12" fillId="6" borderId="5" xfId="0" applyFont="1" applyFill="1" applyBorder="1"/>
    <xf numFmtId="169" fontId="12" fillId="6" borderId="5" xfId="0" applyNumberFormat="1" applyFont="1" applyFill="1" applyBorder="1"/>
    <xf numFmtId="169" fontId="13" fillId="6" borderId="5" xfId="0" applyNumberFormat="1" applyFont="1" applyFill="1" applyBorder="1"/>
    <xf numFmtId="170" fontId="0" fillId="6" borderId="5" xfId="0" applyNumberFormat="1" applyFill="1" applyBorder="1"/>
    <xf numFmtId="171" fontId="2" fillId="6" borderId="5" xfId="0" applyNumberFormat="1" applyFont="1" applyFill="1" applyBorder="1"/>
    <xf numFmtId="171" fontId="2" fillId="0" borderId="0" xfId="0" applyNumberFormat="1" applyFont="1"/>
    <xf numFmtId="167" fontId="14" fillId="6" borderId="5" xfId="0" applyNumberFormat="1" applyFont="1" applyFill="1" applyBorder="1"/>
    <xf numFmtId="0" fontId="14" fillId="6" borderId="5" xfId="0" applyFont="1" applyFill="1" applyBorder="1"/>
    <xf numFmtId="171" fontId="14" fillId="6" borderId="5" xfId="1" applyFont="1" applyFill="1" applyBorder="1" applyProtection="1"/>
    <xf numFmtId="171" fontId="0" fillId="0" borderId="0" xfId="0" applyNumberFormat="1"/>
    <xf numFmtId="0" fontId="14" fillId="0" borderId="0" xfId="0" applyFont="1"/>
    <xf numFmtId="167" fontId="14" fillId="0" borderId="0" xfId="0" applyNumberFormat="1" applyFont="1"/>
    <xf numFmtId="0" fontId="11" fillId="9" borderId="5" xfId="0" applyFont="1" applyFill="1" applyBorder="1"/>
    <xf numFmtId="169" fontId="12" fillId="9" borderId="5" xfId="0" applyNumberFormat="1" applyFont="1" applyFill="1" applyBorder="1"/>
    <xf numFmtId="169" fontId="13" fillId="9" borderId="5" xfId="0" applyNumberFormat="1" applyFont="1" applyFill="1" applyBorder="1"/>
    <xf numFmtId="170" fontId="2" fillId="9" borderId="5" xfId="0" applyNumberFormat="1" applyFont="1" applyFill="1" applyBorder="1"/>
    <xf numFmtId="171" fontId="2" fillId="9" borderId="5" xfId="0" applyNumberFormat="1" applyFont="1" applyFill="1" applyBorder="1"/>
    <xf numFmtId="0" fontId="14" fillId="10" borderId="5" xfId="0" applyFont="1" applyFill="1" applyBorder="1"/>
    <xf numFmtId="171" fontId="14" fillId="10" borderId="5" xfId="1" applyFont="1" applyFill="1" applyBorder="1" applyProtection="1"/>
    <xf numFmtId="0" fontId="12" fillId="9" borderId="5" xfId="0" applyFont="1" applyFill="1" applyBorder="1"/>
    <xf numFmtId="0" fontId="14" fillId="9" borderId="5" xfId="0" applyFont="1" applyFill="1" applyBorder="1"/>
    <xf numFmtId="167" fontId="6" fillId="0" borderId="0" xfId="0" applyNumberFormat="1" applyFont="1"/>
    <xf numFmtId="0" fontId="3" fillId="11" borderId="1" xfId="0" applyFont="1" applyFill="1" applyBorder="1" applyAlignment="1">
      <alignment horizontal="center" vertical="center"/>
    </xf>
    <xf numFmtId="0" fontId="3" fillId="11" borderId="2" xfId="0" applyFont="1" applyFill="1" applyBorder="1" applyAlignment="1">
      <alignment horizontal="center" vertical="center"/>
    </xf>
    <xf numFmtId="0" fontId="3" fillId="11" borderId="2" xfId="0" applyFont="1" applyFill="1" applyBorder="1" applyAlignment="1">
      <alignment horizontal="center" vertical="top" wrapText="1"/>
    </xf>
    <xf numFmtId="0" fontId="15" fillId="11" borderId="2" xfId="0" applyFont="1" applyFill="1" applyBorder="1" applyAlignment="1">
      <alignment horizontal="center" vertical="center"/>
    </xf>
    <xf numFmtId="0" fontId="16" fillId="11" borderId="1" xfId="0" applyFont="1" applyFill="1" applyBorder="1" applyAlignment="1">
      <alignment horizontal="center" vertical="center"/>
    </xf>
    <xf numFmtId="0" fontId="11" fillId="0" borderId="5" xfId="0" applyFont="1" applyBorder="1"/>
    <xf numFmtId="0" fontId="12" fillId="0" borderId="5" xfId="0" applyFont="1" applyBorder="1"/>
    <xf numFmtId="169" fontId="12" fillId="0" borderId="5" xfId="0" applyNumberFormat="1" applyFont="1" applyBorder="1"/>
    <xf numFmtId="169" fontId="13" fillId="0" borderId="5" xfId="0" applyNumberFormat="1" applyFont="1" applyBorder="1"/>
    <xf numFmtId="170" fontId="2" fillId="0" borderId="5" xfId="0" applyNumberFormat="1" applyFont="1" applyBorder="1"/>
    <xf numFmtId="171" fontId="2" fillId="0" borderId="5" xfId="0" applyNumberFormat="1" applyFont="1" applyBorder="1"/>
    <xf numFmtId="0" fontId="14" fillId="12" borderId="5" xfId="0" applyFont="1" applyFill="1" applyBorder="1"/>
    <xf numFmtId="0" fontId="17" fillId="12" borderId="5" xfId="0" applyFont="1" applyFill="1" applyBorder="1"/>
    <xf numFmtId="171" fontId="14" fillId="12" borderId="5" xfId="1" applyFont="1" applyFill="1" applyBorder="1" applyProtection="1"/>
    <xf numFmtId="172" fontId="2" fillId="0" borderId="5" xfId="0" applyNumberFormat="1" applyFont="1" applyBorder="1"/>
    <xf numFmtId="171" fontId="2" fillId="0" borderId="5" xfId="1" applyFont="1" applyBorder="1" applyProtection="1"/>
    <xf numFmtId="1" fontId="1" fillId="0" borderId="5" xfId="0" applyNumberFormat="1" applyFont="1" applyBorder="1"/>
    <xf numFmtId="0" fontId="14" fillId="7" borderId="5" xfId="0" applyFont="1" applyFill="1" applyBorder="1"/>
    <xf numFmtId="171" fontId="14" fillId="7" borderId="5" xfId="1" applyFont="1" applyFill="1" applyBorder="1" applyProtection="1"/>
    <xf numFmtId="0" fontId="17" fillId="7" borderId="5" xfId="0" applyFont="1" applyFill="1" applyBorder="1"/>
    <xf numFmtId="0" fontId="18" fillId="0" borderId="0" xfId="0" applyFont="1"/>
    <xf numFmtId="0" fontId="14" fillId="13" borderId="5" xfId="0" applyFont="1" applyFill="1" applyBorder="1"/>
    <xf numFmtId="0" fontId="17" fillId="13" borderId="5" xfId="0" applyFont="1" applyFill="1" applyBorder="1"/>
    <xf numFmtId="171" fontId="14" fillId="13" borderId="5" xfId="1" applyFont="1" applyFill="1" applyBorder="1" applyProtection="1"/>
    <xf numFmtId="0" fontId="19" fillId="14" borderId="0" xfId="0" applyFont="1" applyFill="1"/>
    <xf numFmtId="0" fontId="0" fillId="14" borderId="0" xfId="0" applyFill="1"/>
    <xf numFmtId="0" fontId="7" fillId="8" borderId="0" xfId="0" applyFont="1" applyFill="1"/>
    <xf numFmtId="0" fontId="0" fillId="8" borderId="0" xfId="0" applyFill="1"/>
    <xf numFmtId="171" fontId="6" fillId="0" borderId="5" xfId="1" applyFont="1" applyBorder="1" applyProtection="1"/>
    <xf numFmtId="0" fontId="20" fillId="13" borderId="0" xfId="0" applyFont="1" applyFill="1"/>
    <xf numFmtId="0" fontId="20" fillId="0" borderId="0" xfId="0" applyFont="1"/>
    <xf numFmtId="171" fontId="20" fillId="13" borderId="0" xfId="1" applyFont="1" applyFill="1" applyBorder="1" applyProtection="1"/>
    <xf numFmtId="0" fontId="4" fillId="0" borderId="4" xfId="0" applyFont="1" applyBorder="1" applyAlignment="1">
      <alignment vertical="center" wrapText="1"/>
    </xf>
    <xf numFmtId="0" fontId="0" fillId="0" borderId="5" xfId="0" applyBorder="1"/>
    <xf numFmtId="171" fontId="35" fillId="0" borderId="5" xfId="1" applyBorder="1" applyProtection="1"/>
    <xf numFmtId="168" fontId="4" fillId="0" borderId="4" xfId="0" applyNumberFormat="1" applyFont="1" applyBorder="1" applyAlignment="1">
      <alignment horizontal="center" vertical="center"/>
    </xf>
    <xf numFmtId="0" fontId="3" fillId="14" borderId="0" xfId="0" applyFont="1" applyFill="1" applyAlignment="1">
      <alignment vertical="center"/>
    </xf>
    <xf numFmtId="0" fontId="2" fillId="14" borderId="0" xfId="0" applyFont="1" applyFill="1"/>
    <xf numFmtId="2" fontId="0" fillId="0" borderId="0" xfId="0" applyNumberFormat="1"/>
    <xf numFmtId="172" fontId="2" fillId="0" borderId="0" xfId="0" applyNumberFormat="1" applyFont="1"/>
    <xf numFmtId="0" fontId="2" fillId="8" borderId="0" xfId="0" applyFont="1" applyFill="1"/>
    <xf numFmtId="0" fontId="2" fillId="6" borderId="0" xfId="0" applyFont="1" applyFill="1"/>
    <xf numFmtId="0" fontId="0" fillId="0" borderId="0" xfId="0" applyAlignment="1">
      <alignment horizontal="left"/>
    </xf>
    <xf numFmtId="0" fontId="23" fillId="16" borderId="5" xfId="0" applyFont="1" applyFill="1" applyBorder="1" applyAlignment="1">
      <alignment horizontal="center" vertical="center" wrapText="1"/>
    </xf>
    <xf numFmtId="171" fontId="24" fillId="16" borderId="6" xfId="0" applyNumberFormat="1" applyFont="1" applyFill="1" applyBorder="1" applyAlignment="1">
      <alignment horizontal="center" vertical="center" wrapText="1"/>
    </xf>
    <xf numFmtId="171" fontId="24" fillId="16" borderId="7" xfId="0" applyNumberFormat="1" applyFont="1" applyFill="1" applyBorder="1" applyAlignment="1">
      <alignment horizontal="center" vertical="center" wrapText="1"/>
    </xf>
    <xf numFmtId="166" fontId="23" fillId="16" borderId="7" xfId="0" applyNumberFormat="1" applyFont="1" applyFill="1" applyBorder="1" applyAlignment="1">
      <alignment horizontal="center" vertical="center"/>
    </xf>
    <xf numFmtId="166" fontId="23" fillId="16" borderId="5" xfId="0" applyNumberFormat="1" applyFont="1" applyFill="1" applyBorder="1" applyAlignment="1">
      <alignment horizontal="center" vertical="center"/>
    </xf>
    <xf numFmtId="171" fontId="23" fillId="16" borderId="5" xfId="0" applyNumberFormat="1" applyFont="1" applyFill="1" applyBorder="1" applyAlignment="1">
      <alignment horizontal="center" vertical="center" wrapText="1"/>
    </xf>
    <xf numFmtId="171" fontId="23" fillId="16" borderId="5" xfId="0" applyNumberFormat="1" applyFont="1" applyFill="1" applyBorder="1" applyAlignment="1">
      <alignment horizontal="center" vertical="top" wrapText="1"/>
    </xf>
    <xf numFmtId="171" fontId="24" fillId="16" borderId="0" xfId="0" applyNumberFormat="1" applyFont="1" applyFill="1" applyAlignment="1">
      <alignment horizontal="center" vertical="top" wrapText="1"/>
    </xf>
    <xf numFmtId="171" fontId="23" fillId="16" borderId="7" xfId="0" applyNumberFormat="1" applyFont="1" applyFill="1" applyBorder="1" applyAlignment="1">
      <alignment horizontal="center" vertical="top" wrapText="1"/>
    </xf>
    <xf numFmtId="0" fontId="25" fillId="0" borderId="0" xfId="0" applyFont="1"/>
    <xf numFmtId="0" fontId="26" fillId="0" borderId="5" xfId="0" applyFont="1" applyBorder="1" applyAlignment="1">
      <alignment horizontal="center" vertical="top"/>
    </xf>
    <xf numFmtId="0" fontId="26" fillId="0" borderId="8" xfId="0" applyFont="1" applyBorder="1" applyAlignment="1">
      <alignment horizontal="left" vertical="top" wrapText="1"/>
    </xf>
    <xf numFmtId="171" fontId="26" fillId="0" borderId="5" xfId="0" applyNumberFormat="1" applyFont="1" applyBorder="1" applyAlignment="1">
      <alignment vertical="top"/>
    </xf>
    <xf numFmtId="172" fontId="23" fillId="0" borderId="8" xfId="0" applyNumberFormat="1" applyFont="1" applyBorder="1" applyAlignment="1">
      <alignment horizontal="center" vertical="top"/>
    </xf>
    <xf numFmtId="171" fontId="0" fillId="0" borderId="5" xfId="0" applyNumberFormat="1" applyBorder="1"/>
    <xf numFmtId="173" fontId="0" fillId="0" borderId="5" xfId="0" applyNumberFormat="1" applyBorder="1"/>
    <xf numFmtId="171" fontId="18" fillId="0" borderId="5" xfId="1" applyFont="1" applyBorder="1" applyProtection="1"/>
    <xf numFmtId="9" fontId="25" fillId="0" borderId="5" xfId="2" applyFont="1" applyBorder="1" applyProtection="1"/>
    <xf numFmtId="173" fontId="25" fillId="0" borderId="0" xfId="0" applyNumberFormat="1" applyFont="1"/>
    <xf numFmtId="0" fontId="25" fillId="0" borderId="0" xfId="0" applyFont="1" applyAlignment="1">
      <alignment horizontal="center"/>
    </xf>
    <xf numFmtId="0" fontId="26" fillId="0" borderId="5" xfId="0" applyFont="1" applyBorder="1" applyAlignment="1">
      <alignment horizontal="left" vertical="top"/>
    </xf>
    <xf numFmtId="171" fontId="27" fillId="0" borderId="5" xfId="0" applyNumberFormat="1" applyFont="1" applyBorder="1" applyAlignment="1">
      <alignment horizontal="center" vertical="top"/>
    </xf>
    <xf numFmtId="0" fontId="0" fillId="0" borderId="8" xfId="0" applyBorder="1" applyAlignment="1">
      <alignment horizontal="center"/>
    </xf>
    <xf numFmtId="0" fontId="25" fillId="0" borderId="5" xfId="0" applyFont="1" applyBorder="1"/>
    <xf numFmtId="0" fontId="29" fillId="0" borderId="0" xfId="0" applyFont="1"/>
    <xf numFmtId="0" fontId="29" fillId="0" borderId="17" xfId="0" applyFont="1" applyBorder="1"/>
    <xf numFmtId="0" fontId="29" fillId="0" borderId="18" xfId="0" applyFont="1" applyBorder="1"/>
    <xf numFmtId="0" fontId="29" fillId="0" borderId="6" xfId="0" applyFont="1" applyBorder="1"/>
    <xf numFmtId="0" fontId="29" fillId="0" borderId="19" xfId="0" applyFont="1" applyBorder="1"/>
    <xf numFmtId="0" fontId="29" fillId="0" borderId="20" xfId="0" applyFont="1" applyBorder="1"/>
    <xf numFmtId="0" fontId="28" fillId="0" borderId="0" xfId="0" applyFont="1"/>
    <xf numFmtId="0" fontId="29" fillId="0" borderId="9" xfId="0" applyFont="1" applyBorder="1"/>
    <xf numFmtId="0" fontId="29" fillId="0" borderId="21" xfId="0" applyFont="1" applyBorder="1"/>
    <xf numFmtId="0" fontId="29" fillId="0" borderId="17" xfId="0" applyFont="1" applyBorder="1" applyAlignment="1">
      <alignment vertical="top"/>
    </xf>
    <xf numFmtId="0" fontId="29" fillId="0" borderId="18" xfId="0" applyFont="1" applyBorder="1" applyAlignment="1">
      <alignment horizontal="left" vertical="top"/>
    </xf>
    <xf numFmtId="0" fontId="29" fillId="0" borderId="9" xfId="0" applyFont="1" applyBorder="1" applyAlignment="1">
      <alignment vertical="top"/>
    </xf>
    <xf numFmtId="0" fontId="29" fillId="0" borderId="21" xfId="0" applyFont="1" applyBorder="1" applyAlignment="1">
      <alignment horizontal="left" vertical="top"/>
    </xf>
    <xf numFmtId="173" fontId="29" fillId="0" borderId="0" xfId="1" applyNumberFormat="1" applyFont="1" applyBorder="1" applyAlignment="1" applyProtection="1">
      <alignment horizontal="left"/>
    </xf>
    <xf numFmtId="173" fontId="29" fillId="0" borderId="0" xfId="0" applyNumberFormat="1" applyFont="1" applyAlignment="1">
      <alignment horizontal="left"/>
    </xf>
    <xf numFmtId="0" fontId="28" fillId="0" borderId="9" xfId="0" applyFont="1" applyBorder="1"/>
    <xf numFmtId="173" fontId="28" fillId="0" borderId="0" xfId="0" applyNumberFormat="1" applyFont="1" applyAlignment="1">
      <alignment horizontal="left"/>
    </xf>
    <xf numFmtId="173" fontId="29" fillId="0" borderId="21" xfId="0" applyNumberFormat="1" applyFont="1" applyBorder="1"/>
    <xf numFmtId="0" fontId="28" fillId="0" borderId="22" xfId="0" applyFont="1" applyBorder="1"/>
    <xf numFmtId="173" fontId="28" fillId="0" borderId="23" xfId="0" applyNumberFormat="1" applyFont="1" applyBorder="1" applyAlignment="1">
      <alignment horizontal="left"/>
    </xf>
    <xf numFmtId="0" fontId="29" fillId="0" borderId="4" xfId="0" applyFont="1" applyBorder="1"/>
    <xf numFmtId="173" fontId="0" fillId="0" borderId="0" xfId="0" applyNumberFormat="1"/>
    <xf numFmtId="0" fontId="32" fillId="0" borderId="0" xfId="0" applyFont="1"/>
    <xf numFmtId="173" fontId="32" fillId="0" borderId="0" xfId="0" applyNumberFormat="1" applyFont="1" applyAlignment="1">
      <alignment horizontal="left"/>
    </xf>
    <xf numFmtId="0" fontId="33" fillId="0" borderId="0" xfId="0" applyFont="1"/>
    <xf numFmtId="0" fontId="29" fillId="0" borderId="24" xfId="0" applyFont="1" applyBorder="1"/>
    <xf numFmtId="173" fontId="29" fillId="0" borderId="25" xfId="0" applyNumberFormat="1" applyFont="1" applyBorder="1"/>
    <xf numFmtId="0" fontId="29" fillId="0" borderId="25" xfId="0" applyFont="1" applyBorder="1"/>
    <xf numFmtId="0" fontId="29" fillId="0" borderId="26" xfId="0" applyFont="1" applyBorder="1"/>
    <xf numFmtId="0" fontId="28" fillId="0" borderId="0" xfId="0" applyFont="1" applyAlignment="1">
      <alignment horizontal="left" vertical="top"/>
    </xf>
    <xf numFmtId="167" fontId="29" fillId="0" borderId="0" xfId="0" applyNumberFormat="1" applyFont="1" applyAlignment="1">
      <alignment horizontal="left" vertical="top"/>
    </xf>
    <xf numFmtId="167" fontId="29" fillId="0" borderId="0" xfId="0" applyNumberFormat="1" applyFont="1" applyAlignment="1">
      <alignment horizontal="left"/>
    </xf>
    <xf numFmtId="167" fontId="28" fillId="0" borderId="0" xfId="0" applyNumberFormat="1" applyFont="1" applyAlignment="1">
      <alignment horizontal="left"/>
    </xf>
    <xf numFmtId="0" fontId="29" fillId="0" borderId="28" xfId="0" applyFont="1" applyBorder="1"/>
    <xf numFmtId="176" fontId="28" fillId="0" borderId="0" xfId="0" applyNumberFormat="1" applyFont="1" applyAlignment="1">
      <alignment horizontal="left"/>
    </xf>
    <xf numFmtId="173" fontId="29" fillId="0" borderId="0" xfId="0" applyNumberFormat="1" applyFont="1"/>
    <xf numFmtId="0" fontId="34" fillId="0" borderId="24" xfId="0" applyFont="1" applyBorder="1"/>
    <xf numFmtId="173" fontId="34" fillId="0" borderId="25" xfId="0" applyNumberFormat="1" applyFont="1" applyBorder="1" applyAlignment="1">
      <alignment horizontal="left"/>
    </xf>
    <xf numFmtId="173" fontId="34" fillId="0" borderId="25" xfId="0" applyNumberFormat="1" applyFont="1" applyBorder="1" applyAlignment="1">
      <alignment horizontal="left" vertical="top"/>
    </xf>
    <xf numFmtId="176" fontId="29" fillId="0" borderId="0" xfId="0" applyNumberFormat="1" applyFont="1" applyAlignment="1">
      <alignment horizontal="left"/>
    </xf>
    <xf numFmtId="0" fontId="29" fillId="8" borderId="0" xfId="0" applyFont="1" applyFill="1"/>
    <xf numFmtId="0" fontId="36" fillId="0" borderId="0" xfId="0" applyFont="1" applyAlignment="1">
      <alignment vertical="center" wrapText="1"/>
    </xf>
    <xf numFmtId="0" fontId="36" fillId="22" borderId="32" xfId="0" applyFont="1" applyFill="1" applyBorder="1" applyAlignment="1">
      <alignment vertical="center" wrapText="1"/>
    </xf>
    <xf numFmtId="0" fontId="36" fillId="22" borderId="2" xfId="0" applyFont="1" applyFill="1" applyBorder="1" applyAlignment="1">
      <alignment vertical="center" wrapText="1"/>
    </xf>
    <xf numFmtId="0" fontId="36" fillId="23" borderId="2" xfId="0" applyFont="1" applyFill="1" applyBorder="1" applyAlignment="1">
      <alignment vertical="center" wrapText="1"/>
    </xf>
    <xf numFmtId="0" fontId="36" fillId="24" borderId="2" xfId="0" applyFont="1" applyFill="1" applyBorder="1" applyAlignment="1">
      <alignment vertical="center" wrapText="1"/>
    </xf>
    <xf numFmtId="0" fontId="37" fillId="0" borderId="3" xfId="0" applyFont="1" applyBorder="1" applyAlignment="1">
      <alignment horizontal="left" vertical="center" wrapText="1"/>
    </xf>
    <xf numFmtId="0" fontId="37" fillId="0" borderId="4" xfId="0" applyFont="1" applyBorder="1" applyAlignment="1">
      <alignment vertical="center" wrapText="1"/>
    </xf>
    <xf numFmtId="177" fontId="39" fillId="0" borderId="5" xfId="0" applyNumberFormat="1" applyFont="1" applyBorder="1" applyAlignment="1">
      <alignment horizontal="center" vertical="center" wrapText="1"/>
    </xf>
    <xf numFmtId="177" fontId="39" fillId="0" borderId="4" xfId="0" applyNumberFormat="1" applyFont="1" applyBorder="1" applyAlignment="1">
      <alignment horizontal="center" vertical="center" wrapText="1"/>
    </xf>
    <xf numFmtId="177" fontId="37" fillId="0" borderId="4" xfId="0" applyNumberFormat="1" applyFont="1" applyBorder="1" applyAlignment="1">
      <alignment horizontal="center" vertical="center" wrapText="1"/>
    </xf>
    <xf numFmtId="10" fontId="0" fillId="0" borderId="0" xfId="0" applyNumberFormat="1"/>
    <xf numFmtId="0" fontId="37" fillId="0" borderId="33" xfId="0" applyFont="1" applyBorder="1" applyAlignment="1">
      <alignment horizontal="left" vertical="center" wrapText="1"/>
    </xf>
    <xf numFmtId="0" fontId="37" fillId="0" borderId="34" xfId="0" applyFont="1" applyBorder="1" applyAlignment="1">
      <alignment vertical="center" wrapText="1"/>
    </xf>
    <xf numFmtId="0" fontId="37" fillId="0" borderId="3" xfId="0" applyFont="1" applyBorder="1" applyAlignment="1">
      <alignment vertical="center" wrapText="1"/>
    </xf>
    <xf numFmtId="0" fontId="37" fillId="0" borderId="0" xfId="0" applyFont="1" applyAlignment="1">
      <alignment vertical="center" wrapText="1"/>
    </xf>
    <xf numFmtId="0" fontId="36" fillId="22" borderId="1" xfId="0" applyFont="1" applyFill="1" applyBorder="1" applyAlignment="1">
      <alignment vertical="center" wrapText="1"/>
    </xf>
    <xf numFmtId="0" fontId="36" fillId="22" borderId="35" xfId="0" applyFont="1" applyFill="1" applyBorder="1" applyAlignment="1">
      <alignment vertical="center" wrapText="1"/>
    </xf>
    <xf numFmtId="0" fontId="36" fillId="23" borderId="35" xfId="0" applyFont="1" applyFill="1" applyBorder="1" applyAlignment="1">
      <alignment vertical="center" wrapText="1"/>
    </xf>
    <xf numFmtId="0" fontId="36" fillId="24" borderId="35" xfId="0" applyFont="1" applyFill="1" applyBorder="1" applyAlignment="1">
      <alignment vertical="center" wrapText="1"/>
    </xf>
    <xf numFmtId="0" fontId="40" fillId="0" borderId="2" xfId="0" applyFont="1" applyBorder="1" applyAlignment="1">
      <alignment vertical="center" wrapText="1"/>
    </xf>
    <xf numFmtId="0" fontId="40" fillId="0" borderId="36" xfId="0" applyFont="1" applyBorder="1" applyAlignment="1">
      <alignment vertical="center" wrapText="1"/>
    </xf>
    <xf numFmtId="177" fontId="39" fillId="0" borderId="37" xfId="0" applyNumberFormat="1" applyFont="1" applyBorder="1" applyAlignment="1">
      <alignment horizontal="center" vertical="center" wrapText="1"/>
    </xf>
    <xf numFmtId="177" fontId="37" fillId="0" borderId="5" xfId="0" applyNumberFormat="1" applyFont="1" applyBorder="1" applyAlignment="1">
      <alignment horizontal="center" vertical="center" wrapText="1"/>
    </xf>
    <xf numFmtId="0" fontId="40" fillId="0" borderId="4" xfId="0" applyFont="1" applyBorder="1" applyAlignment="1">
      <alignment vertical="center" wrapText="1"/>
    </xf>
    <xf numFmtId="0" fontId="40" fillId="0" borderId="23" xfId="0" applyFont="1" applyBorder="1" applyAlignment="1">
      <alignment vertical="center" wrapText="1"/>
    </xf>
    <xf numFmtId="0" fontId="41" fillId="0" borderId="0" xfId="0" applyFont="1" applyAlignment="1">
      <alignment vertical="center"/>
    </xf>
    <xf numFmtId="0" fontId="40" fillId="0" borderId="0" xfId="0" applyFont="1" applyAlignment="1">
      <alignment vertical="center" wrapText="1"/>
    </xf>
    <xf numFmtId="0" fontId="40" fillId="0" borderId="5" xfId="0" applyFont="1" applyBorder="1" applyAlignment="1">
      <alignment vertical="center" wrapText="1"/>
    </xf>
    <xf numFmtId="0" fontId="0" fillId="25" borderId="5" xfId="0" applyFill="1" applyBorder="1"/>
    <xf numFmtId="0" fontId="40" fillId="0" borderId="7" xfId="0" applyFont="1" applyBorder="1" applyAlignment="1">
      <alignment vertical="center" wrapText="1"/>
    </xf>
    <xf numFmtId="177" fontId="39" fillId="0" borderId="7" xfId="0" applyNumberFormat="1" applyFont="1" applyBorder="1" applyAlignment="1">
      <alignment horizontal="center" vertical="center" wrapText="1"/>
    </xf>
    <xf numFmtId="177" fontId="37" fillId="0" borderId="7" xfId="0" applyNumberFormat="1" applyFont="1" applyBorder="1" applyAlignment="1">
      <alignment horizontal="center" vertical="center" wrapText="1"/>
    </xf>
    <xf numFmtId="0" fontId="40" fillId="25" borderId="5" xfId="0" applyFont="1" applyFill="1" applyBorder="1" applyAlignment="1">
      <alignment vertical="center" wrapText="1"/>
    </xf>
    <xf numFmtId="171" fontId="0" fillId="25" borderId="5" xfId="1" applyFont="1" applyFill="1" applyBorder="1"/>
    <xf numFmtId="171" fontId="0" fillId="26" borderId="5" xfId="1" applyFont="1" applyFill="1" applyBorder="1"/>
    <xf numFmtId="0" fontId="0" fillId="26" borderId="5" xfId="0" applyFill="1" applyBorder="1"/>
    <xf numFmtId="0" fontId="43" fillId="21" borderId="5" xfId="0" applyFont="1" applyFill="1" applyBorder="1" applyAlignment="1">
      <alignment vertical="center" wrapText="1"/>
    </xf>
    <xf numFmtId="0" fontId="36" fillId="22" borderId="38" xfId="0" applyFont="1" applyFill="1" applyBorder="1" applyAlignment="1">
      <alignment vertical="center" wrapText="1"/>
    </xf>
    <xf numFmtId="0" fontId="36" fillId="22" borderId="4" xfId="0" applyFont="1" applyFill="1" applyBorder="1" applyAlignment="1">
      <alignment vertical="center" wrapText="1"/>
    </xf>
    <xf numFmtId="0" fontId="36" fillId="23" borderId="4" xfId="0" applyFont="1" applyFill="1" applyBorder="1" applyAlignment="1">
      <alignment vertical="center" wrapText="1"/>
    </xf>
    <xf numFmtId="0" fontId="36" fillId="27" borderId="4" xfId="0" applyFont="1" applyFill="1" applyBorder="1" applyAlignment="1">
      <alignment vertical="center" wrapText="1"/>
    </xf>
    <xf numFmtId="0" fontId="44" fillId="0" borderId="5" xfId="0" applyFont="1" applyBorder="1" applyAlignment="1">
      <alignment vertical="top"/>
    </xf>
    <xf numFmtId="0" fontId="44" fillId="0" borderId="5" xfId="0" applyFont="1" applyBorder="1" applyAlignment="1">
      <alignment vertical="top" wrapText="1"/>
    </xf>
    <xf numFmtId="0" fontId="44" fillId="28" borderId="5" xfId="0" applyFont="1" applyFill="1" applyBorder="1" applyAlignment="1">
      <alignment vertical="top"/>
    </xf>
    <xf numFmtId="0" fontId="44" fillId="28" borderId="5" xfId="0" applyFont="1" applyFill="1" applyBorder="1" applyAlignment="1">
      <alignment vertical="top" wrapText="1"/>
    </xf>
    <xf numFmtId="177" fontId="39" fillId="28" borderId="39" xfId="0" applyNumberFormat="1" applyFont="1" applyFill="1" applyBorder="1" applyAlignment="1">
      <alignment horizontal="center" vertical="center" wrapText="1"/>
    </xf>
    <xf numFmtId="177" fontId="37" fillId="28" borderId="39" xfId="0" applyNumberFormat="1" applyFont="1" applyFill="1" applyBorder="1" applyAlignment="1">
      <alignment horizontal="center" vertical="center" wrapText="1"/>
    </xf>
    <xf numFmtId="0" fontId="46" fillId="0" borderId="0" xfId="0" applyFont="1"/>
    <xf numFmtId="0" fontId="39" fillId="0" borderId="0" xfId="0" applyFont="1" applyAlignment="1">
      <alignment horizontal="center" vertical="center" wrapText="1"/>
    </xf>
    <xf numFmtId="0" fontId="39" fillId="0" borderId="0" xfId="0" applyFont="1" applyAlignment="1">
      <alignment vertical="center" wrapText="1"/>
    </xf>
    <xf numFmtId="0" fontId="37" fillId="22" borderId="3" xfId="0" applyFont="1" applyFill="1" applyBorder="1" applyAlignment="1">
      <alignment vertical="center" wrapText="1"/>
    </xf>
    <xf numFmtId="0" fontId="37" fillId="22" borderId="23" xfId="0" applyFont="1" applyFill="1" applyBorder="1" applyAlignment="1">
      <alignment vertical="center" wrapText="1"/>
    </xf>
    <xf numFmtId="0" fontId="44" fillId="29" borderId="5" xfId="0" applyFont="1" applyFill="1" applyBorder="1" applyAlignment="1">
      <alignment vertical="top"/>
    </xf>
    <xf numFmtId="0" fontId="44" fillId="29" borderId="5" xfId="0" applyFont="1" applyFill="1" applyBorder="1" applyAlignment="1">
      <alignment vertical="top" wrapText="1"/>
    </xf>
    <xf numFmtId="177" fontId="39" fillId="29" borderId="4" xfId="0" applyNumberFormat="1" applyFont="1" applyFill="1" applyBorder="1" applyAlignment="1">
      <alignment horizontal="center" vertical="center" wrapText="1"/>
    </xf>
    <xf numFmtId="177" fontId="37" fillId="29" borderId="4" xfId="0" applyNumberFormat="1" applyFont="1" applyFill="1" applyBorder="1" applyAlignment="1">
      <alignment horizontal="center" vertical="center" wrapText="1"/>
    </xf>
    <xf numFmtId="0" fontId="44" fillId="29" borderId="7" xfId="0" applyFont="1" applyFill="1" applyBorder="1" applyAlignment="1">
      <alignment vertical="top"/>
    </xf>
    <xf numFmtId="0" fontId="44" fillId="29" borderId="7" xfId="0" applyFont="1" applyFill="1" applyBorder="1" applyAlignment="1">
      <alignment vertical="top" wrapText="1"/>
    </xf>
    <xf numFmtId="177" fontId="39" fillId="29" borderId="18" xfId="0" applyNumberFormat="1" applyFont="1" applyFill="1" applyBorder="1" applyAlignment="1">
      <alignment horizontal="center" vertical="center" wrapText="1"/>
    </xf>
    <xf numFmtId="0" fontId="44" fillId="0" borderId="0" xfId="0" applyFont="1" applyAlignment="1">
      <alignment vertical="center"/>
    </xf>
    <xf numFmtId="0" fontId="47" fillId="0" borderId="0" xfId="0" applyFont="1" applyAlignment="1">
      <alignment horizontal="center" vertical="center" wrapText="1"/>
    </xf>
    <xf numFmtId="0" fontId="43" fillId="21" borderId="8" xfId="0" applyFont="1" applyFill="1" applyBorder="1" applyAlignment="1">
      <alignment vertical="center" wrapText="1"/>
    </xf>
    <xf numFmtId="0" fontId="36" fillId="24" borderId="23" xfId="0" applyFont="1" applyFill="1" applyBorder="1" applyAlignment="1">
      <alignment vertical="center" wrapText="1"/>
    </xf>
    <xf numFmtId="177" fontId="37" fillId="28" borderId="30" xfId="0" applyNumberFormat="1" applyFont="1" applyFill="1" applyBorder="1" applyAlignment="1">
      <alignment horizontal="center" vertical="center" wrapText="1"/>
    </xf>
    <xf numFmtId="177" fontId="37" fillId="29" borderId="23" xfId="0" applyNumberFormat="1" applyFont="1" applyFill="1" applyBorder="1" applyAlignment="1">
      <alignment horizontal="center" vertical="center" wrapText="1"/>
    </xf>
    <xf numFmtId="0" fontId="0" fillId="32" borderId="0" xfId="0" applyFill="1"/>
    <xf numFmtId="178" fontId="37" fillId="0" borderId="0" xfId="0" applyNumberFormat="1" applyFont="1" applyAlignment="1">
      <alignment horizontal="center" vertical="center"/>
    </xf>
    <xf numFmtId="0" fontId="44" fillId="0" borderId="1" xfId="0" applyFont="1" applyBorder="1" applyAlignment="1">
      <alignment vertical="center" wrapText="1"/>
    </xf>
    <xf numFmtId="0" fontId="44" fillId="0" borderId="3" xfId="0" applyFont="1" applyBorder="1" applyAlignment="1">
      <alignment vertical="center" wrapText="1"/>
    </xf>
    <xf numFmtId="0" fontId="44" fillId="0" borderId="1" xfId="0" applyFont="1" applyBorder="1" applyAlignment="1">
      <alignment horizontal="left" vertical="center" wrapText="1"/>
    </xf>
    <xf numFmtId="0" fontId="44" fillId="0" borderId="3" xfId="0" applyFont="1" applyBorder="1" applyAlignment="1">
      <alignment horizontal="left" vertical="center" wrapText="1"/>
    </xf>
    <xf numFmtId="0" fontId="44" fillId="0" borderId="31" xfId="0" applyFont="1" applyBorder="1" applyAlignment="1">
      <alignment horizontal="left" vertical="center" wrapText="1"/>
    </xf>
    <xf numFmtId="0" fontId="39" fillId="0" borderId="5" xfId="0" applyFont="1" applyBorder="1"/>
    <xf numFmtId="0" fontId="35" fillId="0" borderId="0" xfId="0" applyFont="1"/>
    <xf numFmtId="0" fontId="51" fillId="30" borderId="17" xfId="0" applyFont="1" applyFill="1" applyBorder="1" applyAlignment="1">
      <alignment vertical="center"/>
    </xf>
    <xf numFmtId="177" fontId="37" fillId="32" borderId="0" xfId="0" applyNumberFormat="1" applyFont="1" applyFill="1" applyAlignment="1">
      <alignment horizontal="center" vertical="center" wrapText="1"/>
    </xf>
    <xf numFmtId="0" fontId="51" fillId="30" borderId="0" xfId="0" applyFont="1" applyFill="1" applyAlignment="1">
      <alignment vertical="center"/>
    </xf>
    <xf numFmtId="0" fontId="45" fillId="0" borderId="0" xfId="0" applyFont="1"/>
    <xf numFmtId="0" fontId="50" fillId="0" borderId="6" xfId="0" applyFont="1" applyBorder="1"/>
    <xf numFmtId="0" fontId="50" fillId="0" borderId="19" xfId="0" applyFont="1" applyBorder="1"/>
    <xf numFmtId="0" fontId="50" fillId="0" borderId="20" xfId="0" applyFont="1" applyBorder="1"/>
    <xf numFmtId="0" fontId="50" fillId="0" borderId="9" xfId="0" applyFont="1" applyBorder="1"/>
    <xf numFmtId="0" fontId="50" fillId="0" borderId="0" xfId="0" applyFont="1"/>
    <xf numFmtId="0" fontId="50" fillId="0" borderId="21" xfId="0" applyFont="1" applyBorder="1"/>
    <xf numFmtId="0" fontId="50" fillId="0" borderId="9" xfId="0" applyFont="1" applyBorder="1" applyAlignment="1">
      <alignment vertical="top"/>
    </xf>
    <xf numFmtId="0" fontId="54" fillId="0" borderId="0" xfId="0" applyFont="1"/>
    <xf numFmtId="0" fontId="54" fillId="0" borderId="0" xfId="0" applyFont="1" applyAlignment="1">
      <alignment horizontal="left" vertical="top"/>
    </xf>
    <xf numFmtId="0" fontId="50" fillId="0" borderId="21" xfId="0" applyFont="1" applyBorder="1" applyAlignment="1">
      <alignment horizontal="left" vertical="top"/>
    </xf>
    <xf numFmtId="173" fontId="50" fillId="0" borderId="0" xfId="1" applyNumberFormat="1" applyFont="1" applyBorder="1" applyAlignment="1" applyProtection="1">
      <alignment horizontal="left"/>
    </xf>
    <xf numFmtId="167" fontId="50" fillId="0" borderId="0" xfId="0" applyNumberFormat="1" applyFont="1" applyAlignment="1">
      <alignment horizontal="left" vertical="top"/>
    </xf>
    <xf numFmtId="167" fontId="50" fillId="0" borderId="21" xfId="0" applyNumberFormat="1" applyFont="1" applyBorder="1"/>
    <xf numFmtId="0" fontId="54" fillId="0" borderId="9" xfId="0" applyFont="1" applyBorder="1"/>
    <xf numFmtId="174" fontId="54" fillId="0" borderId="0" xfId="0" applyNumberFormat="1" applyFont="1" applyAlignment="1">
      <alignment horizontal="left"/>
    </xf>
    <xf numFmtId="175" fontId="54" fillId="0" borderId="0" xfId="0" applyNumberFormat="1" applyFont="1" applyAlignment="1">
      <alignment horizontal="left" vertical="top"/>
    </xf>
    <xf numFmtId="175" fontId="54" fillId="0" borderId="21" xfId="0" applyNumberFormat="1" applyFont="1" applyBorder="1"/>
    <xf numFmtId="0" fontId="55" fillId="0" borderId="24" xfId="0" applyFont="1" applyBorder="1"/>
    <xf numFmtId="173" fontId="55" fillId="0" borderId="25" xfId="0" applyNumberFormat="1" applyFont="1" applyBorder="1" applyAlignment="1">
      <alignment horizontal="left"/>
    </xf>
    <xf numFmtId="167" fontId="55" fillId="0" borderId="25" xfId="0" applyNumberFormat="1" applyFont="1" applyBorder="1" applyAlignment="1">
      <alignment horizontal="left" vertical="top"/>
    </xf>
    <xf numFmtId="167" fontId="55" fillId="0" borderId="26" xfId="0" applyNumberFormat="1" applyFont="1" applyBorder="1"/>
    <xf numFmtId="0" fontId="56" fillId="12" borderId="6" xfId="0" applyFont="1" applyFill="1" applyBorder="1"/>
    <xf numFmtId="0" fontId="56" fillId="12" borderId="19" xfId="0" applyFont="1" applyFill="1" applyBorder="1"/>
    <xf numFmtId="167" fontId="56" fillId="12" borderId="19" xfId="0" applyNumberFormat="1" applyFont="1" applyFill="1" applyBorder="1"/>
    <xf numFmtId="0" fontId="50" fillId="12" borderId="20" xfId="0" applyFont="1" applyFill="1" applyBorder="1"/>
    <xf numFmtId="0" fontId="56" fillId="0" borderId="9" xfId="0" applyFont="1" applyBorder="1"/>
    <xf numFmtId="0" fontId="56" fillId="0" borderId="0" xfId="0" applyFont="1"/>
    <xf numFmtId="0" fontId="56" fillId="0" borderId="9" xfId="0" applyFont="1" applyBorder="1" applyAlignment="1">
      <alignment vertical="top"/>
    </xf>
    <xf numFmtId="0" fontId="56" fillId="0" borderId="0" xfId="0" applyFont="1" applyAlignment="1">
      <alignment horizontal="left" vertical="top" wrapText="1"/>
    </xf>
    <xf numFmtId="0" fontId="57" fillId="0" borderId="0" xfId="0" applyFont="1"/>
    <xf numFmtId="173" fontId="56" fillId="0" borderId="0" xfId="1" applyNumberFormat="1" applyFont="1" applyBorder="1" applyAlignment="1" applyProtection="1">
      <alignment horizontal="left"/>
    </xf>
    <xf numFmtId="167" fontId="56" fillId="0" borderId="0" xfId="0" applyNumberFormat="1" applyFont="1" applyAlignment="1">
      <alignment horizontal="left" vertical="top"/>
    </xf>
    <xf numFmtId="167" fontId="56" fillId="0" borderId="0" xfId="0" applyNumberFormat="1" applyFont="1" applyAlignment="1">
      <alignment horizontal="left"/>
    </xf>
    <xf numFmtId="0" fontId="57" fillId="0" borderId="9" xfId="0" applyFont="1" applyBorder="1"/>
    <xf numFmtId="173" fontId="57" fillId="0" borderId="0" xfId="0" applyNumberFormat="1" applyFont="1" applyAlignment="1">
      <alignment horizontal="left"/>
    </xf>
    <xf numFmtId="174" fontId="57" fillId="0" borderId="0" xfId="0" applyNumberFormat="1" applyFont="1" applyAlignment="1">
      <alignment horizontal="left"/>
    </xf>
    <xf numFmtId="0" fontId="58" fillId="0" borderId="24" xfId="0" applyFont="1" applyBorder="1"/>
    <xf numFmtId="173" fontId="58" fillId="0" borderId="25" xfId="0" applyNumberFormat="1" applyFont="1" applyBorder="1" applyAlignment="1">
      <alignment horizontal="left"/>
    </xf>
    <xf numFmtId="0" fontId="50" fillId="12" borderId="6" xfId="0" applyFont="1" applyFill="1" applyBorder="1"/>
    <xf numFmtId="0" fontId="50" fillId="12" borderId="19" xfId="0" applyFont="1" applyFill="1" applyBorder="1"/>
    <xf numFmtId="167" fontId="50" fillId="12" borderId="19" xfId="0" applyNumberFormat="1" applyFont="1" applyFill="1" applyBorder="1"/>
    <xf numFmtId="0" fontId="50" fillId="0" borderId="0" xfId="0" applyFont="1" applyAlignment="1">
      <alignment horizontal="left" vertical="top" wrapText="1"/>
    </xf>
    <xf numFmtId="167" fontId="50" fillId="0" borderId="0" xfId="0" applyNumberFormat="1" applyFont="1" applyAlignment="1">
      <alignment horizontal="left"/>
    </xf>
    <xf numFmtId="173" fontId="28" fillId="0" borderId="25" xfId="0" applyNumberFormat="1" applyFont="1" applyBorder="1" applyAlignment="1">
      <alignment horizontal="left"/>
    </xf>
    <xf numFmtId="171" fontId="60" fillId="0" borderId="4" xfId="1" applyFont="1" applyBorder="1" applyAlignment="1">
      <alignment vertical="top" wrapText="1"/>
    </xf>
    <xf numFmtId="0" fontId="49" fillId="0" borderId="5" xfId="0" applyFont="1" applyBorder="1" applyAlignment="1">
      <alignment vertical="top"/>
    </xf>
    <xf numFmtId="0" fontId="61" fillId="0" borderId="5" xfId="0" applyFont="1" applyBorder="1" applyAlignment="1">
      <alignment vertical="top"/>
    </xf>
    <xf numFmtId="0" fontId="61" fillId="0" borderId="5" xfId="0" applyFont="1" applyBorder="1" applyAlignment="1">
      <alignment vertical="top" wrapText="1"/>
    </xf>
    <xf numFmtId="171" fontId="62" fillId="0" borderId="4" xfId="1" applyFont="1" applyBorder="1" applyAlignment="1">
      <alignment vertical="top" wrapText="1"/>
    </xf>
    <xf numFmtId="0" fontId="61" fillId="0" borderId="5" xfId="0" applyFont="1" applyBorder="1" applyAlignment="1">
      <alignment horizontal="left" vertical="top"/>
    </xf>
    <xf numFmtId="0" fontId="61" fillId="0" borderId="5" xfId="0" applyFont="1" applyBorder="1" applyAlignment="1">
      <alignment horizontal="left" vertical="top" wrapText="1"/>
    </xf>
    <xf numFmtId="171" fontId="62" fillId="0" borderId="4" xfId="1" applyFont="1" applyBorder="1" applyAlignment="1">
      <alignment horizontal="left" vertical="top" wrapText="1"/>
    </xf>
    <xf numFmtId="171" fontId="45" fillId="0" borderId="4" xfId="1" applyFont="1" applyBorder="1" applyAlignment="1">
      <alignment vertical="top" wrapText="1"/>
    </xf>
    <xf numFmtId="171" fontId="59" fillId="0" borderId="4" xfId="1" applyFont="1" applyBorder="1" applyAlignment="1">
      <alignment vertical="top" wrapText="1"/>
    </xf>
    <xf numFmtId="0" fontId="63" fillId="0" borderId="5" xfId="0" applyFont="1" applyBorder="1" applyAlignment="1">
      <alignment vertical="top"/>
    </xf>
    <xf numFmtId="0" fontId="63" fillId="0" borderId="5" xfId="0" applyFont="1" applyBorder="1" applyAlignment="1">
      <alignment vertical="top" wrapText="1"/>
    </xf>
    <xf numFmtId="0" fontId="64" fillId="0" borderId="5" xfId="0" applyFont="1" applyBorder="1" applyAlignment="1">
      <alignment vertical="top"/>
    </xf>
    <xf numFmtId="0" fontId="64" fillId="0" borderId="5" xfId="0" applyFont="1" applyBorder="1" applyAlignment="1">
      <alignment vertical="top" wrapText="1"/>
    </xf>
    <xf numFmtId="0" fontId="65" fillId="0" borderId="5" xfId="0" applyFont="1" applyBorder="1" applyAlignment="1">
      <alignment vertical="top"/>
    </xf>
    <xf numFmtId="0" fontId="65" fillId="0" borderId="5" xfId="0" applyFont="1" applyBorder="1" applyAlignment="1">
      <alignment vertical="top" wrapText="1"/>
    </xf>
    <xf numFmtId="0" fontId="51" fillId="0" borderId="5" xfId="0" applyFont="1" applyBorder="1" applyAlignment="1">
      <alignment vertical="top"/>
    </xf>
    <xf numFmtId="0" fontId="51" fillId="0" borderId="5" xfId="0" applyFont="1" applyBorder="1" applyAlignment="1">
      <alignment vertical="top" wrapText="1"/>
    </xf>
    <xf numFmtId="0" fontId="67" fillId="0" borderId="0" xfId="0" applyFont="1" applyAlignment="1">
      <alignment vertical="center"/>
    </xf>
    <xf numFmtId="0" fontId="67" fillId="0" borderId="0" xfId="0" applyFont="1" applyAlignment="1">
      <alignment horizontal="center" vertical="center"/>
    </xf>
    <xf numFmtId="0" fontId="68" fillId="0" borderId="0" xfId="0" applyFont="1" applyAlignment="1">
      <alignment horizontal="center" vertical="center"/>
    </xf>
    <xf numFmtId="0" fontId="36" fillId="36" borderId="35" xfId="0" applyFont="1" applyFill="1" applyBorder="1" applyAlignment="1">
      <alignment horizontal="center" vertical="center" wrapText="1"/>
    </xf>
    <xf numFmtId="0" fontId="36" fillId="36" borderId="18" xfId="0" applyFont="1" applyFill="1" applyBorder="1" applyAlignment="1">
      <alignment horizontal="center" vertical="center" wrapText="1"/>
    </xf>
    <xf numFmtId="0" fontId="45" fillId="36" borderId="4" xfId="0" applyFont="1" applyFill="1" applyBorder="1" applyAlignment="1">
      <alignment horizontal="center" vertical="center" wrapText="1"/>
    </xf>
    <xf numFmtId="0" fontId="39" fillId="0" borderId="3" xfId="0" applyFont="1" applyBorder="1" applyAlignment="1">
      <alignment horizontal="center" vertical="center" wrapText="1"/>
    </xf>
    <xf numFmtId="6" fontId="39" fillId="0" borderId="4" xfId="0" applyNumberFormat="1" applyFont="1" applyBorder="1" applyAlignment="1">
      <alignment horizontal="left" vertical="center" wrapText="1" indent="1"/>
    </xf>
    <xf numFmtId="0" fontId="66" fillId="0" borderId="0" xfId="0" applyFont="1" applyAlignment="1">
      <alignment horizontal="center" vertical="center"/>
    </xf>
    <xf numFmtId="0" fontId="69" fillId="36" borderId="1" xfId="0" applyFont="1" applyFill="1" applyBorder="1" applyAlignment="1">
      <alignment horizontal="center" vertical="center" wrapText="1"/>
    </xf>
    <xf numFmtId="0" fontId="69" fillId="36" borderId="2" xfId="0" applyFont="1" applyFill="1" applyBorder="1" applyAlignment="1">
      <alignment horizontal="center" vertical="center" wrapText="1"/>
    </xf>
    <xf numFmtId="0" fontId="66" fillId="0" borderId="3" xfId="0" applyFont="1" applyBorder="1" applyAlignment="1">
      <alignment horizontal="center" vertical="center" wrapText="1"/>
    </xf>
    <xf numFmtId="6" fontId="66" fillId="0" borderId="4" xfId="0" applyNumberFormat="1" applyFont="1" applyBorder="1" applyAlignment="1">
      <alignment horizontal="left" vertical="center" wrapText="1" indent="1"/>
    </xf>
    <xf numFmtId="0" fontId="39" fillId="0" borderId="0" xfId="0" applyFont="1" applyAlignment="1">
      <alignment vertical="center"/>
    </xf>
    <xf numFmtId="0" fontId="45" fillId="0" borderId="0" xfId="0" applyFont="1" applyAlignment="1">
      <alignment vertical="center"/>
    </xf>
    <xf numFmtId="0" fontId="45" fillId="0" borderId="0" xfId="0" applyFont="1" applyAlignment="1">
      <alignment horizontal="center" vertical="center"/>
    </xf>
    <xf numFmtId="177" fontId="0" fillId="0" borderId="0" xfId="0" applyNumberFormat="1"/>
    <xf numFmtId="0" fontId="0" fillId="27" borderId="0" xfId="0" applyFill="1"/>
    <xf numFmtId="4" fontId="25" fillId="0" borderId="0" xfId="0" applyNumberFormat="1" applyFont="1"/>
    <xf numFmtId="4" fontId="25" fillId="27" borderId="0" xfId="0" applyNumberFormat="1" applyFont="1" applyFill="1"/>
    <xf numFmtId="177" fontId="35" fillId="0" borderId="5" xfId="1" applyNumberFormat="1" applyBorder="1" applyProtection="1"/>
    <xf numFmtId="177" fontId="0" fillId="0" borderId="5" xfId="0" applyNumberFormat="1" applyBorder="1"/>
    <xf numFmtId="177" fontId="2" fillId="0" borderId="5" xfId="1" applyNumberFormat="1" applyFont="1" applyBorder="1" applyProtection="1"/>
    <xf numFmtId="0" fontId="71" fillId="0" borderId="0" xfId="0" applyFont="1"/>
    <xf numFmtId="0" fontId="71" fillId="0" borderId="0" xfId="0" applyFont="1" applyAlignment="1">
      <alignment horizontal="left"/>
    </xf>
    <xf numFmtId="0" fontId="72" fillId="0" borderId="0" xfId="0" applyFont="1"/>
    <xf numFmtId="0" fontId="0" fillId="0" borderId="22" xfId="0" applyBorder="1"/>
    <xf numFmtId="0" fontId="0" fillId="0" borderId="4" xfId="0" applyBorder="1"/>
    <xf numFmtId="0" fontId="49" fillId="0" borderId="4" xfId="0" applyFont="1" applyBorder="1" applyAlignment="1">
      <alignment vertical="center" wrapText="1"/>
    </xf>
    <xf numFmtId="0" fontId="50" fillId="0" borderId="0" xfId="0" applyFont="1" applyAlignment="1">
      <alignment wrapText="1"/>
    </xf>
    <xf numFmtId="0" fontId="63" fillId="31" borderId="17" xfId="0" applyFont="1" applyFill="1" applyBorder="1" applyAlignment="1">
      <alignment vertical="top" wrapText="1"/>
    </xf>
    <xf numFmtId="0" fontId="39" fillId="0" borderId="0" xfId="0" applyFont="1" applyAlignment="1">
      <alignment horizontal="left" wrapText="1"/>
    </xf>
    <xf numFmtId="0" fontId="63" fillId="31" borderId="31" xfId="0" applyFont="1" applyFill="1" applyBorder="1" applyAlignment="1">
      <alignment vertical="top" wrapText="1"/>
    </xf>
    <xf numFmtId="0" fontId="44" fillId="0" borderId="4" xfId="0" applyFont="1" applyBorder="1" applyAlignment="1">
      <alignment vertical="center" wrapText="1"/>
    </xf>
    <xf numFmtId="164" fontId="35" fillId="0" borderId="0" xfId="1" applyNumberFormat="1"/>
    <xf numFmtId="165" fontId="1" fillId="0" borderId="5" xfId="0" applyNumberFormat="1" applyFont="1" applyBorder="1"/>
    <xf numFmtId="177" fontId="66" fillId="0" borderId="4" xfId="0" applyNumberFormat="1" applyFont="1" applyBorder="1" applyAlignment="1">
      <alignment horizontal="center" vertical="center" wrapText="1"/>
    </xf>
    <xf numFmtId="0" fontId="39" fillId="0" borderId="1" xfId="0" applyFont="1" applyBorder="1" applyAlignment="1">
      <alignment vertical="center" wrapText="1"/>
    </xf>
    <xf numFmtId="0" fontId="39" fillId="0" borderId="3" xfId="0" applyFont="1" applyBorder="1" applyAlignment="1">
      <alignment vertical="center" wrapText="1"/>
    </xf>
    <xf numFmtId="176" fontId="29" fillId="0" borderId="0" xfId="1" applyNumberFormat="1" applyFont="1" applyBorder="1" applyAlignment="1" applyProtection="1">
      <alignment horizontal="left"/>
    </xf>
    <xf numFmtId="176" fontId="28" fillId="0" borderId="23" xfId="0" applyNumberFormat="1" applyFont="1" applyBorder="1" applyAlignment="1">
      <alignment horizontal="left"/>
    </xf>
    <xf numFmtId="0" fontId="48" fillId="0" borderId="35" xfId="0" applyFont="1" applyBorder="1" applyAlignment="1">
      <alignment horizontal="center" vertical="center"/>
    </xf>
    <xf numFmtId="0" fontId="48" fillId="0" borderId="4" xfId="0" applyFont="1" applyBorder="1" applyAlignment="1">
      <alignment horizontal="center" vertical="center"/>
    </xf>
    <xf numFmtId="0" fontId="73" fillId="0" borderId="3" xfId="0" applyFont="1" applyBorder="1" applyAlignment="1">
      <alignment vertical="top"/>
    </xf>
    <xf numFmtId="0" fontId="73" fillId="0" borderId="4" xfId="0" applyFont="1" applyBorder="1" applyAlignment="1">
      <alignment vertical="top" wrapText="1"/>
    </xf>
    <xf numFmtId="0" fontId="36" fillId="31" borderId="4" xfId="0" applyFont="1" applyFill="1" applyBorder="1" applyAlignment="1">
      <alignment vertical="center" wrapText="1"/>
    </xf>
    <xf numFmtId="0" fontId="73" fillId="0" borderId="23" xfId="0" applyFont="1" applyBorder="1" applyAlignment="1">
      <alignment horizontal="center" vertical="top"/>
    </xf>
    <xf numFmtId="177" fontId="0" fillId="0" borderId="5" xfId="0" applyNumberFormat="1" applyBorder="1" applyAlignment="1">
      <alignment vertical="top"/>
    </xf>
    <xf numFmtId="177" fontId="72" fillId="0" borderId="5" xfId="0" applyNumberFormat="1" applyFont="1" applyBorder="1" applyAlignment="1">
      <alignment vertical="top"/>
    </xf>
    <xf numFmtId="0" fontId="48" fillId="0" borderId="40" xfId="0" applyFont="1" applyBorder="1" applyAlignment="1">
      <alignment horizontal="center" vertical="center"/>
    </xf>
    <xf numFmtId="0" fontId="48" fillId="0" borderId="3" xfId="0" applyFont="1" applyBorder="1" applyAlignment="1">
      <alignment horizontal="center" vertical="center"/>
    </xf>
    <xf numFmtId="0" fontId="73" fillId="0" borderId="18" xfId="0" applyFont="1" applyBorder="1" applyAlignment="1">
      <alignment vertical="top" wrapText="1"/>
    </xf>
    <xf numFmtId="0" fontId="73" fillId="0" borderId="0" xfId="0" applyFont="1" applyAlignment="1">
      <alignment horizontal="center" vertical="top"/>
    </xf>
    <xf numFmtId="177" fontId="0" fillId="0" borderId="7" xfId="0" applyNumberFormat="1" applyBorder="1" applyAlignment="1">
      <alignment vertical="top"/>
    </xf>
    <xf numFmtId="0" fontId="73" fillId="0" borderId="31" xfId="0" applyFont="1" applyBorder="1" applyAlignment="1">
      <alignment vertical="top"/>
    </xf>
    <xf numFmtId="0" fontId="73" fillId="0" borderId="5" xfId="0" applyFont="1" applyBorder="1" applyAlignment="1">
      <alignment vertical="top"/>
    </xf>
    <xf numFmtId="0" fontId="73" fillId="0" borderId="5" xfId="0" applyFont="1" applyBorder="1" applyAlignment="1">
      <alignment vertical="top" wrapText="1"/>
    </xf>
    <xf numFmtId="0" fontId="73" fillId="0" borderId="5" xfId="0" applyFont="1" applyBorder="1" applyAlignment="1">
      <alignment horizontal="center" vertical="top"/>
    </xf>
    <xf numFmtId="179" fontId="0" fillId="0" borderId="0" xfId="0" applyNumberFormat="1"/>
    <xf numFmtId="0" fontId="36" fillId="38" borderId="0" xfId="0" applyFont="1" applyFill="1" applyAlignment="1">
      <alignment horizontal="center" vertical="center" wrapText="1"/>
    </xf>
    <xf numFmtId="0" fontId="36" fillId="22" borderId="18" xfId="0" applyFont="1" applyFill="1" applyBorder="1" applyAlignment="1">
      <alignment vertical="center" wrapText="1"/>
    </xf>
    <xf numFmtId="0" fontId="36" fillId="23" borderId="18" xfId="0" applyFont="1" applyFill="1" applyBorder="1" applyAlignment="1">
      <alignment vertical="center" wrapText="1"/>
    </xf>
    <xf numFmtId="0" fontId="36" fillId="27" borderId="18" xfId="0" applyFont="1" applyFill="1" applyBorder="1" applyAlignment="1">
      <alignment vertical="center" wrapText="1"/>
    </xf>
    <xf numFmtId="0" fontId="75" fillId="0" borderId="0" xfId="0" applyFont="1"/>
    <xf numFmtId="0" fontId="76" fillId="38" borderId="0" xfId="0" applyFont="1" applyFill="1"/>
    <xf numFmtId="0" fontId="76" fillId="33" borderId="0" xfId="0" applyFont="1" applyFill="1"/>
    <xf numFmtId="0" fontId="0" fillId="38" borderId="5" xfId="0" applyFill="1" applyBorder="1"/>
    <xf numFmtId="0" fontId="43" fillId="0" borderId="0" xfId="0" applyFont="1"/>
    <xf numFmtId="44" fontId="39" fillId="0" borderId="5" xfId="0" applyNumberFormat="1" applyFont="1" applyBorder="1" applyAlignment="1">
      <alignment vertical="top" wrapText="1"/>
    </xf>
    <xf numFmtId="44" fontId="59" fillId="0" borderId="5" xfId="0" applyNumberFormat="1" applyFont="1" applyBorder="1" applyAlignment="1">
      <alignment vertical="top" wrapText="1"/>
    </xf>
    <xf numFmtId="44" fontId="37" fillId="0" borderId="5" xfId="0" applyNumberFormat="1" applyFont="1" applyBorder="1" applyAlignment="1">
      <alignment vertical="top" wrapText="1"/>
    </xf>
    <xf numFmtId="44" fontId="36" fillId="0" borderId="5" xfId="0" applyNumberFormat="1" applyFont="1" applyBorder="1" applyAlignment="1">
      <alignment vertical="top" wrapText="1"/>
    </xf>
    <xf numFmtId="44" fontId="36" fillId="33" borderId="5" xfId="0" applyNumberFormat="1" applyFont="1" applyFill="1" applyBorder="1" applyAlignment="1">
      <alignment vertical="top" wrapText="1"/>
    </xf>
    <xf numFmtId="0" fontId="79" fillId="0" borderId="5" xfId="0" applyFont="1" applyBorder="1" applyAlignment="1">
      <alignment vertical="top"/>
    </xf>
    <xf numFmtId="0" fontId="35" fillId="0" borderId="0" xfId="0" applyFont="1" applyAlignment="1">
      <alignment horizontal="center" wrapText="1"/>
    </xf>
    <xf numFmtId="171" fontId="36" fillId="0" borderId="4" xfId="1" applyFont="1" applyBorder="1" applyAlignment="1">
      <alignment vertical="top" wrapText="1"/>
    </xf>
    <xf numFmtId="44" fontId="36" fillId="39" borderId="5" xfId="0" applyNumberFormat="1" applyFont="1" applyFill="1" applyBorder="1" applyAlignment="1">
      <alignment vertical="center" wrapText="1"/>
    </xf>
    <xf numFmtId="0" fontId="59" fillId="0" borderId="4" xfId="0" applyFont="1" applyBorder="1" applyAlignment="1">
      <alignment vertical="top" wrapText="1"/>
    </xf>
    <xf numFmtId="44" fontId="45" fillId="0" borderId="5" xfId="0" applyNumberFormat="1" applyFont="1" applyBorder="1" applyAlignment="1">
      <alignment vertical="top" wrapText="1"/>
    </xf>
    <xf numFmtId="9" fontId="80" fillId="32" borderId="0" xfId="2" applyFont="1" applyFill="1"/>
    <xf numFmtId="0" fontId="80" fillId="32" borderId="0" xfId="0" applyFont="1" applyFill="1"/>
    <xf numFmtId="0" fontId="0" fillId="38" borderId="0" xfId="0" applyFill="1"/>
    <xf numFmtId="177" fontId="37" fillId="33" borderId="23" xfId="0" applyNumberFormat="1" applyFont="1" applyFill="1" applyBorder="1" applyAlignment="1">
      <alignment horizontal="center" vertical="center" wrapText="1"/>
    </xf>
    <xf numFmtId="177" fontId="62" fillId="0" borderId="4" xfId="0" applyNumberFormat="1" applyFont="1" applyBorder="1" applyAlignment="1">
      <alignment horizontal="left" vertical="top" wrapText="1"/>
    </xf>
    <xf numFmtId="44" fontId="54" fillId="38" borderId="23" xfId="0" applyNumberFormat="1" applyFont="1" applyFill="1" applyBorder="1" applyAlignment="1">
      <alignment vertical="top" wrapText="1"/>
    </xf>
    <xf numFmtId="44" fontId="62" fillId="38" borderId="23" xfId="0" applyNumberFormat="1" applyFont="1" applyFill="1" applyBorder="1" applyAlignment="1">
      <alignment vertical="top" wrapText="1"/>
    </xf>
    <xf numFmtId="44" fontId="62" fillId="38" borderId="23" xfId="0" applyNumberFormat="1" applyFont="1" applyFill="1" applyBorder="1" applyAlignment="1">
      <alignment horizontal="left" vertical="top" wrapText="1"/>
    </xf>
    <xf numFmtId="171" fontId="36" fillId="38" borderId="23" xfId="1" applyFont="1" applyFill="1" applyBorder="1" applyAlignment="1">
      <alignment vertical="top" wrapText="1"/>
    </xf>
    <xf numFmtId="44" fontId="59" fillId="38" borderId="23" xfId="0" applyNumberFormat="1" applyFont="1" applyFill="1" applyBorder="1" applyAlignment="1">
      <alignment vertical="top" wrapText="1"/>
    </xf>
    <xf numFmtId="44" fontId="36" fillId="38" borderId="5" xfId="0" applyNumberFormat="1" applyFont="1" applyFill="1" applyBorder="1" applyAlignment="1">
      <alignment vertical="top" wrapText="1"/>
    </xf>
    <xf numFmtId="44" fontId="81" fillId="38" borderId="23" xfId="0" applyNumberFormat="1" applyFont="1" applyFill="1" applyBorder="1" applyAlignment="1">
      <alignment vertical="top" wrapText="1"/>
    </xf>
    <xf numFmtId="0" fontId="82" fillId="40" borderId="5" xfId="0" applyFont="1" applyFill="1" applyBorder="1"/>
    <xf numFmtId="0" fontId="83" fillId="40" borderId="5" xfId="0" applyFont="1" applyFill="1" applyBorder="1"/>
    <xf numFmtId="0" fontId="0" fillId="40" borderId="5" xfId="0" applyFill="1" applyBorder="1"/>
    <xf numFmtId="0" fontId="35" fillId="40" borderId="5" xfId="0" applyFont="1" applyFill="1" applyBorder="1"/>
    <xf numFmtId="0" fontId="77" fillId="40" borderId="5" xfId="0" applyFont="1" applyFill="1" applyBorder="1"/>
    <xf numFmtId="0" fontId="0" fillId="40" borderId="0" xfId="0" applyFill="1"/>
    <xf numFmtId="0" fontId="39" fillId="40" borderId="0" xfId="0" applyFont="1" applyFill="1" applyAlignment="1">
      <alignment horizontal="right" vertical="center" wrapText="1"/>
    </xf>
    <xf numFmtId="0" fontId="80" fillId="40" borderId="0" xfId="0" applyFont="1" applyFill="1"/>
    <xf numFmtId="177" fontId="39" fillId="40" borderId="0" xfId="0" applyNumberFormat="1" applyFont="1" applyFill="1" applyAlignment="1">
      <alignment horizontal="center" vertical="center" wrapText="1"/>
    </xf>
    <xf numFmtId="0" fontId="37" fillId="40" borderId="0" xfId="0" applyFont="1" applyFill="1" applyAlignment="1">
      <alignment horizontal="right" vertical="center" wrapText="1"/>
    </xf>
    <xf numFmtId="0" fontId="46" fillId="40" borderId="0" xfId="0" applyFont="1" applyFill="1"/>
    <xf numFmtId="0" fontId="36" fillId="40" borderId="0" xfId="0" applyFont="1" applyFill="1" applyAlignment="1">
      <alignment vertical="center" wrapText="1"/>
    </xf>
    <xf numFmtId="177" fontId="37" fillId="40" borderId="0" xfId="0" applyNumberFormat="1" applyFont="1" applyFill="1" applyAlignment="1">
      <alignment horizontal="center" vertical="center" wrapText="1"/>
    </xf>
    <xf numFmtId="44" fontId="36" fillId="40" borderId="5" xfId="0" applyNumberFormat="1" applyFont="1" applyFill="1" applyBorder="1" applyAlignment="1">
      <alignment vertical="center" wrapText="1"/>
    </xf>
    <xf numFmtId="44" fontId="0" fillId="40" borderId="5" xfId="0" applyNumberFormat="1" applyFill="1" applyBorder="1" applyAlignment="1">
      <alignment vertical="top"/>
    </xf>
    <xf numFmtId="0" fontId="78" fillId="40" borderId="5" xfId="0" applyFont="1" applyFill="1" applyBorder="1"/>
    <xf numFmtId="4" fontId="0" fillId="0" borderId="0" xfId="0" applyNumberFormat="1"/>
    <xf numFmtId="0" fontId="73" fillId="0" borderId="2" xfId="0" applyFont="1" applyBorder="1" applyAlignment="1">
      <alignment vertical="center" wrapText="1"/>
    </xf>
    <xf numFmtId="177" fontId="0" fillId="0" borderId="37" xfId="0" applyNumberFormat="1" applyBorder="1" applyAlignment="1">
      <alignment vertical="top"/>
    </xf>
    <xf numFmtId="177" fontId="84" fillId="0" borderId="5" xfId="0" applyNumberFormat="1" applyFont="1" applyBorder="1" applyAlignment="1">
      <alignment horizontal="center" vertical="center"/>
    </xf>
    <xf numFmtId="0" fontId="73" fillId="0" borderId="5" xfId="0" applyFont="1" applyBorder="1" applyAlignment="1">
      <alignment horizontal="center" vertical="center"/>
    </xf>
    <xf numFmtId="177" fontId="35" fillId="0" borderId="5" xfId="0" applyNumberFormat="1" applyFont="1" applyBorder="1" applyAlignment="1">
      <alignment vertical="top"/>
    </xf>
    <xf numFmtId="0" fontId="73" fillId="30" borderId="3" xfId="0" applyFont="1" applyFill="1" applyBorder="1" applyAlignment="1">
      <alignment vertical="top"/>
    </xf>
    <xf numFmtId="177" fontId="35" fillId="0" borderId="7" xfId="0" applyNumberFormat="1" applyFont="1" applyBorder="1" applyAlignment="1">
      <alignment vertical="top"/>
    </xf>
    <xf numFmtId="177" fontId="72" fillId="0" borderId="7" xfId="0" applyNumberFormat="1" applyFont="1" applyBorder="1" applyAlignment="1">
      <alignment vertical="top"/>
    </xf>
    <xf numFmtId="0" fontId="73" fillId="0" borderId="2" xfId="0" applyFont="1" applyBorder="1" applyAlignment="1">
      <alignment vertical="top" wrapText="1"/>
    </xf>
    <xf numFmtId="0" fontId="4" fillId="0" borderId="7" xfId="0" applyFont="1" applyBorder="1" applyAlignment="1">
      <alignment vertical="center"/>
    </xf>
    <xf numFmtId="0" fontId="1" fillId="0" borderId="7" xfId="0" applyFont="1" applyBorder="1" applyAlignment="1">
      <alignment wrapText="1"/>
    </xf>
    <xf numFmtId="0" fontId="1" fillId="0" borderId="7" xfId="0" applyFont="1" applyBorder="1"/>
    <xf numFmtId="0" fontId="45" fillId="10" borderId="5" xfId="0" applyFont="1" applyFill="1" applyBorder="1" applyAlignment="1">
      <alignment vertical="top"/>
    </xf>
    <xf numFmtId="171" fontId="45" fillId="10" borderId="5" xfId="1" applyFont="1" applyFill="1" applyBorder="1" applyAlignment="1" applyProtection="1">
      <alignment vertical="top"/>
    </xf>
    <xf numFmtId="167" fontId="45" fillId="42" borderId="5" xfId="0" applyNumberFormat="1" applyFont="1" applyFill="1" applyBorder="1" applyAlignment="1">
      <alignment vertical="top"/>
    </xf>
    <xf numFmtId="0" fontId="45" fillId="42" borderId="5" xfId="0" applyFont="1" applyFill="1" applyBorder="1" applyAlignment="1">
      <alignment vertical="top"/>
    </xf>
    <xf numFmtId="171" fontId="45" fillId="42" borderId="5" xfId="1" applyFont="1" applyFill="1" applyBorder="1" applyAlignment="1" applyProtection="1">
      <alignment vertical="top"/>
    </xf>
    <xf numFmtId="0" fontId="45" fillId="43" borderId="5" xfId="0" applyFont="1" applyFill="1" applyBorder="1" applyAlignment="1">
      <alignment vertical="top"/>
    </xf>
    <xf numFmtId="171" fontId="45" fillId="43" borderId="5" xfId="1" applyFont="1" applyFill="1" applyBorder="1" applyAlignment="1" applyProtection="1">
      <alignment vertical="top"/>
    </xf>
    <xf numFmtId="171" fontId="45" fillId="41" borderId="5" xfId="1" applyFont="1" applyFill="1" applyBorder="1" applyAlignment="1" applyProtection="1">
      <alignment vertical="top"/>
    </xf>
    <xf numFmtId="0" fontId="73" fillId="0" borderId="23" xfId="0" applyFont="1" applyBorder="1" applyAlignment="1">
      <alignment vertical="top" wrapText="1"/>
    </xf>
    <xf numFmtId="167" fontId="45" fillId="44" borderId="41" xfId="0" applyNumberFormat="1" applyFont="1" applyFill="1" applyBorder="1" applyAlignment="1">
      <alignment vertical="top"/>
    </xf>
    <xf numFmtId="0" fontId="45" fillId="44" borderId="41" xfId="0" applyFont="1" applyFill="1" applyBorder="1" applyAlignment="1">
      <alignment vertical="top"/>
    </xf>
    <xf numFmtId="171" fontId="45" fillId="44" borderId="41" xfId="1" applyFont="1" applyFill="1" applyBorder="1" applyAlignment="1" applyProtection="1">
      <alignment vertical="top"/>
    </xf>
    <xf numFmtId="167" fontId="45" fillId="44" borderId="5" xfId="0" applyNumberFormat="1" applyFont="1" applyFill="1" applyBorder="1" applyAlignment="1">
      <alignment vertical="top"/>
    </xf>
    <xf numFmtId="0" fontId="45" fillId="44" borderId="5" xfId="0" applyFont="1" applyFill="1" applyBorder="1" applyAlignment="1">
      <alignment vertical="top"/>
    </xf>
    <xf numFmtId="171" fontId="45" fillId="44" borderId="5" xfId="1" applyFont="1" applyFill="1" applyBorder="1" applyAlignment="1" applyProtection="1">
      <alignment vertical="top"/>
    </xf>
    <xf numFmtId="0" fontId="45" fillId="45" borderId="5" xfId="0" applyFont="1" applyFill="1" applyBorder="1" applyAlignment="1">
      <alignment vertical="top"/>
    </xf>
    <xf numFmtId="0" fontId="1" fillId="5" borderId="0" xfId="0" applyFont="1" applyFill="1"/>
    <xf numFmtId="0" fontId="1" fillId="5" borderId="17" xfId="0" applyFont="1" applyFill="1" applyBorder="1"/>
    <xf numFmtId="171" fontId="45" fillId="41" borderId="7" xfId="1" applyFont="1" applyFill="1" applyBorder="1" applyAlignment="1" applyProtection="1">
      <alignment horizontal="center" vertical="top"/>
    </xf>
    <xf numFmtId="171" fontId="45" fillId="41" borderId="41" xfId="1" applyFont="1" applyFill="1" applyBorder="1" applyAlignment="1" applyProtection="1">
      <alignment horizontal="center" vertical="top"/>
    </xf>
    <xf numFmtId="171" fontId="45" fillId="44" borderId="7" xfId="1" applyFont="1" applyFill="1" applyBorder="1" applyAlignment="1" applyProtection="1">
      <alignment horizontal="center" vertical="top"/>
    </xf>
    <xf numFmtId="171" fontId="45" fillId="44" borderId="13" xfId="1" applyFont="1" applyFill="1" applyBorder="1" applyAlignment="1" applyProtection="1">
      <alignment horizontal="center" vertical="top"/>
    </xf>
    <xf numFmtId="0" fontId="48" fillId="0" borderId="0" xfId="0" applyFont="1" applyAlignment="1">
      <alignment horizontal="center" vertical="center"/>
    </xf>
    <xf numFmtId="0" fontId="73" fillId="0" borderId="4" xfId="0" applyFont="1" applyBorder="1" applyAlignment="1">
      <alignment vertical="top"/>
    </xf>
    <xf numFmtId="0" fontId="73" fillId="0" borderId="0" xfId="0" applyFont="1" applyAlignment="1">
      <alignment vertical="top"/>
    </xf>
    <xf numFmtId="0" fontId="48" fillId="0" borderId="18" xfId="0" applyFont="1" applyBorder="1" applyAlignment="1">
      <alignment horizontal="center" vertical="top"/>
    </xf>
    <xf numFmtId="171" fontId="45" fillId="0" borderId="5" xfId="1" applyFont="1" applyBorder="1" applyAlignment="1" applyProtection="1">
      <alignment vertical="top"/>
    </xf>
    <xf numFmtId="0" fontId="48" fillId="0" borderId="5" xfId="0" applyFont="1" applyBorder="1" applyAlignment="1">
      <alignment vertical="top"/>
    </xf>
    <xf numFmtId="0" fontId="77" fillId="0" borderId="5" xfId="0" applyFont="1" applyBorder="1" applyAlignment="1">
      <alignment vertical="top"/>
    </xf>
    <xf numFmtId="177" fontId="77" fillId="0" borderId="5" xfId="1" applyNumberFormat="1" applyFont="1" applyBorder="1" applyAlignment="1">
      <alignment vertical="top"/>
    </xf>
    <xf numFmtId="0" fontId="36" fillId="46" borderId="5" xfId="0" applyFont="1" applyFill="1" applyBorder="1" applyAlignment="1">
      <alignment vertical="top"/>
    </xf>
    <xf numFmtId="171" fontId="45" fillId="46" borderId="5" xfId="1" applyFont="1" applyFill="1" applyBorder="1" applyAlignment="1" applyProtection="1">
      <alignment vertical="top"/>
    </xf>
    <xf numFmtId="0" fontId="36" fillId="12" borderId="5" xfId="0" applyFont="1" applyFill="1" applyBorder="1" applyAlignment="1">
      <alignment vertical="top"/>
    </xf>
    <xf numFmtId="171" fontId="45" fillId="12" borderId="5" xfId="1" applyFont="1" applyFill="1" applyBorder="1" applyAlignment="1" applyProtection="1">
      <alignment vertical="top"/>
    </xf>
    <xf numFmtId="0" fontId="48" fillId="48" borderId="5" xfId="0" applyFont="1" applyFill="1" applyBorder="1" applyAlignment="1">
      <alignment vertical="top"/>
    </xf>
    <xf numFmtId="0" fontId="77" fillId="48" borderId="5" xfId="0" applyFont="1" applyFill="1" applyBorder="1" applyAlignment="1">
      <alignment vertical="top"/>
    </xf>
    <xf numFmtId="171" fontId="45" fillId="48" borderId="5" xfId="1" applyFont="1" applyFill="1" applyBorder="1" applyAlignment="1" applyProtection="1">
      <alignment vertical="top"/>
    </xf>
    <xf numFmtId="177" fontId="77" fillId="48" borderId="5" xfId="1" applyNumberFormat="1" applyFont="1" applyFill="1" applyBorder="1" applyAlignment="1">
      <alignment vertical="top"/>
    </xf>
    <xf numFmtId="0" fontId="73" fillId="48" borderId="4" xfId="0" applyFont="1" applyFill="1" applyBorder="1" applyAlignment="1">
      <alignment vertical="top" wrapText="1"/>
    </xf>
    <xf numFmtId="0" fontId="73" fillId="48" borderId="2" xfId="0" applyFont="1" applyFill="1" applyBorder="1" applyAlignment="1">
      <alignment vertical="top" wrapText="1"/>
    </xf>
    <xf numFmtId="0" fontId="73" fillId="48" borderId="18" xfId="0" applyFont="1" applyFill="1" applyBorder="1" applyAlignment="1">
      <alignment vertical="top" wrapText="1"/>
    </xf>
    <xf numFmtId="0" fontId="73" fillId="48" borderId="5" xfId="0" applyFont="1" applyFill="1" applyBorder="1" applyAlignment="1">
      <alignment vertical="top" wrapText="1"/>
    </xf>
    <xf numFmtId="0" fontId="48" fillId="47" borderId="22" xfId="0" applyFont="1" applyFill="1" applyBorder="1" applyAlignment="1">
      <alignment vertical="top"/>
    </xf>
    <xf numFmtId="0" fontId="85" fillId="48" borderId="5" xfId="0" applyFont="1" applyFill="1" applyBorder="1" applyAlignment="1">
      <alignment vertical="top"/>
    </xf>
    <xf numFmtId="0" fontId="85" fillId="0" borderId="5" xfId="0" applyFont="1" applyBorder="1" applyAlignment="1">
      <alignment vertical="top"/>
    </xf>
    <xf numFmtId="171" fontId="86" fillId="46" borderId="5" xfId="1" applyFont="1" applyFill="1" applyBorder="1" applyAlignment="1" applyProtection="1">
      <alignment vertical="top"/>
    </xf>
    <xf numFmtId="171" fontId="86" fillId="12" borderId="5" xfId="1" applyFont="1" applyFill="1" applyBorder="1" applyAlignment="1" applyProtection="1">
      <alignment vertical="top"/>
    </xf>
    <xf numFmtId="171" fontId="86" fillId="43" borderId="5" xfId="1" applyFont="1" applyFill="1" applyBorder="1" applyAlignment="1" applyProtection="1">
      <alignment vertical="top"/>
    </xf>
    <xf numFmtId="0" fontId="29" fillId="0" borderId="35" xfId="0" applyFont="1" applyBorder="1" applyAlignment="1">
      <alignment horizontal="left" vertical="top"/>
    </xf>
    <xf numFmtId="164" fontId="35" fillId="0" borderId="23" xfId="1" applyNumberFormat="1" applyBorder="1"/>
    <xf numFmtId="0" fontId="44" fillId="0" borderId="0" xfId="0" applyFont="1"/>
    <xf numFmtId="0" fontId="44" fillId="0" borderId="0" xfId="0" applyFont="1" applyAlignment="1">
      <alignment horizontal="center"/>
    </xf>
    <xf numFmtId="0" fontId="44" fillId="0" borderId="0" xfId="0" applyFont="1" applyAlignment="1">
      <alignment wrapText="1"/>
    </xf>
    <xf numFmtId="177" fontId="44" fillId="0" borderId="0" xfId="0" applyNumberFormat="1" applyFont="1" applyAlignment="1">
      <alignment wrapText="1"/>
    </xf>
    <xf numFmtId="0" fontId="44" fillId="49" borderId="0" xfId="0" applyFont="1" applyFill="1" applyAlignment="1">
      <alignment wrapText="1"/>
    </xf>
    <xf numFmtId="177" fontId="44" fillId="49" borderId="0" xfId="0" applyNumberFormat="1" applyFont="1" applyFill="1" applyAlignment="1">
      <alignment wrapText="1"/>
    </xf>
    <xf numFmtId="49" fontId="87" fillId="50" borderId="46" xfId="0" applyNumberFormat="1" applyFont="1" applyFill="1" applyBorder="1" applyAlignment="1">
      <alignment horizontal="left" vertical="center"/>
    </xf>
    <xf numFmtId="49" fontId="87" fillId="50" borderId="47" xfId="0" applyNumberFormat="1" applyFont="1" applyFill="1" applyBorder="1" applyAlignment="1">
      <alignment horizontal="left" vertical="center"/>
    </xf>
    <xf numFmtId="49" fontId="87" fillId="51" borderId="47" xfId="0" applyNumberFormat="1" applyFont="1" applyFill="1" applyBorder="1" applyAlignment="1">
      <alignment horizontal="left" vertical="center"/>
    </xf>
    <xf numFmtId="49" fontId="87" fillId="50" borderId="48" xfId="0" applyNumberFormat="1" applyFont="1" applyFill="1" applyBorder="1" applyAlignment="1">
      <alignment horizontal="left" vertical="center"/>
    </xf>
    <xf numFmtId="0" fontId="88" fillId="52" borderId="0" xfId="0" applyFont="1" applyFill="1"/>
    <xf numFmtId="0" fontId="44" fillId="51" borderId="0" xfId="0" applyFont="1" applyFill="1"/>
    <xf numFmtId="49" fontId="87" fillId="50" borderId="46" xfId="0" applyNumberFormat="1" applyFont="1" applyFill="1" applyBorder="1" applyAlignment="1">
      <alignment vertical="center"/>
    </xf>
    <xf numFmtId="49" fontId="87" fillId="50" borderId="47" xfId="0" applyNumberFormat="1" applyFont="1" applyFill="1" applyBorder="1" applyAlignment="1">
      <alignment vertical="center"/>
    </xf>
    <xf numFmtId="49" fontId="87" fillId="51" borderId="47" xfId="0" applyNumberFormat="1" applyFont="1" applyFill="1" applyBorder="1" applyAlignment="1">
      <alignment vertical="center"/>
    </xf>
    <xf numFmtId="0" fontId="87" fillId="50" borderId="8" xfId="0" applyFont="1" applyFill="1" applyBorder="1" applyAlignment="1">
      <alignment horizontal="center" vertical="center"/>
    </xf>
    <xf numFmtId="0" fontId="87" fillId="50" borderId="37" xfId="0" applyFont="1" applyFill="1" applyBorder="1" applyAlignment="1">
      <alignment horizontal="center" vertical="center"/>
    </xf>
    <xf numFmtId="0" fontId="87" fillId="50" borderId="7" xfId="0" applyFont="1" applyFill="1" applyBorder="1" applyAlignment="1">
      <alignment horizontal="center" vertical="center" wrapText="1"/>
    </xf>
    <xf numFmtId="0" fontId="87" fillId="50" borderId="5" xfId="0" applyFont="1" applyFill="1" applyBorder="1" applyAlignment="1">
      <alignment horizontal="center" vertical="center" wrapText="1"/>
    </xf>
    <xf numFmtId="0" fontId="87" fillId="51" borderId="5" xfId="0" applyFont="1" applyFill="1" applyBorder="1" applyAlignment="1">
      <alignment horizontal="center" vertical="center" wrapText="1"/>
    </xf>
    <xf numFmtId="0" fontId="89" fillId="52" borderId="0" xfId="0" applyFont="1" applyFill="1" applyAlignment="1">
      <alignment vertical="center"/>
    </xf>
    <xf numFmtId="0" fontId="44" fillId="0" borderId="5" xfId="0" applyFont="1" applyBorder="1" applyAlignment="1">
      <alignment horizontal="left"/>
    </xf>
    <xf numFmtId="177" fontId="44" fillId="0" borderId="37" xfId="0" applyNumberFormat="1" applyFont="1" applyBorder="1" applyAlignment="1">
      <alignment horizontal="left"/>
    </xf>
    <xf numFmtId="0" fontId="44" fillId="0" borderId="37" xfId="0" applyFont="1" applyBorder="1" applyAlignment="1">
      <alignment horizontal="left"/>
    </xf>
    <xf numFmtId="0" fontId="44" fillId="31" borderId="37" xfId="0" applyFont="1" applyFill="1" applyBorder="1" applyAlignment="1">
      <alignment horizontal="left"/>
    </xf>
    <xf numFmtId="0" fontId="44" fillId="51" borderId="37" xfId="0" applyFont="1" applyFill="1" applyBorder="1" applyAlignment="1">
      <alignment horizontal="left"/>
    </xf>
    <xf numFmtId="177" fontId="79" fillId="27" borderId="37" xfId="0" applyNumberFormat="1" applyFont="1" applyFill="1" applyBorder="1" applyAlignment="1">
      <alignment horizontal="center"/>
    </xf>
    <xf numFmtId="177" fontId="79" fillId="0" borderId="5" xfId="0" applyNumberFormat="1" applyFont="1" applyBorder="1"/>
    <xf numFmtId="177" fontId="79" fillId="0" borderId="8" xfId="0" applyNumberFormat="1" applyFont="1" applyBorder="1"/>
    <xf numFmtId="1" fontId="79" fillId="0" borderId="8" xfId="0" applyNumberFormat="1" applyFont="1" applyBorder="1" applyAlignment="1">
      <alignment horizontal="center"/>
    </xf>
    <xf numFmtId="177" fontId="44" fillId="31" borderId="5" xfId="0" applyNumberFormat="1" applyFont="1" applyFill="1" applyBorder="1"/>
    <xf numFmtId="0" fontId="44" fillId="0" borderId="8" xfId="0" applyFont="1" applyBorder="1" applyAlignment="1">
      <alignment horizontal="left"/>
    </xf>
    <xf numFmtId="177" fontId="44" fillId="0" borderId="37" xfId="0" applyNumberFormat="1" applyFont="1" applyBorder="1"/>
    <xf numFmtId="0" fontId="90" fillId="0" borderId="50" xfId="0" applyFont="1" applyBorder="1" applyAlignment="1">
      <alignment horizontal="left"/>
    </xf>
    <xf numFmtId="177" fontId="44" fillId="27" borderId="37" xfId="0" applyNumberFormat="1" applyFont="1" applyFill="1" applyBorder="1" applyAlignment="1">
      <alignment horizontal="center"/>
    </xf>
    <xf numFmtId="177" fontId="44" fillId="0" borderId="5" xfId="0" applyNumberFormat="1" applyFont="1" applyBorder="1" applyAlignment="1">
      <alignment horizontal="center"/>
    </xf>
    <xf numFmtId="1" fontId="44" fillId="0" borderId="8" xfId="0" applyNumberFormat="1" applyFont="1" applyBorder="1" applyAlignment="1">
      <alignment horizontal="center"/>
    </xf>
    <xf numFmtId="0" fontId="90" fillId="0" borderId="8" xfId="0" applyFont="1" applyBorder="1" applyAlignment="1">
      <alignment horizontal="left"/>
    </xf>
    <xf numFmtId="177" fontId="44" fillId="0" borderId="37" xfId="0" applyNumberFormat="1" applyFont="1" applyBorder="1" applyAlignment="1">
      <alignment horizontal="center"/>
    </xf>
    <xf numFmtId="177" fontId="44" fillId="0" borderId="30" xfId="0" applyNumberFormat="1" applyFont="1" applyBorder="1" applyAlignment="1">
      <alignment horizontal="center"/>
    </xf>
    <xf numFmtId="0" fontId="79" fillId="0" borderId="37" xfId="0" applyFont="1" applyBorder="1" applyAlignment="1">
      <alignment horizontal="left"/>
    </xf>
    <xf numFmtId="177" fontId="44" fillId="0" borderId="8" xfId="0" applyNumberFormat="1" applyFont="1" applyBorder="1" applyAlignment="1">
      <alignment horizontal="center"/>
    </xf>
    <xf numFmtId="0" fontId="79" fillId="0" borderId="5" xfId="0" applyFont="1" applyBorder="1" applyAlignment="1">
      <alignment horizontal="left"/>
    </xf>
    <xf numFmtId="177" fontId="79" fillId="0" borderId="5" xfId="0" applyNumberFormat="1" applyFont="1" applyBorder="1" applyAlignment="1">
      <alignment horizontal="center"/>
    </xf>
    <xf numFmtId="177" fontId="79" fillId="0" borderId="8" xfId="0" applyNumberFormat="1" applyFont="1" applyBorder="1" applyAlignment="1">
      <alignment horizontal="center"/>
    </xf>
    <xf numFmtId="0" fontId="79" fillId="0" borderId="8" xfId="0" applyFont="1" applyBorder="1" applyAlignment="1">
      <alignment horizontal="left"/>
    </xf>
    <xf numFmtId="0" fontId="79" fillId="0" borderId="8" xfId="0" applyFont="1" applyBorder="1" applyAlignment="1">
      <alignment horizontal="left" vertical="center"/>
    </xf>
    <xf numFmtId="0" fontId="79" fillId="0" borderId="37" xfId="0" applyFont="1" applyBorder="1" applyAlignment="1">
      <alignment horizontal="left" vertical="center" wrapText="1"/>
    </xf>
    <xf numFmtId="0" fontId="79" fillId="0" borderId="7" xfId="0" applyFont="1" applyBorder="1" applyAlignment="1">
      <alignment horizontal="left"/>
    </xf>
    <xf numFmtId="177" fontId="79" fillId="0" borderId="37" xfId="0" applyNumberFormat="1" applyFont="1" applyBorder="1" applyAlignment="1">
      <alignment horizontal="center"/>
    </xf>
    <xf numFmtId="177" fontId="79" fillId="0" borderId="30" xfId="0" applyNumberFormat="1" applyFont="1" applyBorder="1" applyAlignment="1">
      <alignment horizontal="center"/>
    </xf>
    <xf numFmtId="0" fontId="90" fillId="0" borderId="8" xfId="0" applyFont="1" applyBorder="1" applyAlignment="1">
      <alignment vertical="center"/>
    </xf>
    <xf numFmtId="0" fontId="90" fillId="0" borderId="37" xfId="0" applyFont="1" applyBorder="1" applyAlignment="1">
      <alignment vertical="center"/>
    </xf>
    <xf numFmtId="0" fontId="44" fillId="0" borderId="8" xfId="0" applyFont="1" applyBorder="1"/>
    <xf numFmtId="0" fontId="44" fillId="0" borderId="37" xfId="0" applyFont="1" applyBorder="1"/>
    <xf numFmtId="1" fontId="92" fillId="0" borderId="8" xfId="0" applyNumberFormat="1" applyFont="1" applyBorder="1" applyAlignment="1">
      <alignment horizontal="center"/>
    </xf>
    <xf numFmtId="0" fontId="79" fillId="0" borderId="0" xfId="0" applyFont="1"/>
    <xf numFmtId="177" fontId="44" fillId="0" borderId="8" xfId="0" applyNumberFormat="1" applyFont="1" applyBorder="1" applyAlignment="1">
      <alignment horizontal="left"/>
    </xf>
    <xf numFmtId="0" fontId="44" fillId="0" borderId="5" xfId="0" applyFont="1" applyBorder="1" applyAlignment="1">
      <alignment horizontal="center"/>
    </xf>
    <xf numFmtId="0" fontId="90" fillId="0" borderId="51" xfId="0" applyFont="1" applyBorder="1" applyAlignment="1">
      <alignment horizontal="left"/>
    </xf>
    <xf numFmtId="0" fontId="44" fillId="0" borderId="7" xfId="0" applyFont="1" applyBorder="1" applyAlignment="1">
      <alignment horizontal="left"/>
    </xf>
    <xf numFmtId="0" fontId="79" fillId="49" borderId="7" xfId="0" applyFont="1" applyFill="1" applyBorder="1" applyAlignment="1">
      <alignment vertical="center" wrapText="1"/>
    </xf>
    <xf numFmtId="171" fontId="44" fillId="0" borderId="7" xfId="1" applyFont="1" applyBorder="1" applyAlignment="1">
      <alignment horizontal="left"/>
    </xf>
    <xf numFmtId="171" fontId="44" fillId="0" borderId="6" xfId="1" applyFont="1" applyBorder="1" applyAlignment="1">
      <alignment horizontal="left"/>
    </xf>
    <xf numFmtId="0" fontId="79" fillId="49" borderId="52" xfId="0" applyFont="1" applyFill="1" applyBorder="1" applyAlignment="1">
      <alignment vertical="center" wrapText="1"/>
    </xf>
    <xf numFmtId="0" fontId="87" fillId="50" borderId="0" xfId="0" applyFont="1" applyFill="1" applyAlignment="1">
      <alignment horizontal="left" vertical="center"/>
    </xf>
    <xf numFmtId="0" fontId="87" fillId="50" borderId="0" xfId="0" applyFont="1" applyFill="1" applyAlignment="1">
      <alignment horizontal="center" vertical="center"/>
    </xf>
    <xf numFmtId="0" fontId="87" fillId="51" borderId="0" xfId="0" applyFont="1" applyFill="1" applyAlignment="1">
      <alignment horizontal="center" vertical="center"/>
    </xf>
    <xf numFmtId="0" fontId="87" fillId="52" borderId="0" xfId="0" applyFont="1" applyFill="1" applyAlignment="1">
      <alignment horizontal="center" vertical="center"/>
    </xf>
    <xf numFmtId="177" fontId="44" fillId="52" borderId="5" xfId="0" applyNumberFormat="1" applyFont="1" applyFill="1" applyBorder="1"/>
    <xf numFmtId="0" fontId="79" fillId="0" borderId="24" xfId="0" applyFont="1" applyBorder="1" applyAlignment="1">
      <alignment horizontal="left"/>
    </xf>
    <xf numFmtId="0" fontId="44" fillId="0" borderId="25" xfId="0" applyFont="1" applyBorder="1" applyAlignment="1">
      <alignment horizontal="left"/>
    </xf>
    <xf numFmtId="177" fontId="79" fillId="27" borderId="8" xfId="0" applyNumberFormat="1" applyFont="1" applyFill="1" applyBorder="1" applyAlignment="1">
      <alignment horizontal="center"/>
    </xf>
    <xf numFmtId="177" fontId="44" fillId="0" borderId="5" xfId="0" applyNumberFormat="1" applyFont="1" applyBorder="1"/>
    <xf numFmtId="0" fontId="44" fillId="51" borderId="25" xfId="0" applyFont="1" applyFill="1" applyBorder="1" applyAlignment="1">
      <alignment horizontal="left"/>
    </xf>
    <xf numFmtId="0" fontId="44" fillId="0" borderId="30" xfId="0" applyFont="1" applyBorder="1" applyAlignment="1">
      <alignment horizontal="left"/>
    </xf>
    <xf numFmtId="0" fontId="44" fillId="51" borderId="30" xfId="0" applyFont="1" applyFill="1" applyBorder="1" applyAlignment="1">
      <alignment horizontal="left"/>
    </xf>
    <xf numFmtId="177" fontId="44" fillId="27" borderId="30" xfId="0" applyNumberFormat="1" applyFont="1" applyFill="1" applyBorder="1" applyAlignment="1">
      <alignment horizontal="center"/>
    </xf>
    <xf numFmtId="0" fontId="93" fillId="0" borderId="24" xfId="0" applyFont="1" applyBorder="1" applyAlignment="1">
      <alignment horizontal="left" vertical="center"/>
    </xf>
    <xf numFmtId="0" fontId="93" fillId="0" borderId="30" xfId="0" applyFont="1" applyBorder="1" applyAlignment="1">
      <alignment horizontal="center" vertical="center"/>
    </xf>
    <xf numFmtId="0" fontId="93" fillId="0" borderId="25" xfId="0" applyFont="1" applyBorder="1" applyAlignment="1">
      <alignment horizontal="center" vertical="center"/>
    </xf>
    <xf numFmtId="0" fontId="44" fillId="0" borderId="26" xfId="0" applyFont="1" applyBorder="1"/>
    <xf numFmtId="49" fontId="87" fillId="50" borderId="9" xfId="0" applyNumberFormat="1" applyFont="1" applyFill="1" applyBorder="1" applyAlignment="1">
      <alignment horizontal="left" vertical="center"/>
    </xf>
    <xf numFmtId="49" fontId="87" fillId="50" borderId="0" xfId="0" applyNumberFormat="1" applyFont="1" applyFill="1" applyAlignment="1">
      <alignment horizontal="left" vertical="center"/>
    </xf>
    <xf numFmtId="0" fontId="44" fillId="52" borderId="0" xfId="0" applyFont="1" applyFill="1"/>
    <xf numFmtId="0" fontId="54" fillId="0" borderId="29" xfId="0" applyFont="1" applyBorder="1"/>
    <xf numFmtId="171" fontId="54" fillId="0" borderId="45" xfId="1" applyFont="1" applyBorder="1"/>
    <xf numFmtId="0" fontId="94" fillId="0" borderId="29" xfId="0" applyFont="1" applyBorder="1"/>
    <xf numFmtId="0" fontId="94" fillId="0" borderId="45" xfId="0" applyFont="1" applyBorder="1"/>
    <xf numFmtId="0" fontId="94" fillId="0" borderId="35" xfId="0" applyFont="1" applyBorder="1"/>
    <xf numFmtId="0" fontId="94" fillId="0" borderId="17" xfId="0" applyFont="1" applyBorder="1"/>
    <xf numFmtId="0" fontId="94" fillId="0" borderId="0" xfId="0" applyFont="1"/>
    <xf numFmtId="0" fontId="94" fillId="0" borderId="18" xfId="0" applyFont="1" applyBorder="1"/>
    <xf numFmtId="164" fontId="94" fillId="0" borderId="0" xfId="1" applyNumberFormat="1" applyFont="1" applyBorder="1"/>
    <xf numFmtId="164" fontId="94" fillId="0" borderId="18" xfId="1" applyNumberFormat="1" applyFont="1" applyBorder="1"/>
    <xf numFmtId="0" fontId="94" fillId="0" borderId="22" xfId="0" applyFont="1" applyBorder="1"/>
    <xf numFmtId="164" fontId="94" fillId="0" borderId="23" xfId="1" applyNumberFormat="1" applyFont="1" applyBorder="1"/>
    <xf numFmtId="164" fontId="94" fillId="0" borderId="4" xfId="1" applyNumberFormat="1" applyFont="1" applyBorder="1"/>
    <xf numFmtId="173" fontId="54" fillId="0" borderId="25" xfId="1" applyNumberFormat="1" applyFont="1" applyBorder="1" applyAlignment="1" applyProtection="1">
      <alignment horizontal="left"/>
    </xf>
    <xf numFmtId="0" fontId="44" fillId="0" borderId="37" xfId="0" applyFont="1" applyBorder="1" applyAlignment="1">
      <alignment horizontal="center"/>
    </xf>
    <xf numFmtId="0" fontId="45" fillId="43" borderId="5" xfId="1" applyNumberFormat="1" applyFont="1" applyFill="1" applyBorder="1" applyAlignment="1" applyProtection="1">
      <alignment vertical="top"/>
    </xf>
    <xf numFmtId="0" fontId="44" fillId="38" borderId="8" xfId="0" applyFont="1" applyFill="1" applyBorder="1" applyAlignment="1">
      <alignment horizontal="left"/>
    </xf>
    <xf numFmtId="0" fontId="44" fillId="38" borderId="0" xfId="0" applyFont="1" applyFill="1"/>
    <xf numFmtId="0" fontId="44" fillId="38" borderId="5" xfId="0" applyFont="1" applyFill="1" applyBorder="1" applyAlignment="1">
      <alignment horizontal="left"/>
    </xf>
    <xf numFmtId="0" fontId="44" fillId="47" borderId="0" xfId="0" applyFont="1" applyFill="1"/>
    <xf numFmtId="49" fontId="87" fillId="50" borderId="48" xfId="0" applyNumberFormat="1" applyFont="1" applyFill="1" applyBorder="1" applyAlignment="1">
      <alignment horizontal="center" vertical="center"/>
    </xf>
    <xf numFmtId="49" fontId="87" fillId="50" borderId="47" xfId="0" applyNumberFormat="1" applyFont="1" applyFill="1" applyBorder="1" applyAlignment="1">
      <alignment horizontal="center" vertical="center"/>
    </xf>
    <xf numFmtId="0" fontId="44" fillId="30" borderId="0" xfId="0" applyFont="1" applyFill="1"/>
    <xf numFmtId="0" fontId="44" fillId="0" borderId="30" xfId="0" applyFont="1" applyBorder="1" applyAlignment="1">
      <alignment horizontal="center"/>
    </xf>
    <xf numFmtId="173" fontId="0" fillId="27" borderId="5" xfId="0" applyNumberFormat="1" applyFill="1" applyBorder="1"/>
    <xf numFmtId="171" fontId="0" fillId="27" borderId="5" xfId="0" applyNumberFormat="1" applyFill="1" applyBorder="1"/>
    <xf numFmtId="171" fontId="86" fillId="41" borderId="5" xfId="1" applyFont="1" applyFill="1" applyBorder="1" applyAlignment="1" applyProtection="1">
      <alignment vertical="top"/>
    </xf>
    <xf numFmtId="177" fontId="44" fillId="27" borderId="37" xfId="0" applyNumberFormat="1" applyFont="1" applyFill="1" applyBorder="1" applyAlignment="1">
      <alignment horizontal="left"/>
    </xf>
    <xf numFmtId="177" fontId="44" fillId="31" borderId="37" xfId="0" applyNumberFormat="1" applyFont="1" applyFill="1" applyBorder="1" applyAlignment="1">
      <alignment horizontal="left"/>
    </xf>
    <xf numFmtId="177" fontId="79" fillId="27" borderId="37" xfId="0" applyNumberFormat="1" applyFont="1" applyFill="1" applyBorder="1" applyAlignment="1">
      <alignment horizontal="left"/>
    </xf>
    <xf numFmtId="177" fontId="79" fillId="0" borderId="37" xfId="0" applyNumberFormat="1" applyFont="1" applyBorder="1" applyAlignment="1">
      <alignment horizontal="left"/>
    </xf>
    <xf numFmtId="177" fontId="92" fillId="0" borderId="37" xfId="0" applyNumberFormat="1" applyFont="1" applyBorder="1" applyAlignment="1">
      <alignment horizontal="left"/>
    </xf>
    <xf numFmtId="177" fontId="44" fillId="27" borderId="20" xfId="0" applyNumberFormat="1" applyFont="1" applyFill="1" applyBorder="1" applyAlignment="1">
      <alignment horizontal="left"/>
    </xf>
    <xf numFmtId="177" fontId="79" fillId="27" borderId="20" xfId="0" applyNumberFormat="1" applyFont="1" applyFill="1" applyBorder="1" applyAlignment="1">
      <alignment horizontal="left" wrapText="1"/>
    </xf>
    <xf numFmtId="177" fontId="79" fillId="49" borderId="20" xfId="0" applyNumberFormat="1" applyFont="1" applyFill="1" applyBorder="1" applyAlignment="1">
      <alignment horizontal="left" wrapText="1"/>
    </xf>
    <xf numFmtId="0" fontId="35" fillId="39" borderId="0" xfId="0" applyFont="1" applyFill="1" applyAlignment="1">
      <alignment horizontal="center" wrapText="1"/>
    </xf>
    <xf numFmtId="0" fontId="48" fillId="37" borderId="17" xfId="0" applyFont="1" applyFill="1" applyBorder="1" applyAlignment="1">
      <alignment horizontal="center" vertical="top"/>
    </xf>
    <xf numFmtId="0" fontId="48" fillId="37" borderId="0" xfId="0" applyFont="1" applyFill="1" applyAlignment="1">
      <alignment horizontal="center" vertical="top"/>
    </xf>
    <xf numFmtId="0" fontId="48" fillId="37" borderId="18" xfId="0" applyFont="1" applyFill="1" applyBorder="1" applyAlignment="1">
      <alignment horizontal="center" vertical="top"/>
    </xf>
    <xf numFmtId="171" fontId="45" fillId="41" borderId="7" xfId="1" applyFont="1" applyFill="1" applyBorder="1" applyAlignment="1" applyProtection="1">
      <alignment horizontal="center" vertical="top"/>
    </xf>
    <xf numFmtId="171" fontId="45" fillId="41" borderId="41" xfId="1" applyFont="1" applyFill="1" applyBorder="1" applyAlignment="1" applyProtection="1">
      <alignment horizontal="center" vertical="top"/>
    </xf>
    <xf numFmtId="0" fontId="28" fillId="17" borderId="9" xfId="0" applyFont="1" applyFill="1" applyBorder="1" applyAlignment="1">
      <alignment horizontal="center" vertical="center"/>
    </xf>
    <xf numFmtId="0" fontId="30" fillId="34" borderId="10" xfId="0" applyFont="1" applyFill="1" applyBorder="1" applyAlignment="1">
      <alignment horizontal="center" vertical="center"/>
    </xf>
    <xf numFmtId="0" fontId="28" fillId="8" borderId="7" xfId="0" applyFont="1" applyFill="1" applyBorder="1" applyAlignment="1">
      <alignment horizontal="center" vertical="center"/>
    </xf>
    <xf numFmtId="0" fontId="29" fillId="18" borderId="1" xfId="0" applyFont="1" applyFill="1" applyBorder="1" applyAlignment="1">
      <alignment horizontal="center"/>
    </xf>
    <xf numFmtId="0" fontId="29" fillId="18" borderId="12" xfId="0" applyFont="1" applyFill="1" applyBorder="1" applyAlignment="1">
      <alignment horizontal="center"/>
    </xf>
    <xf numFmtId="0" fontId="29" fillId="18" borderId="5" xfId="0" applyFont="1" applyFill="1" applyBorder="1" applyAlignment="1">
      <alignment horizontal="center"/>
    </xf>
    <xf numFmtId="0" fontId="29" fillId="0" borderId="0" xfId="0" applyFont="1" applyAlignment="1">
      <alignment horizontal="left" vertical="top" wrapText="1"/>
    </xf>
    <xf numFmtId="0" fontId="28" fillId="17" borderId="13" xfId="0" applyFont="1" applyFill="1" applyBorder="1" applyAlignment="1">
      <alignment horizontal="center" vertical="center"/>
    </xf>
    <xf numFmtId="0" fontId="30" fillId="35" borderId="9" xfId="0" applyFont="1" applyFill="1" applyBorder="1" applyAlignment="1">
      <alignment horizontal="center" vertical="center"/>
    </xf>
    <xf numFmtId="0" fontId="30" fillId="19" borderId="9" xfId="0" applyFont="1" applyFill="1" applyBorder="1" applyAlignment="1">
      <alignment horizontal="center" vertical="center"/>
    </xf>
    <xf numFmtId="0" fontId="29" fillId="18" borderId="27" xfId="0" applyFont="1" applyFill="1" applyBorder="1" applyAlignment="1">
      <alignment horizontal="center"/>
    </xf>
    <xf numFmtId="0" fontId="29" fillId="18" borderId="7" xfId="0" applyFont="1" applyFill="1" applyBorder="1" applyAlignment="1">
      <alignment horizontal="center"/>
    </xf>
    <xf numFmtId="0" fontId="30" fillId="20" borderId="9" xfId="0" applyFont="1" applyFill="1" applyBorder="1" applyAlignment="1">
      <alignment horizontal="center" vertical="center"/>
    </xf>
    <xf numFmtId="0" fontId="29" fillId="18" borderId="29" xfId="0" applyFont="1" applyFill="1" applyBorder="1" applyAlignment="1">
      <alignment horizontal="center"/>
    </xf>
    <xf numFmtId="14" fontId="30" fillId="19" borderId="9" xfId="0" applyNumberFormat="1" applyFont="1" applyFill="1" applyBorder="1" applyAlignment="1">
      <alignment horizontal="center" vertical="center"/>
    </xf>
    <xf numFmtId="0" fontId="28" fillId="18" borderId="7" xfId="0" applyFont="1" applyFill="1" applyBorder="1" applyAlignment="1">
      <alignment horizontal="center"/>
    </xf>
    <xf numFmtId="49" fontId="87" fillId="50" borderId="49" xfId="0" applyNumberFormat="1" applyFont="1" applyFill="1" applyBorder="1" applyAlignment="1">
      <alignment horizontal="center" vertical="center"/>
    </xf>
    <xf numFmtId="49" fontId="87" fillId="50" borderId="0" xfId="0" applyNumberFormat="1" applyFont="1" applyFill="1" applyAlignment="1">
      <alignment horizontal="center" vertical="center"/>
    </xf>
    <xf numFmtId="177" fontId="44" fillId="0" borderId="8" xfId="0" applyNumberFormat="1" applyFont="1" applyBorder="1" applyAlignment="1">
      <alignment horizontal="left" wrapText="1"/>
    </xf>
    <xf numFmtId="177" fontId="44" fillId="0" borderId="37" xfId="0" applyNumberFormat="1" applyFont="1" applyBorder="1" applyAlignment="1">
      <alignment horizontal="left" wrapText="1"/>
    </xf>
    <xf numFmtId="0" fontId="44" fillId="0" borderId="8" xfId="0" applyFont="1" applyBorder="1" applyAlignment="1">
      <alignment horizontal="left" vertical="top" wrapText="1"/>
    </xf>
    <xf numFmtId="0" fontId="44" fillId="0" borderId="30" xfId="0" applyFont="1" applyBorder="1" applyAlignment="1">
      <alignment horizontal="left" vertical="top" wrapText="1"/>
    </xf>
    <xf numFmtId="0" fontId="44" fillId="0" borderId="37" xfId="0" applyFont="1" applyBorder="1" applyAlignment="1">
      <alignment horizontal="left" vertical="top" wrapText="1"/>
    </xf>
    <xf numFmtId="0" fontId="44" fillId="53" borderId="25" xfId="0" applyFont="1" applyFill="1" applyBorder="1" applyAlignment="1">
      <alignment horizontal="center" wrapText="1"/>
    </xf>
    <xf numFmtId="0" fontId="44" fillId="47" borderId="25" xfId="0" applyFont="1" applyFill="1" applyBorder="1" applyAlignment="1">
      <alignment horizontal="center"/>
    </xf>
    <xf numFmtId="0" fontId="88" fillId="30" borderId="0" xfId="0" applyFont="1" applyFill="1" applyAlignment="1">
      <alignment horizontal="center"/>
    </xf>
    <xf numFmtId="0" fontId="36" fillId="36" borderId="40" xfId="0" applyFont="1" applyFill="1" applyBorder="1" applyAlignment="1">
      <alignment horizontal="center" vertical="center" wrapText="1"/>
    </xf>
    <xf numFmtId="0" fontId="36" fillId="36" borderId="31" xfId="0" applyFont="1" applyFill="1" applyBorder="1" applyAlignment="1">
      <alignment horizontal="center" vertical="center" wrapText="1"/>
    </xf>
    <xf numFmtId="0" fontId="36" fillId="36" borderId="3" xfId="0" applyFont="1" applyFill="1" applyBorder="1" applyAlignment="1">
      <alignment horizontal="center" vertical="center" wrapText="1"/>
    </xf>
    <xf numFmtId="0" fontId="39" fillId="0" borderId="0" xfId="0" applyFont="1" applyAlignment="1">
      <alignment horizontal="left" vertical="center" wrapText="1"/>
    </xf>
    <xf numFmtId="166" fontId="1" fillId="2" borderId="1" xfId="0" applyNumberFormat="1" applyFont="1" applyFill="1" applyBorder="1" applyAlignment="1">
      <alignment horizontal="center"/>
    </xf>
    <xf numFmtId="0" fontId="1" fillId="3" borderId="1" xfId="0" applyFont="1" applyFill="1" applyBorder="1" applyAlignment="1">
      <alignment horizontal="center" vertical="center" wrapText="1"/>
    </xf>
    <xf numFmtId="0" fontId="1" fillId="5" borderId="1" xfId="0" applyFont="1" applyFill="1" applyBorder="1" applyAlignment="1">
      <alignment horizontal="center"/>
    </xf>
    <xf numFmtId="166" fontId="2" fillId="2" borderId="0" xfId="0" applyNumberFormat="1" applyFont="1" applyFill="1" applyAlignment="1">
      <alignment horizontal="center"/>
    </xf>
    <xf numFmtId="0" fontId="52" fillId="33" borderId="0" xfId="0" applyFont="1" applyFill="1" applyAlignment="1">
      <alignment horizontal="center" vertical="center" wrapText="1"/>
    </xf>
    <xf numFmtId="0" fontId="52" fillId="33" borderId="25" xfId="0" applyFont="1" applyFill="1" applyBorder="1" applyAlignment="1">
      <alignment horizontal="center" vertical="center" wrapText="1"/>
    </xf>
    <xf numFmtId="0" fontId="42" fillId="21" borderId="8" xfId="0" applyFont="1" applyFill="1" applyBorder="1" applyAlignment="1">
      <alignment horizontal="center" vertical="center" wrapText="1"/>
    </xf>
    <xf numFmtId="0" fontId="42" fillId="21" borderId="30" xfId="0" applyFont="1" applyFill="1" applyBorder="1" applyAlignment="1">
      <alignment horizontal="center" vertical="center" wrapText="1"/>
    </xf>
    <xf numFmtId="0" fontId="42" fillId="21" borderId="37" xfId="0" applyFont="1" applyFill="1" applyBorder="1" applyAlignment="1">
      <alignment horizontal="center" vertical="center" wrapText="1"/>
    </xf>
    <xf numFmtId="0" fontId="36" fillId="22" borderId="9" xfId="0" applyFont="1" applyFill="1" applyBorder="1" applyAlignment="1">
      <alignment horizontal="center" vertical="center" wrapText="1"/>
    </xf>
    <xf numFmtId="0" fontId="36" fillId="22" borderId="0" xfId="0" applyFont="1" applyFill="1" applyAlignment="1">
      <alignment horizontal="center" vertical="center" wrapText="1"/>
    </xf>
    <xf numFmtId="0" fontId="36" fillId="22" borderId="21" xfId="0" applyFont="1" applyFill="1" applyBorder="1" applyAlignment="1">
      <alignment horizontal="center" vertical="center" wrapText="1"/>
    </xf>
    <xf numFmtId="0" fontId="36" fillId="27" borderId="9" xfId="0" applyFont="1" applyFill="1" applyBorder="1" applyAlignment="1">
      <alignment horizontal="center" vertical="center" wrapText="1"/>
    </xf>
    <xf numFmtId="0" fontId="36" fillId="27" borderId="0" xfId="0" applyFont="1" applyFill="1" applyAlignment="1">
      <alignment horizontal="center" vertical="center" wrapText="1"/>
    </xf>
    <xf numFmtId="0" fontId="39" fillId="21" borderId="5" xfId="0" applyFont="1" applyFill="1" applyBorder="1" applyAlignment="1">
      <alignment horizontal="center" vertical="center" wrapText="1"/>
    </xf>
    <xf numFmtId="177" fontId="39" fillId="21" borderId="5" xfId="0" applyNumberFormat="1" applyFont="1" applyFill="1" applyBorder="1" applyAlignment="1">
      <alignment horizontal="center" vertical="center" wrapText="1"/>
    </xf>
    <xf numFmtId="0" fontId="49" fillId="0" borderId="40" xfId="0" applyFont="1" applyBorder="1" applyAlignment="1">
      <alignment vertical="top" wrapText="1"/>
    </xf>
    <xf numFmtId="0" fontId="49" fillId="0" borderId="3" xfId="0" applyFont="1" applyBorder="1" applyAlignment="1">
      <alignment vertical="top" wrapText="1"/>
    </xf>
    <xf numFmtId="0" fontId="48" fillId="0" borderId="29" xfId="0" applyFont="1" applyBorder="1" applyAlignment="1">
      <alignment vertical="top" wrapText="1"/>
    </xf>
    <xf numFmtId="0" fontId="48" fillId="0" borderId="22" xfId="0" applyFont="1" applyBorder="1" applyAlignment="1">
      <alignment vertical="top" wrapText="1"/>
    </xf>
    <xf numFmtId="171" fontId="50" fillId="33" borderId="5" xfId="1" applyFont="1" applyFill="1" applyBorder="1"/>
    <xf numFmtId="0" fontId="49" fillId="0" borderId="5" xfId="0" applyFont="1" applyBorder="1" applyAlignment="1">
      <alignment vertical="top" wrapText="1"/>
    </xf>
    <xf numFmtId="0" fontId="48" fillId="0" borderId="5" xfId="0" applyFont="1" applyBorder="1" applyAlignment="1">
      <alignment vertical="top" wrapText="1"/>
    </xf>
    <xf numFmtId="0" fontId="49" fillId="0" borderId="31" xfId="0" applyFont="1" applyBorder="1" applyAlignment="1">
      <alignment vertical="top" wrapText="1"/>
    </xf>
    <xf numFmtId="0" fontId="48" fillId="0" borderId="17" xfId="0" applyFont="1" applyBorder="1" applyAlignment="1">
      <alignment vertical="top" wrapText="1"/>
    </xf>
    <xf numFmtId="171" fontId="50" fillId="33" borderId="41" xfId="1" applyFont="1" applyFill="1" applyBorder="1"/>
    <xf numFmtId="0" fontId="38" fillId="21" borderId="23" xfId="0" applyFont="1" applyFill="1" applyBorder="1" applyAlignment="1">
      <alignment horizontal="center" vertical="center" wrapText="1"/>
    </xf>
    <xf numFmtId="0" fontId="21" fillId="0" borderId="0" xfId="0" applyFont="1" applyAlignment="1">
      <alignment horizontal="center"/>
    </xf>
    <xf numFmtId="166" fontId="22" fillId="15" borderId="0" xfId="0" applyNumberFormat="1" applyFont="1" applyFill="1" applyAlignment="1">
      <alignment horizontal="center"/>
    </xf>
    <xf numFmtId="0" fontId="29" fillId="0" borderId="29" xfId="0" applyFont="1" applyBorder="1" applyAlignment="1">
      <alignment horizontal="left" vertical="top"/>
    </xf>
    <xf numFmtId="0" fontId="29" fillId="0" borderId="45" xfId="0" applyFont="1" applyBorder="1" applyAlignment="1">
      <alignment horizontal="left" vertical="top"/>
    </xf>
    <xf numFmtId="0" fontId="29" fillId="0" borderId="35" xfId="0" applyFont="1" applyBorder="1" applyAlignment="1">
      <alignment horizontal="left" vertical="top"/>
    </xf>
    <xf numFmtId="0" fontId="31" fillId="14" borderId="42" xfId="0" applyFont="1" applyFill="1" applyBorder="1" applyAlignment="1">
      <alignment horizontal="center" vertical="center" wrapText="1"/>
    </xf>
    <xf numFmtId="0" fontId="31" fillId="14" borderId="43" xfId="0" applyFont="1" applyFill="1" applyBorder="1" applyAlignment="1">
      <alignment horizontal="center" vertical="center" wrapText="1"/>
    </xf>
    <xf numFmtId="0" fontId="31" fillId="14" borderId="44" xfId="0" applyFont="1" applyFill="1" applyBorder="1" applyAlignment="1">
      <alignment horizontal="center" vertical="center" wrapText="1"/>
    </xf>
    <xf numFmtId="0" fontId="14" fillId="18" borderId="14" xfId="0" applyFont="1" applyFill="1" applyBorder="1" applyAlignment="1">
      <alignment horizontal="center"/>
    </xf>
    <xf numFmtId="0" fontId="14" fillId="18" borderId="15" xfId="0" applyFont="1" applyFill="1" applyBorder="1" applyAlignment="1">
      <alignment horizontal="center"/>
    </xf>
    <xf numFmtId="0" fontId="14" fillId="18" borderId="16" xfId="0" applyFont="1" applyFill="1" applyBorder="1" applyAlignment="1">
      <alignment horizontal="center"/>
    </xf>
    <xf numFmtId="0" fontId="31" fillId="14" borderId="11" xfId="0" applyFont="1" applyFill="1" applyBorder="1"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DCE6F2"/>
      <rgbColor rgb="FF800000"/>
      <rgbColor rgb="FF008000"/>
      <rgbColor rgb="FF000080"/>
      <rgbColor rgb="FFE6E0EC"/>
      <rgbColor rgb="FF800080"/>
      <rgbColor rgb="FF0673A5"/>
      <rgbColor rgb="FFC0C0C0"/>
      <rgbColor rgb="FF4F81BD"/>
      <rgbColor rgb="FF93CDDD"/>
      <rgbColor rgb="FFC0504D"/>
      <rgbColor rgb="FFEBF1DE"/>
      <rgbColor rgb="FFCCFFFF"/>
      <rgbColor rgb="FF660066"/>
      <rgbColor rgb="FFD99694"/>
      <rgbColor rgb="FF0066CC"/>
      <rgbColor rgb="FFB4C6E7"/>
      <rgbColor rgb="FF000080"/>
      <rgbColor rgb="FFFF00FF"/>
      <rgbColor rgb="FFC3D69B"/>
      <rgbColor rgb="FF00FFFF"/>
      <rgbColor rgb="FF800080"/>
      <rgbColor rgb="FF800000"/>
      <rgbColor rgb="FF008080"/>
      <rgbColor rgb="FF0000FF"/>
      <rgbColor rgb="FF00B0F0"/>
      <rgbColor rgb="FFDBEEF4"/>
      <rgbColor rgb="FFE2EFDA"/>
      <rgbColor rgb="FFFDEADA"/>
      <rgbColor rgb="FF99CCFF"/>
      <rgbColor rgb="FFF2DCDB"/>
      <rgbColor rgb="FFD9E1F2"/>
      <rgbColor rgb="FFE6B9B8"/>
      <rgbColor rgb="FF558ED5"/>
      <rgbColor rgb="FF4BACC6"/>
      <rgbColor rgb="FF92D050"/>
      <rgbColor rgb="FFFFC000"/>
      <rgbColor rgb="FFF79646"/>
      <rgbColor rgb="FFFDE9D9"/>
      <rgbColor rgb="FF8064A2"/>
      <rgbColor rgb="FF9BBB59"/>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66FF"/>
      <color rgb="FFFDEADA"/>
      <color rgb="FF6CC8D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20.png"/><Relationship Id="rId1" Type="http://schemas.openxmlformats.org/officeDocument/2006/relationships/customXml" Target="../ink/ink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247650</xdr:colOff>
      <xdr:row>0</xdr:row>
      <xdr:rowOff>104775</xdr:rowOff>
    </xdr:from>
    <xdr:to>
      <xdr:col>13</xdr:col>
      <xdr:colOff>131227</xdr:colOff>
      <xdr:row>2</xdr:row>
      <xdr:rowOff>107216</xdr:rowOff>
    </xdr:to>
    <xdr:pic>
      <xdr:nvPicPr>
        <xdr:cNvPr id="2" name="Picture 3">
          <a:extLst>
            <a:ext uri="{FF2B5EF4-FFF2-40B4-BE49-F238E27FC236}">
              <a16:creationId xmlns:a16="http://schemas.microsoft.com/office/drawing/2014/main" id="{B733630E-AF3F-4EDB-86DB-BFF5F103D8A3}"/>
            </a:ext>
          </a:extLst>
        </xdr:cNvPr>
        <xdr:cNvPicPr>
          <a:picLocks noChangeAspect="1"/>
        </xdr:cNvPicPr>
      </xdr:nvPicPr>
      <xdr:blipFill>
        <a:blip xmlns:r="http://schemas.openxmlformats.org/officeDocument/2006/relationships" r:embed="rId1"/>
        <a:stretch>
          <a:fillRect/>
        </a:stretch>
      </xdr:blipFill>
      <xdr:spPr>
        <a:xfrm>
          <a:off x="16792575" y="104775"/>
          <a:ext cx="1883827" cy="3262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7951</xdr:rowOff>
    </xdr:from>
    <xdr:to>
      <xdr:col>5</xdr:col>
      <xdr:colOff>55660</xdr:colOff>
      <xdr:row>4</xdr:row>
      <xdr:rowOff>135172</xdr:rowOff>
    </xdr:to>
    <xdr:pic>
      <xdr:nvPicPr>
        <xdr:cNvPr id="2" name="Picture 1">
          <a:extLst>
            <a:ext uri="{FF2B5EF4-FFF2-40B4-BE49-F238E27FC236}">
              <a16:creationId xmlns:a16="http://schemas.microsoft.com/office/drawing/2014/main" id="{89769D68-D031-D9A5-5339-19FDC481E7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7576" y="7951"/>
          <a:ext cx="1478943" cy="1208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161910</xdr:colOff>
      <xdr:row>29</xdr:row>
      <xdr:rowOff>28845</xdr:rowOff>
    </xdr:from>
    <xdr:to>
      <xdr:col>5</xdr:col>
      <xdr:colOff>289710</xdr:colOff>
      <xdr:row>29</xdr:row>
      <xdr:rowOff>114525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FF4188A-317F-B871-89E7-E6A4C7B7698F}"/>
                </a:ext>
              </a:extLst>
            </xdr14:cNvPr>
            <xdr14:cNvContentPartPr/>
          </xdr14:nvContentPartPr>
          <xdr14:nvPr macro=""/>
          <xdr14:xfrm>
            <a:off x="9248760" y="44358195"/>
            <a:ext cx="127800" cy="85680"/>
          </xdr14:xfrm>
        </xdr:contentPart>
      </mc:Choice>
      <mc:Fallback xmlns="">
        <xdr:pic>
          <xdr:nvPicPr>
            <xdr:cNvPr id="2" name="Ink 1">
              <a:extLst>
                <a:ext uri="{FF2B5EF4-FFF2-40B4-BE49-F238E27FC236}">
                  <a16:creationId xmlns:a16="http://schemas.microsoft.com/office/drawing/2014/main" id="{9FF4188A-317F-B871-89E7-E6A4C7B7698F}"/>
                </a:ext>
              </a:extLst>
            </xdr:cNvPr>
            <xdr:cNvPicPr/>
          </xdr:nvPicPr>
          <xdr:blipFill>
            <a:blip xmlns:r="http://schemas.openxmlformats.org/officeDocument/2006/relationships" r:embed="rId2"/>
            <a:stretch>
              <a:fillRect/>
            </a:stretch>
          </xdr:blipFill>
          <xdr:spPr>
            <a:xfrm>
              <a:off x="9242640" y="44352075"/>
              <a:ext cx="140040" cy="97920"/>
            </a:xfrm>
            <a:prstGeom prst="rect">
              <a:avLst/>
            </a:prstGeom>
          </xdr:spPr>
        </xdr:pic>
      </mc:Fallback>
    </mc:AlternateContent>
    <xdr:clientData/>
  </xdr:twoCellAnchor>
  <xdr:twoCellAnchor editAs="oneCell">
    <xdr:from>
      <xdr:col>5</xdr:col>
      <xdr:colOff>390510</xdr:colOff>
      <xdr:row>28</xdr:row>
      <xdr:rowOff>381030</xdr:rowOff>
    </xdr:from>
    <xdr:to>
      <xdr:col>5</xdr:col>
      <xdr:colOff>390870</xdr:colOff>
      <xdr:row>28</xdr:row>
      <xdr:rowOff>381390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E60D693-A21D-BE86-DD44-EFBC9D557C33}"/>
                </a:ext>
              </a:extLst>
            </xdr14:cNvPr>
            <xdr14:cNvContentPartPr/>
          </xdr14:nvContentPartPr>
          <xdr14:nvPr macro=""/>
          <xdr14:xfrm>
            <a:off x="9477360" y="43748355"/>
            <a:ext cx="360" cy="360"/>
          </xdr14:xfrm>
        </xdr:contentPart>
      </mc:Choice>
      <mc:Fallback xmlns="">
        <xdr:pic>
          <xdr:nvPicPr>
            <xdr:cNvPr id="3" name="Ink 2">
              <a:extLst>
                <a:ext uri="{FF2B5EF4-FFF2-40B4-BE49-F238E27FC236}">
                  <a16:creationId xmlns:a16="http://schemas.microsoft.com/office/drawing/2014/main" id="{0E60D693-A21D-BE86-DD44-EFBC9D557C33}"/>
                </a:ext>
              </a:extLst>
            </xdr:cNvPr>
            <xdr:cNvPicPr/>
          </xdr:nvPicPr>
          <xdr:blipFill>
            <a:blip xmlns:r="http://schemas.openxmlformats.org/officeDocument/2006/relationships" r:embed="rId4"/>
            <a:stretch>
              <a:fillRect/>
            </a:stretch>
          </xdr:blipFill>
          <xdr:spPr>
            <a:xfrm>
              <a:off x="9471240" y="43742235"/>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5T23:13:00.568"/>
    </inkml:context>
    <inkml:brush xml:id="br0">
      <inkml:brushProperty name="width" value="0.035" units="cm"/>
      <inkml:brushProperty name="height" value="0.035" units="cm"/>
      <inkml:brushProperty name="color" value="#E71224"/>
    </inkml:brush>
  </inkml:definitions>
  <inkml:trace contextRef="#ctx0" brushRef="#br0">0 235 24575,'5'-4'0,"10"-7"0,11-5 0,16-5 0,4-2 0,12-12 0,24-26 0,-2-3-8191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5T23:13:02.892"/>
    </inkml:context>
    <inkml:brush xml:id="br0">
      <inkml:brushProperty name="width" value="0.035" units="cm"/>
      <inkml:brushProperty name="height" value="0.035" units="cm"/>
      <inkml:brushProperty name="color" value="#E71224"/>
    </inkml:brush>
  </inkml:definitions>
  <inkml:trace contextRef="#ctx0" brushRef="#br0">0 0 24575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D210-308A-4F9D-BF35-2418BD0C5E5B}">
  <sheetPr>
    <tabColor theme="8"/>
    <pageSetUpPr fitToPage="1"/>
  </sheetPr>
  <dimension ref="A1:U54"/>
  <sheetViews>
    <sheetView zoomScaleNormal="100" workbookViewId="0">
      <selection activeCell="A30" sqref="A30:D30"/>
    </sheetView>
  </sheetViews>
  <sheetFormatPr defaultRowHeight="12.75"/>
  <cols>
    <col min="1" max="1" width="23.28515625" customWidth="1"/>
    <col min="2" max="2" width="15.140625" customWidth="1"/>
    <col min="3" max="3" width="17.7109375" customWidth="1"/>
    <col min="4" max="4" width="11.42578125" bestFit="1" customWidth="1"/>
    <col min="5" max="5" width="18.5703125" customWidth="1"/>
    <col min="6" max="6" width="42.7109375" bestFit="1" customWidth="1"/>
    <col min="7" max="7" width="19.28515625" customWidth="1"/>
    <col min="8" max="8" width="17.42578125" customWidth="1"/>
    <col min="9" max="9" width="11.7109375" customWidth="1"/>
    <col min="10" max="10" width="8.5703125" customWidth="1"/>
    <col min="11" max="11" width="39" bestFit="1" customWidth="1"/>
    <col min="12" max="12" width="20.140625" customWidth="1"/>
    <col min="13" max="13" width="17.42578125" customWidth="1"/>
    <col min="14" max="14" width="12.28515625" customWidth="1"/>
    <col min="15" max="15" width="5.42578125" customWidth="1"/>
    <col min="16" max="16" width="4.42578125" customWidth="1"/>
    <col min="17" max="17" width="8.5703125" customWidth="1"/>
    <col min="18" max="18" width="16.140625" bestFit="1" customWidth="1"/>
    <col min="19" max="1020" width="8.5703125" customWidth="1"/>
  </cols>
  <sheetData>
    <row r="1" spans="1:21" ht="63.2" customHeight="1" thickBot="1">
      <c r="A1" s="600" t="s">
        <v>401</v>
      </c>
      <c r="B1" s="600"/>
      <c r="C1" s="600"/>
      <c r="D1" s="600"/>
      <c r="E1" s="123"/>
      <c r="F1" s="601" t="s">
        <v>414</v>
      </c>
      <c r="G1" s="601"/>
      <c r="H1" s="601"/>
      <c r="I1" s="601"/>
      <c r="J1" s="123"/>
      <c r="K1" s="602" t="s">
        <v>786</v>
      </c>
      <c r="L1" s="602"/>
      <c r="M1" s="602"/>
      <c r="N1" s="602"/>
    </row>
    <row r="2" spans="1:21" ht="19.5" thickBot="1">
      <c r="A2" s="603" t="s">
        <v>183</v>
      </c>
      <c r="B2" s="603"/>
      <c r="C2" s="603"/>
      <c r="D2" s="603"/>
      <c r="E2" s="123"/>
      <c r="F2" s="604" t="s">
        <v>184</v>
      </c>
      <c r="G2" s="604"/>
      <c r="H2" s="604"/>
      <c r="I2" s="604"/>
      <c r="J2" s="123"/>
      <c r="K2" s="605" t="s">
        <v>139</v>
      </c>
      <c r="L2" s="605"/>
      <c r="M2" s="605"/>
      <c r="N2" s="605"/>
    </row>
    <row r="3" spans="1:21" ht="18.75">
      <c r="A3" s="124"/>
      <c r="B3" s="123"/>
      <c r="C3" s="123"/>
      <c r="D3" s="125"/>
      <c r="E3" s="123"/>
      <c r="F3" s="126"/>
      <c r="G3" s="127"/>
      <c r="H3" s="127"/>
      <c r="I3" s="128"/>
      <c r="J3" s="123"/>
      <c r="K3" s="126"/>
      <c r="L3" s="127" t="s">
        <v>185</v>
      </c>
      <c r="M3" s="127"/>
      <c r="N3" s="128"/>
    </row>
    <row r="4" spans="1:21" ht="18.75">
      <c r="A4" s="124" t="s">
        <v>187</v>
      </c>
      <c r="B4" s="129" t="s">
        <v>188</v>
      </c>
      <c r="C4" s="129"/>
      <c r="D4" s="125"/>
      <c r="E4" s="123"/>
      <c r="F4" s="130" t="s">
        <v>187</v>
      </c>
      <c r="G4" s="123" t="s">
        <v>189</v>
      </c>
      <c r="H4" s="123"/>
      <c r="I4" s="131"/>
      <c r="J4" s="123"/>
      <c r="K4" s="130" t="s">
        <v>187</v>
      </c>
      <c r="L4" s="123" t="s">
        <v>190</v>
      </c>
      <c r="M4" s="123"/>
      <c r="N4" s="131"/>
    </row>
    <row r="5" spans="1:21" ht="18.75">
      <c r="A5" s="124"/>
      <c r="B5" s="123"/>
      <c r="C5" s="123" t="s">
        <v>38</v>
      </c>
      <c r="D5" s="125"/>
      <c r="E5" s="123"/>
      <c r="F5" s="130"/>
      <c r="G5" s="123"/>
      <c r="H5" s="123" t="s">
        <v>38</v>
      </c>
      <c r="I5" s="131"/>
      <c r="J5" s="123"/>
      <c r="K5" s="130"/>
      <c r="L5" s="123"/>
      <c r="M5" s="123" t="s">
        <v>38</v>
      </c>
      <c r="N5" s="131"/>
    </row>
    <row r="6" spans="1:21" ht="40.5" customHeight="1">
      <c r="A6" s="132" t="s">
        <v>192</v>
      </c>
      <c r="B6" s="606" t="s">
        <v>195</v>
      </c>
      <c r="C6" s="606"/>
      <c r="D6" s="133"/>
      <c r="E6" s="123"/>
      <c r="F6" s="134" t="s">
        <v>192</v>
      </c>
      <c r="G6" s="1" t="s">
        <v>196</v>
      </c>
      <c r="H6" s="1"/>
      <c r="I6" s="135"/>
      <c r="J6" s="123"/>
      <c r="K6" s="134" t="s">
        <v>192</v>
      </c>
      <c r="L6" s="606" t="s">
        <v>196</v>
      </c>
      <c r="M6" s="606"/>
      <c r="N6" s="135"/>
    </row>
    <row r="7" spans="1:21" ht="18.75">
      <c r="A7" s="124"/>
      <c r="B7" s="129" t="s">
        <v>197</v>
      </c>
      <c r="C7" s="129" t="s">
        <v>198</v>
      </c>
      <c r="D7" s="125"/>
      <c r="E7" s="123"/>
      <c r="F7" s="130"/>
      <c r="G7" s="129" t="s">
        <v>197</v>
      </c>
      <c r="H7" s="129" t="s">
        <v>198</v>
      </c>
      <c r="I7" s="131"/>
      <c r="J7" s="123"/>
      <c r="K7" s="130"/>
      <c r="L7" s="129" t="s">
        <v>197</v>
      </c>
      <c r="M7" s="129" t="s">
        <v>198</v>
      </c>
      <c r="N7" s="131"/>
    </row>
    <row r="8" spans="1:21" ht="18.75">
      <c r="A8" s="124" t="s">
        <v>199</v>
      </c>
      <c r="B8" s="136">
        <v>1530.43</v>
      </c>
      <c r="C8" s="343">
        <f>B8*1.15</f>
        <v>1759.9945</v>
      </c>
      <c r="D8" s="125"/>
      <c r="E8" s="123"/>
      <c r="F8" s="130" t="s">
        <v>199</v>
      </c>
      <c r="G8" s="136">
        <v>0</v>
      </c>
      <c r="H8" s="136">
        <v>0</v>
      </c>
      <c r="I8" s="131"/>
      <c r="J8" s="123"/>
      <c r="K8" s="130" t="s">
        <v>199</v>
      </c>
      <c r="L8" s="136">
        <v>2240</v>
      </c>
      <c r="M8" s="136">
        <f>L8*1.15</f>
        <v>2576</v>
      </c>
      <c r="N8" s="131"/>
    </row>
    <row r="9" spans="1:21" ht="18.75">
      <c r="A9" s="124" t="s">
        <v>201</v>
      </c>
      <c r="B9" s="136">
        <v>357.39</v>
      </c>
      <c r="C9" s="343">
        <f>B9*1.15</f>
        <v>410.99849999999998</v>
      </c>
      <c r="D9" s="125"/>
      <c r="E9" s="123"/>
      <c r="F9" s="130" t="s">
        <v>201</v>
      </c>
      <c r="G9" s="136">
        <v>0</v>
      </c>
      <c r="H9" s="136">
        <v>0</v>
      </c>
      <c r="I9" s="131"/>
      <c r="J9" s="123"/>
      <c r="K9" s="130" t="s">
        <v>201</v>
      </c>
      <c r="L9" s="136">
        <v>450</v>
      </c>
      <c r="M9" s="136">
        <f>L9*1.15</f>
        <v>517.5</v>
      </c>
      <c r="N9" s="131"/>
    </row>
    <row r="10" spans="1:21" ht="18.75">
      <c r="A10" s="124" t="s">
        <v>203</v>
      </c>
      <c r="B10" s="136">
        <f t="shared" ref="B10" si="0">C10/1.15</f>
        <v>0</v>
      </c>
      <c r="C10" s="343">
        <v>0</v>
      </c>
      <c r="D10" s="125"/>
      <c r="E10" s="123"/>
      <c r="F10" s="130" t="s">
        <v>203</v>
      </c>
      <c r="G10" s="136">
        <v>0</v>
      </c>
      <c r="H10" s="136">
        <v>0</v>
      </c>
      <c r="I10" s="131"/>
      <c r="J10" s="123"/>
      <c r="K10" s="130" t="s">
        <v>203</v>
      </c>
      <c r="L10" s="137"/>
      <c r="M10" s="136"/>
      <c r="N10" s="131"/>
    </row>
    <row r="11" spans="1:21" ht="18.75">
      <c r="A11" s="124" t="s">
        <v>205</v>
      </c>
      <c r="B11" s="136">
        <v>1591.3</v>
      </c>
      <c r="C11" s="343">
        <f t="shared" ref="C11" si="1">B11*1.15</f>
        <v>1829.9949999999999</v>
      </c>
      <c r="D11" s="125"/>
      <c r="E11" s="123"/>
      <c r="F11" s="138" t="s">
        <v>205</v>
      </c>
      <c r="G11" s="139">
        <v>2494</v>
      </c>
      <c r="H11" s="157">
        <f>G11*1.15</f>
        <v>2868.1</v>
      </c>
      <c r="I11" s="140"/>
      <c r="J11" s="123"/>
      <c r="K11" s="130" t="s">
        <v>205</v>
      </c>
      <c r="L11" s="137">
        <v>2655.58</v>
      </c>
      <c r="M11" s="136">
        <f t="shared" ref="M11:M12" si="2">L11*1.15</f>
        <v>3053.9169999999995</v>
      </c>
      <c r="N11" s="131"/>
      <c r="U11" s="241"/>
    </row>
    <row r="12" spans="1:21" ht="19.5" thickBot="1">
      <c r="A12" s="141" t="s">
        <v>206</v>
      </c>
      <c r="B12" s="142">
        <f>SUM(B8:B11)</f>
        <v>3479.12</v>
      </c>
      <c r="C12" s="344">
        <f>SUM(C8:C11)</f>
        <v>4000.9879999999998</v>
      </c>
      <c r="D12" s="143"/>
      <c r="E12" s="123"/>
      <c r="F12" s="130"/>
      <c r="G12" s="144"/>
      <c r="H12" s="144"/>
      <c r="I12" s="140"/>
      <c r="J12" s="123"/>
      <c r="K12" s="148" t="s">
        <v>206</v>
      </c>
      <c r="L12" s="285">
        <f>L8+L9+L11</f>
        <v>5345.58</v>
      </c>
      <c r="M12" s="572">
        <f t="shared" si="2"/>
        <v>6147.4169999999995</v>
      </c>
      <c r="N12" s="151"/>
    </row>
    <row r="13" spans="1:21" ht="18.75">
      <c r="A13" s="145"/>
      <c r="B13" s="146"/>
      <c r="C13" s="146"/>
      <c r="D13" s="147"/>
      <c r="E13" s="123"/>
      <c r="F13" s="148"/>
      <c r="G13" s="149"/>
      <c r="H13" s="150"/>
      <c r="I13" s="151"/>
      <c r="J13" s="123"/>
      <c r="K13" s="123"/>
      <c r="L13" s="123"/>
      <c r="M13" s="123"/>
      <c r="N13" s="123"/>
    </row>
    <row r="14" spans="1:21" ht="18.75">
      <c r="A14" s="147"/>
      <c r="B14" s="147"/>
      <c r="C14" s="147"/>
      <c r="D14" s="147"/>
      <c r="E14" s="123"/>
      <c r="F14" s="123"/>
      <c r="G14" s="123"/>
      <c r="H14" s="123"/>
      <c r="I14" s="123"/>
      <c r="J14" s="123"/>
      <c r="K14" s="123"/>
      <c r="L14" s="123"/>
      <c r="M14" s="123"/>
      <c r="N14" s="123"/>
    </row>
    <row r="15" spans="1:21" ht="48.95" customHeight="1" thickBot="1">
      <c r="A15" s="607" t="s">
        <v>401</v>
      </c>
      <c r="B15" s="607"/>
      <c r="C15" s="607"/>
      <c r="D15" s="607"/>
      <c r="E15" s="123"/>
      <c r="F15" s="608" t="s">
        <v>415</v>
      </c>
      <c r="G15" s="608"/>
      <c r="H15" s="608"/>
      <c r="I15" s="608"/>
      <c r="J15" s="123"/>
      <c r="K15" s="609" t="s">
        <v>570</v>
      </c>
      <c r="L15" s="609"/>
      <c r="M15" s="609"/>
      <c r="N15" s="609"/>
    </row>
    <row r="16" spans="1:21" ht="63.2" customHeight="1" thickBot="1">
      <c r="A16" s="610" t="s">
        <v>208</v>
      </c>
      <c r="B16" s="610"/>
      <c r="C16" s="610"/>
      <c r="D16" s="610"/>
      <c r="E16" s="123" t="s">
        <v>38</v>
      </c>
      <c r="F16" s="604" t="s">
        <v>209</v>
      </c>
      <c r="G16" s="604"/>
      <c r="H16" s="604"/>
      <c r="I16" s="604"/>
      <c r="J16" s="123"/>
      <c r="K16" s="611" t="s">
        <v>571</v>
      </c>
      <c r="L16" s="611"/>
      <c r="M16" s="611"/>
      <c r="N16" s="611"/>
      <c r="O16" s="329"/>
    </row>
    <row r="17" spans="1:14" ht="31.9" customHeight="1">
      <c r="A17" s="124"/>
      <c r="B17" s="123"/>
      <c r="C17" s="123"/>
      <c r="D17" s="131"/>
      <c r="E17" s="123"/>
      <c r="F17" s="126"/>
      <c r="G17" s="127"/>
      <c r="H17" s="127"/>
      <c r="I17" s="128"/>
      <c r="J17" s="123"/>
      <c r="K17" s="126"/>
      <c r="L17" s="127"/>
      <c r="M17" s="127"/>
      <c r="N17" s="128"/>
    </row>
    <row r="18" spans="1:14" ht="18.75">
      <c r="A18" s="124" t="s">
        <v>187</v>
      </c>
      <c r="B18" s="129" t="s">
        <v>210</v>
      </c>
      <c r="C18" s="129"/>
      <c r="D18" s="131"/>
      <c r="E18" s="123"/>
      <c r="F18" s="130" t="s">
        <v>187</v>
      </c>
      <c r="G18" s="123" t="s">
        <v>189</v>
      </c>
      <c r="H18" s="123"/>
      <c r="I18" s="131"/>
      <c r="J18" s="123"/>
      <c r="K18" s="130" t="s">
        <v>187</v>
      </c>
      <c r="L18" s="123" t="s">
        <v>190</v>
      </c>
      <c r="M18" s="123"/>
      <c r="N18" s="131"/>
    </row>
    <row r="19" spans="1:14" ht="18.75" customHeight="1">
      <c r="A19" s="124"/>
      <c r="B19" s="123"/>
      <c r="C19" s="123" t="s">
        <v>38</v>
      </c>
      <c r="D19" s="131"/>
      <c r="E19" s="123"/>
      <c r="F19" s="130"/>
      <c r="G19" s="123"/>
      <c r="H19" s="123" t="s">
        <v>38</v>
      </c>
      <c r="I19" s="131"/>
      <c r="J19" s="123"/>
      <c r="K19" s="134" t="s">
        <v>192</v>
      </c>
      <c r="L19" s="606" t="s">
        <v>196</v>
      </c>
      <c r="M19" s="606"/>
      <c r="N19" s="131"/>
    </row>
    <row r="20" spans="1:14" ht="25.5" customHeight="1">
      <c r="A20" s="132" t="s">
        <v>192</v>
      </c>
      <c r="B20" s="606" t="s">
        <v>195</v>
      </c>
      <c r="C20" s="606"/>
      <c r="D20" s="135"/>
      <c r="E20" s="123"/>
      <c r="F20" s="134" t="s">
        <v>192</v>
      </c>
      <c r="G20" s="1" t="s">
        <v>196</v>
      </c>
      <c r="H20" s="1"/>
      <c r="I20" s="135"/>
      <c r="J20" s="123"/>
      <c r="K20" s="130"/>
      <c r="L20" s="129" t="s">
        <v>197</v>
      </c>
      <c r="M20" s="152" t="s">
        <v>198</v>
      </c>
      <c r="N20" s="135"/>
    </row>
    <row r="21" spans="1:14" ht="18.75">
      <c r="A21" s="124"/>
      <c r="B21" s="129" t="s">
        <v>197</v>
      </c>
      <c r="C21" s="129" t="s">
        <v>198</v>
      </c>
      <c r="D21" s="131"/>
      <c r="E21" s="123"/>
      <c r="F21" s="130"/>
      <c r="G21" s="129" t="s">
        <v>197</v>
      </c>
      <c r="H21" s="129" t="s">
        <v>198</v>
      </c>
      <c r="I21" s="131"/>
      <c r="J21" s="123"/>
      <c r="K21" s="130" t="s">
        <v>199</v>
      </c>
      <c r="L21" s="136">
        <v>1770</v>
      </c>
      <c r="M21" s="153">
        <f>L21*1.15</f>
        <v>2035.4999999999998</v>
      </c>
      <c r="N21" s="131"/>
    </row>
    <row r="22" spans="1:14" ht="18.75">
      <c r="A22" s="124" t="s">
        <v>199</v>
      </c>
      <c r="B22" s="136">
        <v>1869.57</v>
      </c>
      <c r="C22" s="343">
        <f>B22*1.15</f>
        <v>2150.0054999999998</v>
      </c>
      <c r="D22" s="131"/>
      <c r="E22" s="123"/>
      <c r="F22" s="130" t="s">
        <v>199</v>
      </c>
      <c r="G22" s="136">
        <v>0</v>
      </c>
      <c r="H22" s="136">
        <v>0</v>
      </c>
      <c r="I22" s="131"/>
      <c r="J22" s="123"/>
      <c r="K22" s="130" t="s">
        <v>201</v>
      </c>
      <c r="L22" s="136">
        <v>420</v>
      </c>
      <c r="M22" s="153">
        <f>L22*1.15</f>
        <v>482.99999999999994</v>
      </c>
      <c r="N22" s="131"/>
    </row>
    <row r="23" spans="1:14" ht="18.75">
      <c r="A23" s="124" t="s">
        <v>201</v>
      </c>
      <c r="B23" s="136">
        <v>0</v>
      </c>
      <c r="C23" s="136">
        <v>0</v>
      </c>
      <c r="D23" s="131"/>
      <c r="E23" s="123"/>
      <c r="F23" s="130" t="s">
        <v>201</v>
      </c>
      <c r="G23" s="136">
        <v>0</v>
      </c>
      <c r="H23" s="136">
        <v>0</v>
      </c>
      <c r="I23" s="131"/>
      <c r="J23" s="123"/>
      <c r="K23" s="130"/>
      <c r="L23" s="136"/>
      <c r="M23" s="153"/>
      <c r="N23" s="131"/>
    </row>
    <row r="24" spans="1:14" ht="18.75">
      <c r="A24" s="124" t="s">
        <v>203</v>
      </c>
      <c r="B24" s="136">
        <v>0</v>
      </c>
      <c r="C24" s="137">
        <v>0</v>
      </c>
      <c r="D24" s="131"/>
      <c r="E24" s="123"/>
      <c r="F24" s="130" t="s">
        <v>203</v>
      </c>
      <c r="G24" s="136">
        <v>0</v>
      </c>
      <c r="H24" s="136">
        <v>0</v>
      </c>
      <c r="I24" s="131"/>
      <c r="J24" s="123"/>
      <c r="K24" s="130" t="s">
        <v>205</v>
      </c>
      <c r="L24" s="153">
        <v>1290</v>
      </c>
      <c r="M24" s="154">
        <f>L24*1.15</f>
        <v>1483.4999999999998</v>
      </c>
      <c r="N24" s="131"/>
    </row>
    <row r="25" spans="1:14" ht="18.75">
      <c r="A25" s="124" t="s">
        <v>205</v>
      </c>
      <c r="B25" s="136">
        <v>1609.55</v>
      </c>
      <c r="C25" s="343">
        <f t="shared" ref="C25" si="3">B25*1.15</f>
        <v>1850.9824999999998</v>
      </c>
      <c r="D25" s="131"/>
      <c r="E25" s="123"/>
      <c r="F25" s="138" t="s">
        <v>205</v>
      </c>
      <c r="G25" s="157">
        <v>2858.5</v>
      </c>
      <c r="H25" s="157">
        <f>G25*1.15</f>
        <v>3287.2749999999996</v>
      </c>
      <c r="I25" s="131"/>
      <c r="J25" s="123"/>
      <c r="K25" s="130" t="s">
        <v>206</v>
      </c>
      <c r="L25" s="139">
        <f>SUM(L21:L24)</f>
        <v>3480</v>
      </c>
      <c r="M25" s="155">
        <f>L25*1.15</f>
        <v>4001.9999999999995</v>
      </c>
      <c r="N25" s="131"/>
    </row>
    <row r="26" spans="1:14" ht="19.5" thickBot="1">
      <c r="A26" s="141" t="s">
        <v>206</v>
      </c>
      <c r="B26" s="142">
        <f>SUM(B23:B25)</f>
        <v>1609.55</v>
      </c>
      <c r="C26" s="344">
        <f>SUM(C22:C25)</f>
        <v>4000.9879999999994</v>
      </c>
      <c r="D26" s="156"/>
      <c r="E26" s="123"/>
      <c r="F26" s="130"/>
      <c r="G26" s="139"/>
      <c r="I26" s="131"/>
      <c r="J26" s="123"/>
      <c r="K26" s="130"/>
      <c r="L26" s="158"/>
      <c r="M26" s="123"/>
      <c r="N26" s="131"/>
    </row>
    <row r="27" spans="1:14" ht="18.75">
      <c r="A27" s="147"/>
      <c r="B27" s="147"/>
      <c r="C27" s="147"/>
      <c r="D27" s="147"/>
      <c r="E27" s="123"/>
      <c r="F27" s="148"/>
      <c r="G27" s="149"/>
      <c r="H27" s="150"/>
      <c r="I27" s="151"/>
      <c r="J27" s="123"/>
      <c r="K27" s="159" t="s">
        <v>572</v>
      </c>
      <c r="L27" s="160">
        <v>1770</v>
      </c>
      <c r="M27" s="161">
        <f>M21+M23</f>
        <v>2035.4999999999998</v>
      </c>
      <c r="N27" s="151"/>
    </row>
    <row r="28" spans="1:14" ht="18.75">
      <c r="A28" s="123"/>
      <c r="B28" s="158"/>
      <c r="C28" s="123"/>
      <c r="D28" s="123"/>
      <c r="E28" s="123"/>
      <c r="F28" s="123"/>
      <c r="G28" s="123"/>
      <c r="H28" s="123"/>
      <c r="I28" s="123"/>
      <c r="J28" s="123"/>
      <c r="K28" s="123"/>
      <c r="L28" s="123"/>
      <c r="M28" s="123"/>
      <c r="N28" s="123"/>
    </row>
    <row r="29" spans="1:14" ht="31.9" customHeight="1" thickBot="1">
      <c r="A29" s="612" t="s">
        <v>359</v>
      </c>
      <c r="B29" s="612"/>
      <c r="C29" s="612"/>
      <c r="D29" s="612"/>
      <c r="E29" s="123"/>
      <c r="F29" s="163" t="s">
        <v>416</v>
      </c>
      <c r="G29" s="163" t="s">
        <v>418</v>
      </c>
      <c r="H29" s="163"/>
      <c r="J29" s="123"/>
      <c r="K29" s="123"/>
      <c r="L29" s="123"/>
      <c r="M29" s="123"/>
      <c r="N29" s="123"/>
    </row>
    <row r="30" spans="1:14" ht="33.950000000000003" customHeight="1">
      <c r="A30" s="613" t="s">
        <v>215</v>
      </c>
      <c r="B30" s="613"/>
      <c r="C30" s="613"/>
      <c r="D30" s="613"/>
      <c r="E30" s="123"/>
      <c r="F30" s="123"/>
      <c r="G30" s="123"/>
      <c r="H30" s="123"/>
      <c r="J30" s="123"/>
      <c r="K30" s="614">
        <v>46029</v>
      </c>
      <c r="L30" s="609"/>
      <c r="M30" s="609"/>
      <c r="N30" s="609"/>
    </row>
    <row r="31" spans="1:14" ht="18.75" customHeight="1">
      <c r="A31" s="126"/>
      <c r="B31" s="127"/>
      <c r="C31" s="127"/>
      <c r="D31" s="128"/>
      <c r="E31" s="123"/>
      <c r="J31" s="123"/>
      <c r="K31" s="615" t="s">
        <v>573</v>
      </c>
      <c r="L31" s="615"/>
      <c r="M31" s="615"/>
      <c r="N31" s="615"/>
    </row>
    <row r="32" spans="1:14" ht="18.600000000000001" customHeight="1">
      <c r="A32" s="130" t="s">
        <v>187</v>
      </c>
      <c r="B32" s="123" t="s">
        <v>189</v>
      </c>
      <c r="C32" s="123"/>
      <c r="D32" s="131"/>
      <c r="E32" s="123" t="s">
        <v>373</v>
      </c>
      <c r="J32" s="123"/>
      <c r="K32" s="126"/>
      <c r="L32" s="127"/>
      <c r="M32" s="127"/>
      <c r="N32" s="128"/>
    </row>
    <row r="33" spans="1:18" ht="18.75" customHeight="1" thickBot="1">
      <c r="A33" s="130"/>
      <c r="B33" s="123"/>
      <c r="C33" s="123" t="s">
        <v>38</v>
      </c>
      <c r="D33" s="131"/>
      <c r="E33" s="123"/>
      <c r="F33" s="608" t="s">
        <v>417</v>
      </c>
      <c r="G33" s="608"/>
      <c r="H33" s="608"/>
      <c r="I33" s="608"/>
      <c r="J33" s="123"/>
      <c r="K33" s="130" t="s">
        <v>187</v>
      </c>
      <c r="L33" s="123" t="s">
        <v>190</v>
      </c>
      <c r="M33" s="123"/>
      <c r="N33" s="131"/>
    </row>
    <row r="34" spans="1:18" ht="18.75" customHeight="1">
      <c r="A34" s="134" t="s">
        <v>192</v>
      </c>
      <c r="B34" s="606" t="s">
        <v>196</v>
      </c>
      <c r="C34" s="606"/>
      <c r="D34" s="135"/>
      <c r="E34" s="123"/>
      <c r="F34" s="604" t="s">
        <v>389</v>
      </c>
      <c r="G34" s="604"/>
      <c r="H34" s="604"/>
      <c r="I34" s="604"/>
      <c r="J34" s="123"/>
      <c r="K34" s="134" t="s">
        <v>192</v>
      </c>
      <c r="L34" s="606" t="s">
        <v>574</v>
      </c>
      <c r="M34" s="606"/>
      <c r="N34" s="131"/>
    </row>
    <row r="35" spans="1:18" ht="18.75">
      <c r="A35" s="130"/>
      <c r="B35" s="129" t="s">
        <v>197</v>
      </c>
      <c r="C35" s="129" t="s">
        <v>198</v>
      </c>
      <c r="D35" s="131"/>
      <c r="E35" s="123"/>
      <c r="F35" s="126"/>
      <c r="G35" s="127"/>
      <c r="H35" s="127"/>
      <c r="I35" s="128"/>
      <c r="J35" s="123"/>
      <c r="K35" s="130"/>
      <c r="L35" s="129" t="s">
        <v>197</v>
      </c>
      <c r="M35" s="152" t="s">
        <v>198</v>
      </c>
      <c r="N35" s="135"/>
    </row>
    <row r="36" spans="1:18" ht="18.75">
      <c r="A36" s="130" t="s">
        <v>199</v>
      </c>
      <c r="B36" s="136">
        <v>0</v>
      </c>
      <c r="C36" s="136">
        <v>0</v>
      </c>
      <c r="D36" s="131"/>
      <c r="E36" s="123"/>
      <c r="F36" s="255" t="s">
        <v>187</v>
      </c>
      <c r="G36" s="249" t="s">
        <v>390</v>
      </c>
      <c r="H36" s="249"/>
      <c r="I36" s="131"/>
      <c r="J36" s="123"/>
      <c r="K36" s="130" t="s">
        <v>199</v>
      </c>
      <c r="L36" s="136">
        <v>1990</v>
      </c>
      <c r="M36" s="153">
        <f>L36*1.15</f>
        <v>2288.5</v>
      </c>
      <c r="N36" s="131"/>
    </row>
    <row r="37" spans="1:18" ht="18.75">
      <c r="A37" s="130" t="s">
        <v>201</v>
      </c>
      <c r="B37" s="136">
        <v>0</v>
      </c>
      <c r="C37" s="136">
        <v>0</v>
      </c>
      <c r="D37" s="131"/>
      <c r="E37" s="123"/>
      <c r="F37" s="130"/>
      <c r="G37" s="123"/>
      <c r="H37" s="123" t="s">
        <v>38</v>
      </c>
      <c r="I37" s="131"/>
      <c r="J37" s="123"/>
      <c r="K37" s="130" t="s">
        <v>201</v>
      </c>
      <c r="L37" s="136">
        <v>0</v>
      </c>
      <c r="M37" s="153">
        <f>L37*1.15</f>
        <v>0</v>
      </c>
      <c r="N37" s="131"/>
    </row>
    <row r="38" spans="1:18" ht="18.75">
      <c r="A38" s="130" t="s">
        <v>203</v>
      </c>
      <c r="B38" s="136">
        <v>0</v>
      </c>
      <c r="C38" s="136">
        <v>0</v>
      </c>
      <c r="D38" s="131"/>
      <c r="E38" s="123"/>
      <c r="F38" s="134"/>
      <c r="G38" s="1"/>
      <c r="H38" s="1"/>
      <c r="I38" s="135"/>
      <c r="J38" s="123"/>
      <c r="K38" s="130"/>
      <c r="L38" s="136"/>
      <c r="M38" s="153"/>
      <c r="N38" s="131"/>
    </row>
    <row r="39" spans="1:18" ht="18.75">
      <c r="A39" s="130" t="s">
        <v>205</v>
      </c>
      <c r="B39" s="137">
        <v>2120</v>
      </c>
      <c r="C39" s="162">
        <f>B39*1.15</f>
        <v>2438</v>
      </c>
      <c r="D39" s="131"/>
      <c r="E39" s="123"/>
      <c r="F39" s="130"/>
      <c r="G39" s="129" t="s">
        <v>197</v>
      </c>
      <c r="H39" s="129" t="s">
        <v>198</v>
      </c>
      <c r="I39" s="131"/>
      <c r="J39" s="123"/>
      <c r="K39" s="130" t="s">
        <v>205</v>
      </c>
      <c r="L39" s="153">
        <v>1490</v>
      </c>
      <c r="M39" s="154">
        <f>L39*1.15</f>
        <v>1713.4999999999998</v>
      </c>
      <c r="N39" s="131"/>
      <c r="R39" s="94"/>
    </row>
    <row r="40" spans="1:18" ht="18.75">
      <c r="A40" s="130" t="s">
        <v>206</v>
      </c>
      <c r="B40" s="139"/>
      <c r="C40" s="157"/>
      <c r="D40" s="131"/>
      <c r="E40" s="123"/>
      <c r="F40" s="130"/>
      <c r="G40" s="136"/>
      <c r="H40" s="136"/>
      <c r="I40" s="131"/>
      <c r="J40" s="123"/>
      <c r="K40" s="130" t="s">
        <v>206</v>
      </c>
      <c r="L40" s="139">
        <f>SUM(L36:L39)</f>
        <v>3480</v>
      </c>
      <c r="M40" s="155">
        <f>L40*1.15</f>
        <v>4001.9999999999995</v>
      </c>
      <c r="N40" s="131"/>
      <c r="R40" s="94"/>
    </row>
    <row r="41" spans="1:18" ht="18.75">
      <c r="A41" s="148"/>
      <c r="B41" s="149"/>
      <c r="C41" s="150"/>
      <c r="D41" s="151"/>
      <c r="E41" s="123"/>
      <c r="F41" s="130" t="s">
        <v>391</v>
      </c>
      <c r="G41" s="136">
        <v>3021</v>
      </c>
      <c r="H41" s="343">
        <f>G41*1.15</f>
        <v>3474.1499999999996</v>
      </c>
      <c r="I41" s="131"/>
      <c r="J41" s="123"/>
      <c r="K41" s="130"/>
      <c r="L41" s="158"/>
      <c r="M41" s="123"/>
      <c r="N41" s="131"/>
      <c r="R41" s="94"/>
    </row>
    <row r="42" spans="1:18" ht="18.75">
      <c r="E42" s="123"/>
      <c r="F42" s="130"/>
      <c r="G42" s="136"/>
      <c r="H42" s="136"/>
      <c r="I42" s="131"/>
      <c r="J42" s="123"/>
      <c r="K42" s="159" t="s">
        <v>572</v>
      </c>
      <c r="L42" s="160">
        <f>L36+L38</f>
        <v>1990</v>
      </c>
      <c r="M42" s="161">
        <f>M36+M38</f>
        <v>2288.5</v>
      </c>
      <c r="N42" s="151"/>
    </row>
    <row r="43" spans="1:18" ht="19.5" thickBot="1">
      <c r="A43" s="123"/>
      <c r="B43" s="123"/>
      <c r="C43" s="123"/>
      <c r="D43" s="123"/>
      <c r="E43" s="123"/>
      <c r="F43" s="138"/>
      <c r="G43" s="139"/>
      <c r="H43" s="139"/>
      <c r="I43" s="131"/>
      <c r="J43" s="123"/>
      <c r="K43" s="123"/>
      <c r="L43" s="123"/>
      <c r="M43" s="123"/>
      <c r="N43" s="123"/>
    </row>
    <row r="44" spans="1:18" ht="18.75">
      <c r="A44" s="123"/>
      <c r="B44" s="123"/>
      <c r="C44" s="123"/>
      <c r="D44" s="123"/>
      <c r="E44" s="123"/>
      <c r="F44" s="130"/>
      <c r="G44" s="139"/>
      <c r="I44" s="131"/>
      <c r="J44" s="123"/>
      <c r="K44" s="559" t="s">
        <v>575</v>
      </c>
      <c r="L44" s="560">
        <v>296.5</v>
      </c>
      <c r="M44" s="560">
        <f>L44*1.15</f>
        <v>340.97499999999997</v>
      </c>
      <c r="N44" s="472"/>
    </row>
    <row r="45" spans="1:18" ht="19.5" thickBot="1">
      <c r="F45" s="148"/>
      <c r="G45" s="149"/>
      <c r="H45" s="150"/>
      <c r="I45" s="151"/>
      <c r="K45" s="330"/>
      <c r="L45" s="473"/>
      <c r="M45" s="473"/>
      <c r="N45" s="331"/>
    </row>
    <row r="48" spans="1:18" ht="18.75">
      <c r="N48" s="249"/>
    </row>
    <row r="50" spans="6:11" ht="13.5" thickBot="1"/>
    <row r="51" spans="6:11" ht="21">
      <c r="F51" s="561"/>
      <c r="G51" s="562"/>
      <c r="H51" s="563"/>
    </row>
    <row r="52" spans="6:11" ht="21">
      <c r="F52" s="564"/>
      <c r="G52" s="565" t="s">
        <v>398</v>
      </c>
      <c r="H52" s="566"/>
      <c r="K52" s="362"/>
    </row>
    <row r="53" spans="6:11" ht="21">
      <c r="F53" s="564" t="s">
        <v>399</v>
      </c>
      <c r="G53" s="567">
        <v>2521.7399999999998</v>
      </c>
      <c r="H53" s="568">
        <f>G53*1.15</f>
        <v>2900.0009999999997</v>
      </c>
    </row>
    <row r="54" spans="6:11" ht="21.75" thickBot="1">
      <c r="F54" s="569" t="s">
        <v>400</v>
      </c>
      <c r="G54" s="570">
        <v>382.61</v>
      </c>
      <c r="H54" s="571">
        <f>G54*1.15</f>
        <v>440.00149999999996</v>
      </c>
    </row>
  </sheetData>
  <mergeCells count="24">
    <mergeCell ref="A29:D29"/>
    <mergeCell ref="A30:D30"/>
    <mergeCell ref="K30:N30"/>
    <mergeCell ref="K31:N31"/>
    <mergeCell ref="B34:C34"/>
    <mergeCell ref="L34:M34"/>
    <mergeCell ref="F33:I33"/>
    <mergeCell ref="F34:I34"/>
    <mergeCell ref="A16:D16"/>
    <mergeCell ref="F16:I16"/>
    <mergeCell ref="K16:N16"/>
    <mergeCell ref="L19:M19"/>
    <mergeCell ref="B20:C20"/>
    <mergeCell ref="B6:C6"/>
    <mergeCell ref="L6:M6"/>
    <mergeCell ref="A15:D15"/>
    <mergeCell ref="F15:I15"/>
    <mergeCell ref="K15:N15"/>
    <mergeCell ref="A1:D1"/>
    <mergeCell ref="F1:I1"/>
    <mergeCell ref="K1:N1"/>
    <mergeCell ref="A2:D2"/>
    <mergeCell ref="F2:I2"/>
    <mergeCell ref="K2:N2"/>
  </mergeCells>
  <pageMargins left="0.70866141732283472" right="0.70866141732283472" top="0.74803149606299213" bottom="0.74803149606299213" header="0.31496062992125984" footer="0.51181102362204722"/>
  <pageSetup paperSize="8" scale="60" firstPageNumber="0" orientation="landscape" r:id="rId1"/>
  <headerFooter>
    <oddHeader>&amp;L&amp;T&amp;C&amp;D&amp;F&amp;R&amp;D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8F59-EF2F-4F50-BF7D-F5E49E17BE7C}">
  <sheetPr>
    <tabColor theme="5"/>
  </sheetPr>
  <dimension ref="A1:R131"/>
  <sheetViews>
    <sheetView topLeftCell="A134" zoomScale="160" zoomScaleNormal="160" workbookViewId="0">
      <selection activeCell="E12" sqref="E12"/>
    </sheetView>
  </sheetViews>
  <sheetFormatPr defaultColWidth="9.42578125" defaultRowHeight="12.75" customHeight="1"/>
  <cols>
    <col min="1" max="1" width="21.85546875" style="474" bestFit="1" customWidth="1"/>
    <col min="2" max="2" width="14" style="475" customWidth="1"/>
    <col min="3" max="3" width="67.85546875" style="476" customWidth="1"/>
    <col min="4" max="4" width="19.85546875" style="476" customWidth="1"/>
    <col min="5" max="5" width="16.42578125" style="476" customWidth="1"/>
    <col min="6" max="6" width="15.7109375" style="476" customWidth="1"/>
    <col min="7" max="7" width="17.28515625" style="476" customWidth="1"/>
    <col min="8" max="8" width="15.28515625" style="476" customWidth="1"/>
    <col min="9" max="9" width="19.85546875" style="476" customWidth="1"/>
    <col min="10" max="10" width="9.85546875" style="476" customWidth="1"/>
    <col min="11" max="13" width="15.42578125" style="474" customWidth="1"/>
    <col min="14" max="14" width="18.5703125" style="474" customWidth="1"/>
    <col min="15" max="15" width="15.7109375" style="474" customWidth="1"/>
    <col min="16" max="16" width="14.7109375" style="474" hidden="1" customWidth="1"/>
    <col min="17" max="17" width="23.5703125" style="474" hidden="1" customWidth="1"/>
    <col min="18" max="16384" width="9.42578125" style="474"/>
  </cols>
  <sheetData>
    <row r="1" spans="1:17" ht="12.75" customHeight="1">
      <c r="C1" s="476" t="s">
        <v>576</v>
      </c>
      <c r="G1" s="474" t="s">
        <v>577</v>
      </c>
    </row>
    <row r="2" spans="1:17" ht="12.75" customHeight="1">
      <c r="E2" s="477">
        <f>E9*1.15</f>
        <v>4001.9999999999995</v>
      </c>
      <c r="F2" s="477"/>
      <c r="G2" s="474" t="s">
        <v>578</v>
      </c>
    </row>
    <row r="3" spans="1:17" ht="15.75" thickBot="1">
      <c r="D3" s="478"/>
      <c r="E3" s="478"/>
      <c r="F3" s="479"/>
      <c r="G3" s="478"/>
      <c r="H3" s="478"/>
      <c r="I3" s="478"/>
      <c r="J3" s="478"/>
    </row>
    <row r="4" spans="1:17" ht="19.7" customHeight="1" thickBot="1">
      <c r="B4" s="480" t="s">
        <v>579</v>
      </c>
      <c r="C4" s="481"/>
      <c r="D4" s="481"/>
      <c r="E4" s="481" t="s">
        <v>788</v>
      </c>
      <c r="F4" s="481"/>
      <c r="G4" s="481"/>
      <c r="H4" s="481"/>
      <c r="I4" s="481"/>
      <c r="J4" s="482"/>
      <c r="K4" s="483"/>
      <c r="L4" s="616"/>
      <c r="M4" s="617"/>
      <c r="N4" s="617"/>
      <c r="O4" s="484"/>
    </row>
    <row r="5" spans="1:17" ht="3" customHeight="1" thickBot="1">
      <c r="B5" s="474"/>
      <c r="C5" s="474"/>
      <c r="D5" s="474"/>
      <c r="E5" s="474"/>
      <c r="F5" s="474"/>
      <c r="G5" s="474"/>
      <c r="H5" s="474"/>
      <c r="I5" s="474"/>
      <c r="J5" s="485"/>
    </row>
    <row r="6" spans="1:17" ht="19.7" customHeight="1" thickBot="1">
      <c r="B6" s="486" t="s">
        <v>810</v>
      </c>
      <c r="C6" s="487"/>
      <c r="D6" s="487"/>
      <c r="E6" s="580" t="s">
        <v>808</v>
      </c>
      <c r="F6" s="487"/>
      <c r="G6" s="487"/>
      <c r="H6" s="487"/>
      <c r="I6" s="487"/>
      <c r="J6" s="488"/>
      <c r="K6" s="579" t="s">
        <v>809</v>
      </c>
      <c r="L6" s="616"/>
      <c r="M6" s="617"/>
      <c r="N6" s="617"/>
      <c r="O6" s="484"/>
    </row>
    <row r="7" spans="1:17" ht="5.25" customHeight="1">
      <c r="B7" s="474"/>
      <c r="C7" s="474"/>
      <c r="D7" s="474"/>
      <c r="E7" s="474"/>
      <c r="F7" s="474"/>
      <c r="G7" s="474"/>
      <c r="H7" s="474"/>
      <c r="I7" s="474"/>
      <c r="J7" s="485"/>
    </row>
    <row r="8" spans="1:17" ht="78.75">
      <c r="A8" s="581" t="s">
        <v>805</v>
      </c>
      <c r="B8" s="489" t="s">
        <v>581</v>
      </c>
      <c r="C8" s="490"/>
      <c r="D8" s="491" t="s">
        <v>582</v>
      </c>
      <c r="E8" s="491" t="s">
        <v>807</v>
      </c>
      <c r="F8" s="492" t="s">
        <v>583</v>
      </c>
      <c r="G8" s="492" t="s">
        <v>584</v>
      </c>
      <c r="H8" s="492" t="s">
        <v>585</v>
      </c>
      <c r="I8" s="492" t="s">
        <v>586</v>
      </c>
      <c r="J8" s="493"/>
      <c r="K8" s="492" t="s">
        <v>587</v>
      </c>
      <c r="L8" s="492" t="s">
        <v>583</v>
      </c>
      <c r="M8" s="492" t="s">
        <v>584</v>
      </c>
      <c r="N8" s="492" t="s">
        <v>585</v>
      </c>
      <c r="O8" s="494" t="s">
        <v>6</v>
      </c>
      <c r="P8" s="474" t="s">
        <v>588</v>
      </c>
      <c r="Q8" s="474" t="s">
        <v>580</v>
      </c>
    </row>
    <row r="9" spans="1:17" ht="15.75" customHeight="1">
      <c r="A9" s="474" t="s">
        <v>802</v>
      </c>
      <c r="B9" s="495" t="s">
        <v>590</v>
      </c>
      <c r="C9" s="495"/>
      <c r="D9" s="495" t="s">
        <v>591</v>
      </c>
      <c r="E9" s="586">
        <v>3480</v>
      </c>
      <c r="F9" s="496">
        <v>1770</v>
      </c>
      <c r="G9" s="496">
        <v>1290</v>
      </c>
      <c r="H9" s="496">
        <v>420</v>
      </c>
      <c r="I9" s="587">
        <f>F9+G9+H9</f>
        <v>3480</v>
      </c>
      <c r="J9" s="499"/>
      <c r="K9" s="500">
        <v>3480</v>
      </c>
      <c r="L9" s="501">
        <v>1770</v>
      </c>
      <c r="M9" s="502">
        <v>1290</v>
      </c>
      <c r="N9" s="503">
        <v>420</v>
      </c>
      <c r="O9" s="504">
        <f>SUM(L9:N9)</f>
        <v>3480</v>
      </c>
      <c r="P9" s="474" t="s">
        <v>592</v>
      </c>
      <c r="Q9" s="474" t="s">
        <v>589</v>
      </c>
    </row>
    <row r="10" spans="1:17" ht="15.75" customHeight="1">
      <c r="A10" s="474" t="s">
        <v>593</v>
      </c>
      <c r="B10" s="495" t="s">
        <v>594</v>
      </c>
      <c r="C10" s="505"/>
      <c r="D10" s="495" t="s">
        <v>591</v>
      </c>
      <c r="E10" s="586">
        <v>3480</v>
      </c>
      <c r="F10" s="496">
        <v>1990</v>
      </c>
      <c r="G10" s="496">
        <v>1490</v>
      </c>
      <c r="H10" s="496">
        <v>0</v>
      </c>
      <c r="I10" s="587">
        <f>F10+G10+H10</f>
        <v>3480</v>
      </c>
      <c r="J10" s="499"/>
      <c r="K10" s="500">
        <v>3480</v>
      </c>
      <c r="L10" s="506">
        <v>1990</v>
      </c>
      <c r="M10" s="506">
        <v>1490</v>
      </c>
      <c r="N10" s="573">
        <v>0</v>
      </c>
      <c r="O10" s="504">
        <f>SUM(L10:N10)</f>
        <v>3480</v>
      </c>
      <c r="P10" s="474" t="s">
        <v>592</v>
      </c>
      <c r="Q10" s="474" t="s">
        <v>593</v>
      </c>
    </row>
    <row r="11" spans="1:17" ht="15.75" customHeight="1">
      <c r="A11" s="578" t="s">
        <v>793</v>
      </c>
      <c r="B11" s="495" t="s">
        <v>794</v>
      </c>
      <c r="C11" s="505"/>
      <c r="D11" s="495" t="s">
        <v>591</v>
      </c>
      <c r="E11" s="586">
        <v>3480</v>
      </c>
      <c r="F11" s="496">
        <v>1990</v>
      </c>
      <c r="G11" s="496">
        <v>1490</v>
      </c>
      <c r="H11" s="496">
        <v>0</v>
      </c>
      <c r="I11" s="587">
        <f>F11+G11+H11</f>
        <v>3480</v>
      </c>
      <c r="J11" s="499"/>
      <c r="K11" s="500">
        <v>3480</v>
      </c>
      <c r="L11" s="506">
        <v>1990</v>
      </c>
      <c r="M11" s="506">
        <v>1490</v>
      </c>
      <c r="N11" s="573">
        <v>0</v>
      </c>
      <c r="O11" s="504">
        <f>SUM(L11:N11)</f>
        <v>3480</v>
      </c>
      <c r="P11" s="474" t="s">
        <v>592</v>
      </c>
      <c r="Q11" s="474" t="s">
        <v>793</v>
      </c>
    </row>
    <row r="12" spans="1:17" ht="15.75" customHeight="1">
      <c r="A12" s="578" t="s">
        <v>803</v>
      </c>
      <c r="B12" s="495" t="s">
        <v>804</v>
      </c>
      <c r="C12" s="495"/>
      <c r="D12" s="495" t="s">
        <v>591</v>
      </c>
      <c r="E12" s="586">
        <v>3480</v>
      </c>
      <c r="F12" s="496">
        <v>1770</v>
      </c>
      <c r="G12" s="496">
        <v>1290</v>
      </c>
      <c r="H12" s="496">
        <v>420</v>
      </c>
      <c r="I12" s="587">
        <f>F12+G12+H12</f>
        <v>3480</v>
      </c>
      <c r="J12" s="499"/>
      <c r="K12" s="500">
        <v>3480</v>
      </c>
      <c r="L12" s="501">
        <v>1770</v>
      </c>
      <c r="M12" s="502">
        <v>1290</v>
      </c>
      <c r="N12" s="503">
        <v>420</v>
      </c>
      <c r="O12" s="504">
        <f>SUM(L12:N12)</f>
        <v>3480</v>
      </c>
      <c r="P12" s="474" t="s">
        <v>592</v>
      </c>
      <c r="Q12" s="474" t="s">
        <v>803</v>
      </c>
    </row>
    <row r="13" spans="1:17" ht="15.75" customHeight="1">
      <c r="A13" s="578" t="s">
        <v>800</v>
      </c>
      <c r="B13" s="505" t="s">
        <v>796</v>
      </c>
      <c r="C13" s="505" t="s">
        <v>799</v>
      </c>
      <c r="D13" s="495" t="s">
        <v>591</v>
      </c>
      <c r="E13" s="586">
        <v>296.5</v>
      </c>
      <c r="F13" s="496">
        <v>296.5</v>
      </c>
      <c r="G13" s="496">
        <v>0</v>
      </c>
      <c r="H13" s="496">
        <v>0</v>
      </c>
      <c r="I13" s="587">
        <f t="shared" ref="I13:I14" si="0">F13+G13+H13</f>
        <v>296.5</v>
      </c>
      <c r="J13" s="499"/>
      <c r="K13" s="500">
        <v>296.5</v>
      </c>
      <c r="L13" s="506">
        <v>296.5</v>
      </c>
      <c r="M13" s="506">
        <v>0</v>
      </c>
      <c r="N13" s="582">
        <v>0</v>
      </c>
      <c r="O13" s="504">
        <v>296.5</v>
      </c>
      <c r="P13" s="578" t="s">
        <v>800</v>
      </c>
    </row>
    <row r="14" spans="1:17" ht="15.75" customHeight="1">
      <c r="A14" s="474" t="s">
        <v>801</v>
      </c>
      <c r="B14" s="505" t="s">
        <v>797</v>
      </c>
      <c r="C14" s="505" t="s">
        <v>798</v>
      </c>
      <c r="D14" s="495" t="s">
        <v>591</v>
      </c>
      <c r="E14" s="586">
        <v>296.5</v>
      </c>
      <c r="F14" s="496">
        <v>296.5</v>
      </c>
      <c r="G14" s="496">
        <v>0</v>
      </c>
      <c r="H14" s="496">
        <v>0</v>
      </c>
      <c r="I14" s="587">
        <f t="shared" si="0"/>
        <v>296.5</v>
      </c>
      <c r="J14" s="499"/>
      <c r="K14" s="500">
        <v>296.5</v>
      </c>
      <c r="L14" s="506">
        <v>295.60000000000002</v>
      </c>
      <c r="M14" s="506">
        <v>0</v>
      </c>
      <c r="N14" s="582">
        <v>0</v>
      </c>
      <c r="O14" s="504">
        <v>296.5</v>
      </c>
      <c r="P14" s="578" t="s">
        <v>801</v>
      </c>
    </row>
    <row r="15" spans="1:17" ht="15.95" customHeight="1">
      <c r="A15" s="474" t="s">
        <v>595</v>
      </c>
      <c r="B15" s="507" t="s">
        <v>596</v>
      </c>
      <c r="C15" s="507"/>
      <c r="D15" s="495" t="s">
        <v>591</v>
      </c>
      <c r="E15" s="586">
        <v>500</v>
      </c>
      <c r="F15" s="496">
        <v>0</v>
      </c>
      <c r="G15" s="496">
        <v>500</v>
      </c>
      <c r="H15" s="496">
        <v>0</v>
      </c>
      <c r="I15" s="587">
        <f t="shared" ref="I15:I78" si="1">F15+G15+H15</f>
        <v>500</v>
      </c>
      <c r="J15" s="499"/>
      <c r="K15" s="508">
        <v>0</v>
      </c>
      <c r="L15" s="509">
        <v>0</v>
      </c>
      <c r="M15" s="509">
        <v>500</v>
      </c>
      <c r="N15" s="510">
        <v>0</v>
      </c>
      <c r="O15" s="504">
        <f t="shared" ref="O15:O16" si="2">L15+M15+N15</f>
        <v>500</v>
      </c>
      <c r="P15" s="474" t="s">
        <v>592</v>
      </c>
      <c r="Q15" s="576" t="s">
        <v>595</v>
      </c>
    </row>
    <row r="16" spans="1:17" ht="15.95" customHeight="1">
      <c r="A16" s="474" t="s">
        <v>597</v>
      </c>
      <c r="B16" s="511" t="s">
        <v>598</v>
      </c>
      <c r="C16" s="511"/>
      <c r="D16" s="495" t="s">
        <v>591</v>
      </c>
      <c r="E16" s="586">
        <v>285</v>
      </c>
      <c r="F16" s="496">
        <v>200</v>
      </c>
      <c r="G16" s="496">
        <v>85</v>
      </c>
      <c r="H16" s="496">
        <v>0</v>
      </c>
      <c r="I16" s="587">
        <f t="shared" si="1"/>
        <v>285</v>
      </c>
      <c r="J16" s="499"/>
      <c r="K16" s="500">
        <v>300</v>
      </c>
      <c r="L16" s="512">
        <v>200</v>
      </c>
      <c r="M16" s="513">
        <v>100</v>
      </c>
      <c r="N16" s="510">
        <v>0</v>
      </c>
      <c r="O16" s="504">
        <f t="shared" si="2"/>
        <v>300</v>
      </c>
      <c r="P16" s="474" t="s">
        <v>592</v>
      </c>
      <c r="Q16" s="474" t="s">
        <v>597</v>
      </c>
    </row>
    <row r="17" spans="1:17" ht="15.95" customHeight="1">
      <c r="A17" s="474" t="s">
        <v>599</v>
      </c>
      <c r="B17" s="495" t="s">
        <v>600</v>
      </c>
      <c r="C17" s="495"/>
      <c r="D17" s="495" t="s">
        <v>601</v>
      </c>
      <c r="E17" s="588">
        <v>8910</v>
      </c>
      <c r="F17" s="589">
        <v>4500</v>
      </c>
      <c r="G17" s="589">
        <v>3510</v>
      </c>
      <c r="H17" s="589">
        <v>900</v>
      </c>
      <c r="I17" s="587">
        <f t="shared" si="1"/>
        <v>8910</v>
      </c>
      <c r="J17" s="499"/>
      <c r="K17" s="508">
        <v>9900</v>
      </c>
      <c r="L17" s="509">
        <v>4900</v>
      </c>
      <c r="M17" s="515">
        <v>4100</v>
      </c>
      <c r="N17" s="510">
        <v>900</v>
      </c>
      <c r="O17" s="504">
        <f>L17+M17+N17</f>
        <v>9900</v>
      </c>
      <c r="P17" s="474" t="s">
        <v>592</v>
      </c>
      <c r="Q17" s="474" t="s">
        <v>599</v>
      </c>
    </row>
    <row r="18" spans="1:17" ht="15.95" customHeight="1">
      <c r="A18" s="474" t="s">
        <v>602</v>
      </c>
      <c r="B18" s="516" t="s">
        <v>603</v>
      </c>
      <c r="C18" s="516"/>
      <c r="D18" s="516" t="s">
        <v>601</v>
      </c>
      <c r="E18" s="588">
        <v>8010</v>
      </c>
      <c r="F18" s="589">
        <v>4200</v>
      </c>
      <c r="G18" s="589">
        <v>2910</v>
      </c>
      <c r="H18" s="589">
        <v>900</v>
      </c>
      <c r="I18" s="587">
        <f t="shared" si="1"/>
        <v>8010</v>
      </c>
      <c r="J18" s="499"/>
      <c r="K18" s="500">
        <v>8900</v>
      </c>
      <c r="L18" s="517">
        <v>4700</v>
      </c>
      <c r="M18" s="518">
        <v>3300</v>
      </c>
      <c r="N18" s="503">
        <v>900</v>
      </c>
      <c r="O18" s="504">
        <f t="shared" ref="O18:O81" si="3">L18+M18+N18</f>
        <v>8900</v>
      </c>
      <c r="P18" s="474" t="s">
        <v>592</v>
      </c>
      <c r="Q18" s="474" t="s">
        <v>602</v>
      </c>
    </row>
    <row r="19" spans="1:17" ht="15.95" customHeight="1">
      <c r="A19" s="474" t="s">
        <v>604</v>
      </c>
      <c r="B19" s="516" t="s">
        <v>605</v>
      </c>
      <c r="C19" s="516"/>
      <c r="D19" s="516" t="s">
        <v>601</v>
      </c>
      <c r="E19" s="588">
        <v>4950</v>
      </c>
      <c r="F19" s="589">
        <v>2450</v>
      </c>
      <c r="G19" s="589">
        <v>1900</v>
      </c>
      <c r="H19" s="589">
        <v>600</v>
      </c>
      <c r="I19" s="587">
        <f t="shared" si="1"/>
        <v>4950</v>
      </c>
      <c r="J19" s="499"/>
      <c r="K19" s="500">
        <v>5500</v>
      </c>
      <c r="L19" s="517">
        <v>2700</v>
      </c>
      <c r="M19" s="518">
        <v>2200</v>
      </c>
      <c r="N19" s="510">
        <v>600</v>
      </c>
      <c r="O19" s="504">
        <f t="shared" si="3"/>
        <v>5500</v>
      </c>
      <c r="P19" s="474" t="s">
        <v>592</v>
      </c>
      <c r="Q19" s="474" t="s">
        <v>604</v>
      </c>
    </row>
    <row r="20" spans="1:17" ht="15.95" customHeight="1">
      <c r="A20" s="474" t="s">
        <v>606</v>
      </c>
      <c r="B20" s="519" t="s">
        <v>607</v>
      </c>
      <c r="C20" s="514"/>
      <c r="D20" s="516" t="s">
        <v>601</v>
      </c>
      <c r="E20" s="588">
        <v>4950</v>
      </c>
      <c r="F20" s="589">
        <v>2450</v>
      </c>
      <c r="G20" s="589">
        <v>1900</v>
      </c>
      <c r="H20" s="589">
        <v>600</v>
      </c>
      <c r="I20" s="587">
        <f t="shared" si="1"/>
        <v>4950</v>
      </c>
      <c r="J20" s="499"/>
      <c r="K20" s="500">
        <v>5500</v>
      </c>
      <c r="L20" s="517">
        <v>2700</v>
      </c>
      <c r="M20" s="518">
        <v>2200</v>
      </c>
      <c r="N20" s="510">
        <v>600</v>
      </c>
      <c r="O20" s="504">
        <f t="shared" si="3"/>
        <v>5500</v>
      </c>
      <c r="P20" s="474" t="s">
        <v>592</v>
      </c>
      <c r="Q20" s="474" t="s">
        <v>606</v>
      </c>
    </row>
    <row r="21" spans="1:17" ht="15.95" customHeight="1">
      <c r="A21" s="474" t="s">
        <v>608</v>
      </c>
      <c r="B21" s="516" t="s">
        <v>609</v>
      </c>
      <c r="C21" s="516"/>
      <c r="D21" s="516" t="s">
        <v>601</v>
      </c>
      <c r="E21" s="588">
        <v>5850</v>
      </c>
      <c r="F21" s="589">
        <v>3200</v>
      </c>
      <c r="G21" s="589">
        <v>1950</v>
      </c>
      <c r="H21" s="589">
        <v>700</v>
      </c>
      <c r="I21" s="587">
        <f t="shared" si="1"/>
        <v>5850</v>
      </c>
      <c r="J21" s="499"/>
      <c r="K21" s="500">
        <v>6500</v>
      </c>
      <c r="L21" s="517">
        <v>3500</v>
      </c>
      <c r="M21" s="518">
        <v>2300</v>
      </c>
      <c r="N21" s="510">
        <v>700</v>
      </c>
      <c r="O21" s="504">
        <f t="shared" si="3"/>
        <v>6500</v>
      </c>
      <c r="P21" s="474" t="s">
        <v>592</v>
      </c>
      <c r="Q21" s="474" t="s">
        <v>608</v>
      </c>
    </row>
    <row r="22" spans="1:17" ht="15.95" customHeight="1">
      <c r="A22" s="474" t="s">
        <v>610</v>
      </c>
      <c r="B22" s="520" t="s">
        <v>611</v>
      </c>
      <c r="C22" s="521"/>
      <c r="D22" s="516" t="s">
        <v>601</v>
      </c>
      <c r="E22" s="588">
        <v>5625</v>
      </c>
      <c r="F22" s="589">
        <v>2800</v>
      </c>
      <c r="G22" s="589">
        <v>2125</v>
      </c>
      <c r="H22" s="589">
        <v>700</v>
      </c>
      <c r="I22" s="587">
        <f t="shared" si="1"/>
        <v>5625</v>
      </c>
      <c r="J22" s="499"/>
      <c r="K22" s="500">
        <v>6250</v>
      </c>
      <c r="L22" s="517">
        <v>3150</v>
      </c>
      <c r="M22" s="518">
        <v>2400</v>
      </c>
      <c r="N22" s="510">
        <v>700</v>
      </c>
      <c r="O22" s="504">
        <f t="shared" si="3"/>
        <v>6250</v>
      </c>
      <c r="P22" s="474" t="s">
        <v>592</v>
      </c>
      <c r="Q22" s="474" t="s">
        <v>610</v>
      </c>
    </row>
    <row r="23" spans="1:17" ht="15.95" customHeight="1">
      <c r="A23" s="474" t="s">
        <v>612</v>
      </c>
      <c r="B23" s="522" t="s">
        <v>613</v>
      </c>
      <c r="C23" s="521"/>
      <c r="D23" s="516" t="s">
        <v>601</v>
      </c>
      <c r="E23" s="588">
        <v>9000</v>
      </c>
      <c r="F23" s="589">
        <v>4250</v>
      </c>
      <c r="G23" s="589">
        <v>3800</v>
      </c>
      <c r="H23" s="590">
        <v>950</v>
      </c>
      <c r="I23" s="587">
        <f t="shared" si="1"/>
        <v>9000</v>
      </c>
      <c r="J23" s="499"/>
      <c r="K23" s="500">
        <v>9800</v>
      </c>
      <c r="L23" s="523">
        <v>4600</v>
      </c>
      <c r="M23" s="524">
        <v>4200</v>
      </c>
      <c r="N23" s="503">
        <v>1000</v>
      </c>
      <c r="O23" s="504">
        <f t="shared" si="3"/>
        <v>9800</v>
      </c>
      <c r="P23" s="474" t="s">
        <v>592</v>
      </c>
      <c r="Q23" s="474" t="s">
        <v>612</v>
      </c>
    </row>
    <row r="24" spans="1:17" ht="15.95" customHeight="1">
      <c r="A24" s="474" t="s">
        <v>614</v>
      </c>
      <c r="B24" s="495" t="s">
        <v>615</v>
      </c>
      <c r="C24" s="495"/>
      <c r="D24" s="495" t="s">
        <v>616</v>
      </c>
      <c r="E24" s="586">
        <v>3150</v>
      </c>
      <c r="F24" s="496">
        <v>1550</v>
      </c>
      <c r="G24" s="496">
        <v>1100</v>
      </c>
      <c r="H24" s="496">
        <v>500</v>
      </c>
      <c r="I24" s="587">
        <f t="shared" si="1"/>
        <v>3150</v>
      </c>
      <c r="J24" s="499"/>
      <c r="K24" s="508">
        <v>3500</v>
      </c>
      <c r="L24" s="509">
        <v>1700</v>
      </c>
      <c r="M24" s="515">
        <v>1300</v>
      </c>
      <c r="N24" s="510">
        <v>500</v>
      </c>
      <c r="O24" s="504">
        <f t="shared" si="3"/>
        <v>3500</v>
      </c>
      <c r="P24" s="474" t="s">
        <v>592</v>
      </c>
      <c r="Q24" s="474" t="s">
        <v>614</v>
      </c>
    </row>
    <row r="25" spans="1:17" ht="15.95" customHeight="1">
      <c r="A25" s="474" t="s">
        <v>617</v>
      </c>
      <c r="B25" s="495" t="s">
        <v>618</v>
      </c>
      <c r="C25" s="495"/>
      <c r="D25" s="495" t="s">
        <v>619</v>
      </c>
      <c r="E25" s="586">
        <v>6900</v>
      </c>
      <c r="F25" s="496">
        <v>3350</v>
      </c>
      <c r="G25" s="496">
        <v>2650</v>
      </c>
      <c r="H25" s="496">
        <v>900</v>
      </c>
      <c r="I25" s="587">
        <f t="shared" si="1"/>
        <v>6900</v>
      </c>
      <c r="J25" s="499"/>
      <c r="K25" s="508">
        <v>7000</v>
      </c>
      <c r="L25" s="509">
        <v>3400</v>
      </c>
      <c r="M25" s="515">
        <v>2700</v>
      </c>
      <c r="N25" s="510">
        <v>900</v>
      </c>
      <c r="O25" s="504">
        <f t="shared" si="3"/>
        <v>7000</v>
      </c>
      <c r="P25" s="474" t="s">
        <v>592</v>
      </c>
      <c r="Q25" s="474" t="s">
        <v>617</v>
      </c>
    </row>
    <row r="26" spans="1:17" ht="15.95" customHeight="1">
      <c r="A26" s="474" t="s">
        <v>620</v>
      </c>
      <c r="B26" s="525" t="s">
        <v>621</v>
      </c>
      <c r="C26" s="526"/>
      <c r="D26" s="495" t="s">
        <v>619</v>
      </c>
      <c r="E26" s="586">
        <v>6900</v>
      </c>
      <c r="F26" s="496">
        <v>3350</v>
      </c>
      <c r="G26" s="496">
        <v>2750</v>
      </c>
      <c r="H26" s="496">
        <v>800</v>
      </c>
      <c r="I26" s="587">
        <f t="shared" si="1"/>
        <v>6900</v>
      </c>
      <c r="J26" s="499"/>
      <c r="K26" s="508">
        <v>7000</v>
      </c>
      <c r="L26" s="509">
        <v>3400</v>
      </c>
      <c r="M26" s="515">
        <v>2800</v>
      </c>
      <c r="N26" s="510">
        <v>800</v>
      </c>
      <c r="O26" s="504">
        <f t="shared" si="3"/>
        <v>7000</v>
      </c>
      <c r="P26" s="474" t="s">
        <v>592</v>
      </c>
      <c r="Q26" s="474" t="s">
        <v>620</v>
      </c>
    </row>
    <row r="27" spans="1:17" ht="15.95" customHeight="1">
      <c r="A27" s="474" t="s">
        <v>622</v>
      </c>
      <c r="B27" s="495" t="s">
        <v>623</v>
      </c>
      <c r="C27" s="495"/>
      <c r="D27" s="495" t="s">
        <v>619</v>
      </c>
      <c r="E27" s="586">
        <v>5940</v>
      </c>
      <c r="F27" s="496">
        <v>3040</v>
      </c>
      <c r="G27" s="496">
        <v>2200</v>
      </c>
      <c r="H27" s="496">
        <v>700</v>
      </c>
      <c r="I27" s="587">
        <f t="shared" si="1"/>
        <v>5940</v>
      </c>
      <c r="J27" s="499"/>
      <c r="K27" s="508">
        <v>6600</v>
      </c>
      <c r="L27" s="509">
        <v>3400</v>
      </c>
      <c r="M27" s="515">
        <v>2500</v>
      </c>
      <c r="N27" s="510">
        <v>700</v>
      </c>
      <c r="O27" s="504">
        <f t="shared" si="3"/>
        <v>6600</v>
      </c>
      <c r="P27" s="474" t="s">
        <v>592</v>
      </c>
      <c r="Q27" s="474" t="s">
        <v>622</v>
      </c>
    </row>
    <row r="28" spans="1:17" ht="15.95" customHeight="1">
      <c r="A28" s="474" t="s">
        <v>624</v>
      </c>
      <c r="B28" s="495" t="s">
        <v>625</v>
      </c>
      <c r="C28" s="495"/>
      <c r="D28" s="495" t="s">
        <v>626</v>
      </c>
      <c r="E28" s="586">
        <v>5940</v>
      </c>
      <c r="F28" s="496">
        <v>3040</v>
      </c>
      <c r="G28" s="496">
        <v>2100</v>
      </c>
      <c r="H28" s="496">
        <v>800</v>
      </c>
      <c r="I28" s="587">
        <f t="shared" si="1"/>
        <v>5940</v>
      </c>
      <c r="J28" s="499"/>
      <c r="K28" s="500">
        <v>6600</v>
      </c>
      <c r="L28" s="509">
        <v>3400</v>
      </c>
      <c r="M28" s="515">
        <v>2400</v>
      </c>
      <c r="N28" s="510">
        <v>800</v>
      </c>
      <c r="O28" s="504">
        <f t="shared" si="3"/>
        <v>6600</v>
      </c>
      <c r="P28" s="474" t="s">
        <v>592</v>
      </c>
      <c r="Q28" s="474" t="s">
        <v>624</v>
      </c>
    </row>
    <row r="29" spans="1:17" ht="15.95" customHeight="1">
      <c r="A29" s="474" t="s">
        <v>627</v>
      </c>
      <c r="B29" s="527" t="s">
        <v>628</v>
      </c>
      <c r="C29" s="528"/>
      <c r="D29" s="495" t="s">
        <v>626</v>
      </c>
      <c r="E29" s="586">
        <v>6030</v>
      </c>
      <c r="F29" s="496">
        <v>2900</v>
      </c>
      <c r="G29" s="496">
        <v>2430</v>
      </c>
      <c r="H29" s="496">
        <v>700</v>
      </c>
      <c r="I29" s="587">
        <f t="shared" si="1"/>
        <v>6030</v>
      </c>
      <c r="J29" s="499"/>
      <c r="K29" s="500">
        <v>6700</v>
      </c>
      <c r="L29" s="509">
        <v>3400</v>
      </c>
      <c r="M29" s="515">
        <v>2600</v>
      </c>
      <c r="N29" s="510">
        <v>700</v>
      </c>
      <c r="O29" s="504">
        <f t="shared" si="3"/>
        <v>6700</v>
      </c>
      <c r="P29" s="474" t="s">
        <v>592</v>
      </c>
      <c r="Q29" s="474" t="s">
        <v>627</v>
      </c>
    </row>
    <row r="30" spans="1:17" ht="15.95" customHeight="1">
      <c r="A30" s="474" t="s">
        <v>629</v>
      </c>
      <c r="B30" s="495" t="s">
        <v>630</v>
      </c>
      <c r="C30" s="495"/>
      <c r="D30" s="495" t="s">
        <v>631</v>
      </c>
      <c r="E30" s="586">
        <v>4950</v>
      </c>
      <c r="F30" s="589">
        <v>2350</v>
      </c>
      <c r="G30" s="589">
        <v>1800</v>
      </c>
      <c r="H30" s="589">
        <v>800</v>
      </c>
      <c r="I30" s="587">
        <f t="shared" si="1"/>
        <v>4950</v>
      </c>
      <c r="J30" s="499"/>
      <c r="K30" s="508">
        <v>5500</v>
      </c>
      <c r="L30" s="509">
        <v>2600</v>
      </c>
      <c r="M30" s="515">
        <v>2100</v>
      </c>
      <c r="N30" s="510">
        <v>800</v>
      </c>
      <c r="O30" s="504">
        <f t="shared" si="3"/>
        <v>5500</v>
      </c>
      <c r="P30" s="474" t="s">
        <v>592</v>
      </c>
      <c r="Q30" s="474" t="s">
        <v>629</v>
      </c>
    </row>
    <row r="31" spans="1:17" ht="15.95" customHeight="1">
      <c r="A31" s="474" t="s">
        <v>632</v>
      </c>
      <c r="B31" s="495" t="s">
        <v>633</v>
      </c>
      <c r="C31" s="495"/>
      <c r="D31" s="495" t="s">
        <v>631</v>
      </c>
      <c r="E31" s="586">
        <v>5184</v>
      </c>
      <c r="F31" s="496">
        <v>2450</v>
      </c>
      <c r="G31" s="496">
        <v>1934</v>
      </c>
      <c r="H31" s="496">
        <v>800</v>
      </c>
      <c r="I31" s="587">
        <f t="shared" si="1"/>
        <v>5184</v>
      </c>
      <c r="J31" s="499"/>
      <c r="K31" s="508">
        <v>5760</v>
      </c>
      <c r="L31" s="509">
        <v>2850</v>
      </c>
      <c r="M31" s="515">
        <v>2110</v>
      </c>
      <c r="N31" s="510">
        <v>800</v>
      </c>
      <c r="O31" s="504">
        <f t="shared" si="3"/>
        <v>5760</v>
      </c>
      <c r="P31" s="474" t="s">
        <v>592</v>
      </c>
      <c r="Q31" s="474" t="s">
        <v>632</v>
      </c>
    </row>
    <row r="32" spans="1:17" ht="15.95" customHeight="1">
      <c r="A32" s="474" t="s">
        <v>634</v>
      </c>
      <c r="B32" s="507" t="s">
        <v>635</v>
      </c>
      <c r="C32" s="507"/>
      <c r="D32" s="495" t="s">
        <v>631</v>
      </c>
      <c r="E32" s="586">
        <v>4950</v>
      </c>
      <c r="F32" s="589">
        <v>2400</v>
      </c>
      <c r="G32" s="589">
        <v>1800</v>
      </c>
      <c r="H32" s="590">
        <v>750</v>
      </c>
      <c r="I32" s="587">
        <f t="shared" si="1"/>
        <v>4950</v>
      </c>
      <c r="J32" s="499"/>
      <c r="K32" s="508">
        <v>5500</v>
      </c>
      <c r="L32" s="509">
        <v>2600</v>
      </c>
      <c r="M32" s="515">
        <v>2100</v>
      </c>
      <c r="N32" s="529">
        <v>800</v>
      </c>
      <c r="O32" s="504">
        <f t="shared" si="3"/>
        <v>5500</v>
      </c>
      <c r="P32" s="474" t="s">
        <v>592</v>
      </c>
      <c r="Q32" s="474" t="s">
        <v>634</v>
      </c>
    </row>
    <row r="33" spans="1:17" ht="15.95" customHeight="1">
      <c r="A33" s="474" t="s">
        <v>636</v>
      </c>
      <c r="B33" s="525" t="s">
        <v>637</v>
      </c>
      <c r="C33" s="526"/>
      <c r="D33" s="495" t="s">
        <v>631</v>
      </c>
      <c r="E33" s="586">
        <v>5940</v>
      </c>
      <c r="F33" s="496">
        <v>3000</v>
      </c>
      <c r="G33" s="496">
        <v>2140</v>
      </c>
      <c r="H33" s="496">
        <v>800</v>
      </c>
      <c r="I33" s="587">
        <f t="shared" si="1"/>
        <v>5940</v>
      </c>
      <c r="J33" s="499"/>
      <c r="K33" s="508">
        <v>6600</v>
      </c>
      <c r="L33" s="509">
        <v>3200</v>
      </c>
      <c r="M33" s="515">
        <v>2600</v>
      </c>
      <c r="N33" s="510">
        <v>800</v>
      </c>
      <c r="O33" s="504">
        <f t="shared" si="3"/>
        <v>6600</v>
      </c>
      <c r="P33" s="474" t="s">
        <v>592</v>
      </c>
      <c r="Q33" s="474" t="s">
        <v>636</v>
      </c>
    </row>
    <row r="34" spans="1:17" ht="15.95" customHeight="1">
      <c r="A34" s="474" t="s">
        <v>638</v>
      </c>
      <c r="B34" s="507" t="s">
        <v>639</v>
      </c>
      <c r="C34" s="507"/>
      <c r="D34" s="495" t="s">
        <v>631</v>
      </c>
      <c r="E34" s="586">
        <v>5940</v>
      </c>
      <c r="F34" s="496">
        <v>3000</v>
      </c>
      <c r="G34" s="496">
        <v>2140</v>
      </c>
      <c r="H34" s="496">
        <v>800</v>
      </c>
      <c r="I34" s="587">
        <f t="shared" si="1"/>
        <v>5940</v>
      </c>
      <c r="J34" s="499"/>
      <c r="K34" s="508">
        <v>6600</v>
      </c>
      <c r="L34" s="509">
        <v>3200</v>
      </c>
      <c r="M34" s="515">
        <v>2600</v>
      </c>
      <c r="N34" s="510">
        <v>800</v>
      </c>
      <c r="O34" s="504">
        <f t="shared" si="3"/>
        <v>6600</v>
      </c>
      <c r="P34" s="474" t="s">
        <v>592</v>
      </c>
      <c r="Q34" s="474" t="s">
        <v>638</v>
      </c>
    </row>
    <row r="35" spans="1:17" ht="15.95" customHeight="1">
      <c r="A35" s="474" t="s">
        <v>640</v>
      </c>
      <c r="B35" s="495" t="s">
        <v>641</v>
      </c>
      <c r="C35" s="495"/>
      <c r="D35" s="495" t="s">
        <v>631</v>
      </c>
      <c r="E35" s="586">
        <v>3150</v>
      </c>
      <c r="F35" s="496">
        <v>1500</v>
      </c>
      <c r="G35" s="496">
        <v>1150</v>
      </c>
      <c r="H35" s="496">
        <v>500</v>
      </c>
      <c r="I35" s="587">
        <f t="shared" si="1"/>
        <v>3150</v>
      </c>
      <c r="J35" s="499"/>
      <c r="K35" s="508">
        <v>3500</v>
      </c>
      <c r="L35" s="509">
        <v>1600</v>
      </c>
      <c r="M35" s="515">
        <v>1400</v>
      </c>
      <c r="N35" s="510">
        <v>500</v>
      </c>
      <c r="O35" s="504">
        <f t="shared" si="3"/>
        <v>3500</v>
      </c>
      <c r="P35" s="474" t="s">
        <v>592</v>
      </c>
      <c r="Q35" s="474" t="s">
        <v>640</v>
      </c>
    </row>
    <row r="36" spans="1:17" ht="15.95" customHeight="1">
      <c r="A36" s="474" t="s">
        <v>642</v>
      </c>
      <c r="B36" s="495" t="s">
        <v>643</v>
      </c>
      <c r="D36" s="495" t="s">
        <v>631</v>
      </c>
      <c r="E36" s="586">
        <v>4950</v>
      </c>
      <c r="F36" s="589">
        <v>2400</v>
      </c>
      <c r="G36" s="589">
        <v>1750</v>
      </c>
      <c r="H36" s="589">
        <v>800</v>
      </c>
      <c r="I36" s="587">
        <f t="shared" si="1"/>
        <v>4950</v>
      </c>
      <c r="J36" s="499"/>
      <c r="K36" s="508">
        <v>5500</v>
      </c>
      <c r="L36" s="509">
        <v>2600</v>
      </c>
      <c r="M36" s="515">
        <v>2100</v>
      </c>
      <c r="N36" s="510">
        <v>800</v>
      </c>
      <c r="O36" s="504">
        <f t="shared" si="3"/>
        <v>5500</v>
      </c>
      <c r="P36" s="474" t="s">
        <v>592</v>
      </c>
      <c r="Q36" s="474" t="s">
        <v>642</v>
      </c>
    </row>
    <row r="37" spans="1:17" ht="15.95" customHeight="1">
      <c r="A37" s="474" t="s">
        <v>644</v>
      </c>
      <c r="B37" s="495" t="s">
        <v>645</v>
      </c>
      <c r="C37" s="495"/>
      <c r="D37" s="495" t="s">
        <v>631</v>
      </c>
      <c r="E37" s="586">
        <v>4950</v>
      </c>
      <c r="F37" s="589">
        <v>2400</v>
      </c>
      <c r="G37" s="589">
        <v>1750</v>
      </c>
      <c r="H37" s="589">
        <v>800</v>
      </c>
      <c r="I37" s="587">
        <f t="shared" si="1"/>
        <v>4950</v>
      </c>
      <c r="J37" s="499"/>
      <c r="K37" s="508">
        <v>5500</v>
      </c>
      <c r="L37" s="509">
        <v>2600</v>
      </c>
      <c r="M37" s="515">
        <v>2100</v>
      </c>
      <c r="N37" s="510">
        <v>800</v>
      </c>
      <c r="O37" s="504">
        <f t="shared" si="3"/>
        <v>5500</v>
      </c>
      <c r="P37" s="474" t="s">
        <v>592</v>
      </c>
      <c r="Q37" s="474" t="s">
        <v>644</v>
      </c>
    </row>
    <row r="38" spans="1:17" ht="15.95" customHeight="1">
      <c r="A38" s="474" t="s">
        <v>646</v>
      </c>
      <c r="B38" s="507" t="s">
        <v>647</v>
      </c>
      <c r="C38" s="507"/>
      <c r="D38" s="495" t="s">
        <v>631</v>
      </c>
      <c r="E38" s="586">
        <v>4950</v>
      </c>
      <c r="F38" s="589">
        <v>2400</v>
      </c>
      <c r="G38" s="589">
        <v>1850</v>
      </c>
      <c r="H38" s="589">
        <v>700</v>
      </c>
      <c r="I38" s="587">
        <f t="shared" si="1"/>
        <v>4950</v>
      </c>
      <c r="J38" s="499"/>
      <c r="K38" s="508">
        <v>5500</v>
      </c>
      <c r="L38" s="509">
        <v>2600</v>
      </c>
      <c r="M38" s="515">
        <v>2200</v>
      </c>
      <c r="N38" s="529">
        <v>700</v>
      </c>
      <c r="O38" s="504">
        <f t="shared" si="3"/>
        <v>5500</v>
      </c>
      <c r="P38" s="474" t="s">
        <v>592</v>
      </c>
      <c r="Q38" s="474" t="s">
        <v>646</v>
      </c>
    </row>
    <row r="39" spans="1:17" ht="15.95" customHeight="1">
      <c r="A39" s="474" t="s">
        <v>648</v>
      </c>
      <c r="B39" s="495" t="s">
        <v>649</v>
      </c>
      <c r="C39" s="495"/>
      <c r="D39" s="495" t="s">
        <v>631</v>
      </c>
      <c r="E39" s="586">
        <v>5184</v>
      </c>
      <c r="F39" s="496">
        <v>2400</v>
      </c>
      <c r="G39" s="496">
        <v>1984</v>
      </c>
      <c r="H39" s="496">
        <v>800</v>
      </c>
      <c r="I39" s="587">
        <f t="shared" si="1"/>
        <v>5184</v>
      </c>
      <c r="J39" s="499"/>
      <c r="K39" s="508">
        <v>5760</v>
      </c>
      <c r="L39" s="509">
        <v>2850</v>
      </c>
      <c r="M39" s="515">
        <v>2110</v>
      </c>
      <c r="N39" s="510">
        <v>800</v>
      </c>
      <c r="O39" s="504">
        <f t="shared" si="3"/>
        <v>5760</v>
      </c>
      <c r="P39" s="474" t="s">
        <v>592</v>
      </c>
      <c r="Q39" s="474" t="s">
        <v>648</v>
      </c>
    </row>
    <row r="40" spans="1:17" ht="15.95" customHeight="1">
      <c r="A40" s="474" t="s">
        <v>650</v>
      </c>
      <c r="B40" s="495" t="s">
        <v>651</v>
      </c>
      <c r="C40" s="495"/>
      <c r="D40" s="495" t="s">
        <v>631</v>
      </c>
      <c r="E40" s="586">
        <v>4950</v>
      </c>
      <c r="F40" s="589">
        <v>2400</v>
      </c>
      <c r="G40" s="589">
        <v>1800</v>
      </c>
      <c r="H40" s="590">
        <v>750</v>
      </c>
      <c r="I40" s="587">
        <f t="shared" si="1"/>
        <v>4950</v>
      </c>
      <c r="J40" s="499"/>
      <c r="K40" s="508">
        <v>5500</v>
      </c>
      <c r="L40" s="509">
        <v>2600</v>
      </c>
      <c r="M40" s="515">
        <v>2100</v>
      </c>
      <c r="N40" s="529">
        <v>800</v>
      </c>
      <c r="O40" s="504">
        <f t="shared" si="3"/>
        <v>5500</v>
      </c>
      <c r="P40" s="474" t="s">
        <v>592</v>
      </c>
      <c r="Q40" s="474" t="s">
        <v>650</v>
      </c>
    </row>
    <row r="41" spans="1:17" ht="15.95" customHeight="1">
      <c r="A41" s="474" t="s">
        <v>652</v>
      </c>
      <c r="B41" s="495" t="s">
        <v>653</v>
      </c>
      <c r="C41" s="495"/>
      <c r="D41" s="495" t="s">
        <v>631</v>
      </c>
      <c r="E41" s="586">
        <v>5184</v>
      </c>
      <c r="F41" s="496">
        <v>2400</v>
      </c>
      <c r="G41" s="496">
        <v>1984</v>
      </c>
      <c r="H41" s="496">
        <v>800</v>
      </c>
      <c r="I41" s="587">
        <f t="shared" si="1"/>
        <v>5184</v>
      </c>
      <c r="J41" s="499"/>
      <c r="K41" s="508">
        <v>5760</v>
      </c>
      <c r="L41" s="509">
        <v>2850</v>
      </c>
      <c r="M41" s="515">
        <v>2110</v>
      </c>
      <c r="N41" s="510">
        <v>800</v>
      </c>
      <c r="O41" s="504">
        <f t="shared" si="3"/>
        <v>5760</v>
      </c>
      <c r="P41" s="474" t="s">
        <v>592</v>
      </c>
      <c r="Q41" s="474" t="s">
        <v>652</v>
      </c>
    </row>
    <row r="42" spans="1:17" ht="15.95" customHeight="1">
      <c r="A42" s="474" t="s">
        <v>654</v>
      </c>
      <c r="B42" s="495" t="s">
        <v>655</v>
      </c>
      <c r="C42" s="495"/>
      <c r="D42" s="495" t="s">
        <v>631</v>
      </c>
      <c r="E42" s="586">
        <v>4950</v>
      </c>
      <c r="F42" s="589">
        <v>2400</v>
      </c>
      <c r="G42" s="589">
        <v>1800</v>
      </c>
      <c r="H42" s="590">
        <v>750</v>
      </c>
      <c r="I42" s="587">
        <f t="shared" si="1"/>
        <v>4950</v>
      </c>
      <c r="J42" s="499"/>
      <c r="K42" s="508">
        <v>5500</v>
      </c>
      <c r="L42" s="509">
        <v>2600</v>
      </c>
      <c r="M42" s="515">
        <v>2100</v>
      </c>
      <c r="N42" s="510">
        <v>800</v>
      </c>
      <c r="O42" s="504">
        <f t="shared" si="3"/>
        <v>5500</v>
      </c>
      <c r="P42" s="474" t="s">
        <v>592</v>
      </c>
      <c r="Q42" s="474" t="s">
        <v>654</v>
      </c>
    </row>
    <row r="43" spans="1:17" ht="15.95" customHeight="1">
      <c r="A43" s="474" t="s">
        <v>656</v>
      </c>
      <c r="B43" s="495" t="s">
        <v>657</v>
      </c>
      <c r="C43" s="495"/>
      <c r="D43" s="495" t="s">
        <v>631</v>
      </c>
      <c r="E43" s="586">
        <v>4950</v>
      </c>
      <c r="F43" s="589">
        <v>2400</v>
      </c>
      <c r="G43" s="589">
        <v>1800</v>
      </c>
      <c r="H43" s="590">
        <v>750</v>
      </c>
      <c r="I43" s="587">
        <f t="shared" si="1"/>
        <v>4950</v>
      </c>
      <c r="J43" s="499"/>
      <c r="K43" s="508">
        <v>5500</v>
      </c>
      <c r="L43" s="509">
        <v>2600</v>
      </c>
      <c r="M43" s="515">
        <v>2100</v>
      </c>
      <c r="N43" s="510">
        <v>800</v>
      </c>
      <c r="O43" s="504">
        <f t="shared" si="3"/>
        <v>5500</v>
      </c>
      <c r="P43" s="474" t="s">
        <v>592</v>
      </c>
      <c r="Q43" s="474" t="s">
        <v>656</v>
      </c>
    </row>
    <row r="44" spans="1:17" ht="15.95" customHeight="1">
      <c r="A44" s="474" t="s">
        <v>658</v>
      </c>
      <c r="B44" s="495" t="s">
        <v>659</v>
      </c>
      <c r="C44" s="495"/>
      <c r="D44" s="495" t="s">
        <v>631</v>
      </c>
      <c r="E44" s="586">
        <v>3150</v>
      </c>
      <c r="F44" s="496">
        <v>1550</v>
      </c>
      <c r="G44" s="496">
        <v>1120</v>
      </c>
      <c r="H44" s="590">
        <v>480</v>
      </c>
      <c r="I44" s="587">
        <f t="shared" si="1"/>
        <v>3150</v>
      </c>
      <c r="J44" s="499"/>
      <c r="K44" s="508">
        <v>3500</v>
      </c>
      <c r="L44" s="509">
        <v>1600</v>
      </c>
      <c r="M44" s="515">
        <v>1400</v>
      </c>
      <c r="N44" s="510">
        <v>500</v>
      </c>
      <c r="O44" s="504">
        <f t="shared" si="3"/>
        <v>3500</v>
      </c>
      <c r="P44" s="474" t="s">
        <v>592</v>
      </c>
      <c r="Q44" s="474" t="s">
        <v>658</v>
      </c>
    </row>
    <row r="45" spans="1:17" ht="15.95" customHeight="1">
      <c r="A45" s="474" t="s">
        <v>660</v>
      </c>
      <c r="B45" s="495" t="s">
        <v>661</v>
      </c>
      <c r="C45" s="495"/>
      <c r="D45" s="495" t="s">
        <v>631</v>
      </c>
      <c r="E45" s="586">
        <v>4950</v>
      </c>
      <c r="F45" s="589">
        <v>2400</v>
      </c>
      <c r="G45" s="589">
        <v>1950</v>
      </c>
      <c r="H45" s="589">
        <v>600</v>
      </c>
      <c r="I45" s="587">
        <f t="shared" si="1"/>
        <v>4950</v>
      </c>
      <c r="J45" s="499"/>
      <c r="K45" s="508">
        <v>5500</v>
      </c>
      <c r="L45" s="509">
        <v>2850</v>
      </c>
      <c r="M45" s="515">
        <v>2050</v>
      </c>
      <c r="N45" s="510">
        <v>600</v>
      </c>
      <c r="O45" s="504">
        <f t="shared" si="3"/>
        <v>5500</v>
      </c>
      <c r="P45" s="474" t="s">
        <v>592</v>
      </c>
      <c r="Q45" s="474" t="s">
        <v>660</v>
      </c>
    </row>
    <row r="46" spans="1:17" ht="15.95" customHeight="1">
      <c r="A46" s="474" t="s">
        <v>662</v>
      </c>
      <c r="B46" s="495" t="s">
        <v>663</v>
      </c>
      <c r="C46" s="495"/>
      <c r="D46" s="495" t="s">
        <v>631</v>
      </c>
      <c r="E46" s="586">
        <v>4500</v>
      </c>
      <c r="F46" s="496">
        <v>2000</v>
      </c>
      <c r="G46" s="496">
        <v>1900</v>
      </c>
      <c r="H46" s="496">
        <v>600</v>
      </c>
      <c r="I46" s="587">
        <f t="shared" si="1"/>
        <v>4500</v>
      </c>
      <c r="J46" s="499"/>
      <c r="K46" s="508">
        <v>5000</v>
      </c>
      <c r="L46" s="509">
        <v>2300</v>
      </c>
      <c r="M46" s="515">
        <v>2000</v>
      </c>
      <c r="N46" s="510">
        <v>700</v>
      </c>
      <c r="O46" s="504">
        <f t="shared" si="3"/>
        <v>5000</v>
      </c>
      <c r="P46" s="474" t="s">
        <v>592</v>
      </c>
      <c r="Q46" s="474" t="s">
        <v>662</v>
      </c>
    </row>
    <row r="47" spans="1:17" ht="15.95" customHeight="1">
      <c r="A47" s="474" t="s">
        <v>664</v>
      </c>
      <c r="B47" s="495" t="s">
        <v>665</v>
      </c>
      <c r="C47" s="495"/>
      <c r="D47" s="495" t="s">
        <v>631</v>
      </c>
      <c r="E47" s="586">
        <v>9000</v>
      </c>
      <c r="F47" s="589">
        <v>4200</v>
      </c>
      <c r="G47" s="589">
        <v>3850</v>
      </c>
      <c r="H47" s="590">
        <v>950</v>
      </c>
      <c r="I47" s="587">
        <f t="shared" si="1"/>
        <v>9000</v>
      </c>
      <c r="J47" s="499"/>
      <c r="K47" s="500">
        <v>9800</v>
      </c>
      <c r="L47" s="509">
        <v>4600</v>
      </c>
      <c r="M47" s="515">
        <v>4200</v>
      </c>
      <c r="N47" s="510">
        <v>1000</v>
      </c>
      <c r="O47" s="504">
        <f t="shared" si="3"/>
        <v>9800</v>
      </c>
      <c r="P47" s="530" t="s">
        <v>592</v>
      </c>
      <c r="Q47" s="474" t="s">
        <v>664</v>
      </c>
    </row>
    <row r="48" spans="1:17" ht="15.95" customHeight="1">
      <c r="A48" s="474" t="s">
        <v>666</v>
      </c>
      <c r="B48" s="618" t="s">
        <v>667</v>
      </c>
      <c r="C48" s="619"/>
      <c r="D48" s="495" t="s">
        <v>631</v>
      </c>
      <c r="E48" s="586">
        <v>8100</v>
      </c>
      <c r="F48" s="496">
        <v>4200</v>
      </c>
      <c r="G48" s="496">
        <v>2900</v>
      </c>
      <c r="H48" s="496">
        <v>1000</v>
      </c>
      <c r="I48" s="587">
        <f t="shared" si="1"/>
        <v>8100</v>
      </c>
      <c r="J48" s="499"/>
      <c r="K48" s="508">
        <v>9000</v>
      </c>
      <c r="L48" s="509">
        <v>4600</v>
      </c>
      <c r="M48" s="515">
        <v>3400</v>
      </c>
      <c r="N48" s="510">
        <v>1000</v>
      </c>
      <c r="O48" s="504">
        <f t="shared" si="3"/>
        <v>9000</v>
      </c>
      <c r="P48" s="474" t="s">
        <v>592</v>
      </c>
      <c r="Q48" s="474" t="s">
        <v>666</v>
      </c>
    </row>
    <row r="49" spans="1:18" ht="15.95" customHeight="1">
      <c r="A49" s="474" t="s">
        <v>668</v>
      </c>
      <c r="B49" s="531" t="s">
        <v>669</v>
      </c>
      <c r="C49" s="496"/>
      <c r="D49" s="495" t="s">
        <v>631</v>
      </c>
      <c r="E49" s="586">
        <v>4950</v>
      </c>
      <c r="F49" s="589">
        <v>2400</v>
      </c>
      <c r="G49" s="589">
        <v>1800</v>
      </c>
      <c r="H49" s="590">
        <v>750</v>
      </c>
      <c r="I49" s="587">
        <f t="shared" si="1"/>
        <v>4950</v>
      </c>
      <c r="J49" s="499"/>
      <c r="K49" s="508">
        <v>5500</v>
      </c>
      <c r="L49" s="509">
        <v>2600</v>
      </c>
      <c r="M49" s="515">
        <v>2100</v>
      </c>
      <c r="N49" s="510">
        <v>800</v>
      </c>
      <c r="O49" s="504">
        <f t="shared" si="3"/>
        <v>5500</v>
      </c>
      <c r="P49" s="474" t="s">
        <v>592</v>
      </c>
      <c r="Q49" s="474" t="s">
        <v>668</v>
      </c>
    </row>
    <row r="50" spans="1:18" ht="15.95" customHeight="1">
      <c r="A50" s="474" t="s">
        <v>670</v>
      </c>
      <c r="B50" s="575" t="s">
        <v>671</v>
      </c>
      <c r="C50" s="497"/>
      <c r="D50" s="495" t="s">
        <v>631</v>
      </c>
      <c r="E50" s="586">
        <v>620</v>
      </c>
      <c r="F50" s="496">
        <v>300</v>
      </c>
      <c r="G50" s="496">
        <v>320</v>
      </c>
      <c r="H50" s="496">
        <v>0</v>
      </c>
      <c r="I50" s="587">
        <f t="shared" si="1"/>
        <v>620</v>
      </c>
      <c r="J50" s="499"/>
      <c r="K50" s="508">
        <v>650</v>
      </c>
      <c r="L50" s="509">
        <v>300</v>
      </c>
      <c r="M50" s="515">
        <v>350</v>
      </c>
      <c r="N50" s="510">
        <v>0</v>
      </c>
      <c r="O50" s="504">
        <f t="shared" si="3"/>
        <v>650</v>
      </c>
      <c r="P50" s="474" t="s">
        <v>592</v>
      </c>
      <c r="Q50" s="474" t="s">
        <v>670</v>
      </c>
      <c r="R50" s="576" t="s">
        <v>789</v>
      </c>
    </row>
    <row r="51" spans="1:18" ht="15.95" customHeight="1">
      <c r="A51" s="474" t="s">
        <v>672</v>
      </c>
      <c r="B51" s="495" t="s">
        <v>673</v>
      </c>
      <c r="C51" s="495"/>
      <c r="D51" s="495" t="s">
        <v>631</v>
      </c>
      <c r="E51" s="586">
        <v>5700</v>
      </c>
      <c r="F51" s="496">
        <v>2760</v>
      </c>
      <c r="G51" s="496">
        <v>2140</v>
      </c>
      <c r="H51" s="496">
        <v>800</v>
      </c>
      <c r="I51" s="587">
        <f t="shared" si="1"/>
        <v>5700</v>
      </c>
      <c r="J51" s="499"/>
      <c r="K51" s="508">
        <v>5760</v>
      </c>
      <c r="L51" s="509">
        <v>2800</v>
      </c>
      <c r="M51" s="515">
        <v>2160</v>
      </c>
      <c r="N51" s="510">
        <v>800</v>
      </c>
      <c r="O51" s="504">
        <f t="shared" si="3"/>
        <v>5760</v>
      </c>
      <c r="P51" s="474" t="s">
        <v>592</v>
      </c>
      <c r="Q51" s="474" t="s">
        <v>672</v>
      </c>
    </row>
    <row r="52" spans="1:18" ht="15.95" customHeight="1">
      <c r="A52" s="474" t="s">
        <v>674</v>
      </c>
      <c r="B52" s="577" t="s">
        <v>675</v>
      </c>
      <c r="C52" s="577"/>
      <c r="D52" s="495" t="s">
        <v>631</v>
      </c>
      <c r="E52" s="586">
        <v>620</v>
      </c>
      <c r="F52" s="496">
        <v>300</v>
      </c>
      <c r="G52" s="496">
        <v>320</v>
      </c>
      <c r="H52" s="496">
        <v>0</v>
      </c>
      <c r="I52" s="587">
        <f t="shared" si="1"/>
        <v>620</v>
      </c>
      <c r="J52" s="499"/>
      <c r="K52" s="508">
        <v>650</v>
      </c>
      <c r="L52" s="509">
        <v>300</v>
      </c>
      <c r="M52" s="515">
        <v>350</v>
      </c>
      <c r="N52" s="510">
        <v>0</v>
      </c>
      <c r="O52" s="504">
        <f t="shared" si="3"/>
        <v>650</v>
      </c>
      <c r="P52" s="474" t="s">
        <v>592</v>
      </c>
      <c r="Q52" s="474" t="s">
        <v>674</v>
      </c>
      <c r="R52" s="576" t="s">
        <v>789</v>
      </c>
    </row>
    <row r="53" spans="1:18" ht="15.95" customHeight="1">
      <c r="A53" s="474" t="s">
        <v>676</v>
      </c>
      <c r="B53" s="495" t="s">
        <v>677</v>
      </c>
      <c r="C53" s="495"/>
      <c r="D53" s="495" t="s">
        <v>631</v>
      </c>
      <c r="E53" s="586">
        <v>4950</v>
      </c>
      <c r="F53" s="589">
        <v>2400</v>
      </c>
      <c r="G53" s="589">
        <v>1800</v>
      </c>
      <c r="H53" s="590">
        <v>750</v>
      </c>
      <c r="I53" s="587">
        <f t="shared" si="1"/>
        <v>4950</v>
      </c>
      <c r="J53" s="499"/>
      <c r="K53" s="508">
        <v>5500</v>
      </c>
      <c r="L53" s="509">
        <v>2600</v>
      </c>
      <c r="M53" s="515">
        <v>2100</v>
      </c>
      <c r="N53" s="510">
        <v>800</v>
      </c>
      <c r="O53" s="504">
        <f t="shared" si="3"/>
        <v>5500</v>
      </c>
      <c r="P53" s="474" t="s">
        <v>592</v>
      </c>
      <c r="Q53" s="474" t="s">
        <v>676</v>
      </c>
    </row>
    <row r="54" spans="1:18" ht="15.95" customHeight="1">
      <c r="A54" s="474" t="s">
        <v>678</v>
      </c>
      <c r="B54" s="495" t="s">
        <v>679</v>
      </c>
      <c r="C54" s="495"/>
      <c r="D54" s="495" t="s">
        <v>631</v>
      </c>
      <c r="E54" s="586">
        <v>3150</v>
      </c>
      <c r="F54" s="496">
        <v>1500</v>
      </c>
      <c r="G54" s="496">
        <v>1170</v>
      </c>
      <c r="H54" s="590">
        <v>480</v>
      </c>
      <c r="I54" s="587">
        <f t="shared" si="1"/>
        <v>3150</v>
      </c>
      <c r="J54" s="499"/>
      <c r="K54" s="508">
        <v>3500</v>
      </c>
      <c r="L54" s="509">
        <v>1600</v>
      </c>
      <c r="M54" s="515">
        <v>1400</v>
      </c>
      <c r="N54" s="510">
        <v>500</v>
      </c>
      <c r="O54" s="504">
        <f t="shared" si="3"/>
        <v>3500</v>
      </c>
      <c r="P54" s="474" t="s">
        <v>592</v>
      </c>
      <c r="Q54" s="474" t="s">
        <v>678</v>
      </c>
    </row>
    <row r="55" spans="1:18" ht="15.95" customHeight="1">
      <c r="A55" s="474" t="s">
        <v>680</v>
      </c>
      <c r="B55" s="495" t="s">
        <v>681</v>
      </c>
      <c r="C55" s="495"/>
      <c r="D55" s="495" t="s">
        <v>631</v>
      </c>
      <c r="E55" s="586">
        <v>3150</v>
      </c>
      <c r="F55" s="496">
        <v>1500</v>
      </c>
      <c r="G55" s="496">
        <v>1170</v>
      </c>
      <c r="H55" s="590">
        <v>480</v>
      </c>
      <c r="I55" s="587">
        <f t="shared" si="1"/>
        <v>3150</v>
      </c>
      <c r="J55" s="499"/>
      <c r="K55" s="508">
        <v>3500</v>
      </c>
      <c r="L55" s="509">
        <v>1800</v>
      </c>
      <c r="M55" s="515">
        <v>1200</v>
      </c>
      <c r="N55" s="510">
        <v>500</v>
      </c>
      <c r="O55" s="504">
        <f t="shared" si="3"/>
        <v>3500</v>
      </c>
      <c r="P55" s="474" t="s">
        <v>592</v>
      </c>
      <c r="Q55" s="474" t="s">
        <v>680</v>
      </c>
    </row>
    <row r="56" spans="1:18" ht="15.95" customHeight="1">
      <c r="A56" s="474" t="s">
        <v>682</v>
      </c>
      <c r="B56" s="495" t="s">
        <v>683</v>
      </c>
      <c r="C56" s="495"/>
      <c r="D56" s="495" t="s">
        <v>631</v>
      </c>
      <c r="E56" s="586">
        <v>7650</v>
      </c>
      <c r="F56" s="496">
        <v>4000</v>
      </c>
      <c r="G56" s="496">
        <v>2850</v>
      </c>
      <c r="H56" s="496">
        <v>800</v>
      </c>
      <c r="I56" s="587">
        <f t="shared" si="1"/>
        <v>7650</v>
      </c>
      <c r="J56" s="499"/>
      <c r="K56" s="508">
        <v>8500</v>
      </c>
      <c r="L56" s="509">
        <v>4300</v>
      </c>
      <c r="M56" s="515">
        <v>3400</v>
      </c>
      <c r="N56" s="510">
        <v>800</v>
      </c>
      <c r="O56" s="504">
        <f t="shared" si="3"/>
        <v>8500</v>
      </c>
      <c r="P56" s="474" t="s">
        <v>592</v>
      </c>
      <c r="Q56" s="474" t="s">
        <v>682</v>
      </c>
    </row>
    <row r="57" spans="1:18" ht="15.95" customHeight="1">
      <c r="A57" s="474" t="s">
        <v>684</v>
      </c>
      <c r="B57" s="495" t="s">
        <v>685</v>
      </c>
      <c r="C57" s="495"/>
      <c r="D57" s="495" t="s">
        <v>631</v>
      </c>
      <c r="E57" s="586">
        <v>8640</v>
      </c>
      <c r="F57" s="496">
        <v>4450</v>
      </c>
      <c r="G57" s="496">
        <v>3290</v>
      </c>
      <c r="H57" s="589">
        <v>900</v>
      </c>
      <c r="I57" s="587">
        <f t="shared" si="1"/>
        <v>8640</v>
      </c>
      <c r="J57" s="499"/>
      <c r="K57" s="508">
        <v>9600</v>
      </c>
      <c r="L57" s="509">
        <v>5000</v>
      </c>
      <c r="M57" s="515">
        <v>3700</v>
      </c>
      <c r="N57" s="510">
        <v>900</v>
      </c>
      <c r="O57" s="504">
        <f t="shared" si="3"/>
        <v>9600</v>
      </c>
      <c r="P57" s="474" t="s">
        <v>592</v>
      </c>
      <c r="Q57" s="474" t="s">
        <v>684</v>
      </c>
    </row>
    <row r="58" spans="1:18" ht="17.25" customHeight="1">
      <c r="A58" s="474" t="s">
        <v>686</v>
      </c>
      <c r="B58" s="495" t="s">
        <v>687</v>
      </c>
      <c r="C58" s="495"/>
      <c r="D58" s="495" t="s">
        <v>631</v>
      </c>
      <c r="E58" s="586">
        <v>5184</v>
      </c>
      <c r="F58" s="496">
        <v>2400</v>
      </c>
      <c r="G58" s="496">
        <v>1984</v>
      </c>
      <c r="H58" s="589">
        <v>800</v>
      </c>
      <c r="I58" s="587">
        <f t="shared" si="1"/>
        <v>5184</v>
      </c>
      <c r="J58" s="499"/>
      <c r="K58" s="508">
        <v>5760</v>
      </c>
      <c r="L58" s="509">
        <v>2850</v>
      </c>
      <c r="M58" s="515">
        <v>2110</v>
      </c>
      <c r="N58" s="510">
        <v>800</v>
      </c>
      <c r="O58" s="504">
        <f t="shared" si="3"/>
        <v>5760</v>
      </c>
      <c r="P58" s="474" t="s">
        <v>592</v>
      </c>
      <c r="Q58" s="474" t="s">
        <v>686</v>
      </c>
    </row>
    <row r="59" spans="1:18" ht="17.25" customHeight="1">
      <c r="A59" s="474" t="s">
        <v>688</v>
      </c>
      <c r="B59" s="495" t="s">
        <v>689</v>
      </c>
      <c r="C59" s="495"/>
      <c r="D59" s="495" t="s">
        <v>631</v>
      </c>
      <c r="E59" s="586">
        <v>5040</v>
      </c>
      <c r="F59" s="496">
        <v>2500</v>
      </c>
      <c r="G59" s="496">
        <v>1840</v>
      </c>
      <c r="H59" s="589">
        <v>700</v>
      </c>
      <c r="I59" s="587">
        <f t="shared" si="1"/>
        <v>5040</v>
      </c>
      <c r="J59" s="499"/>
      <c r="K59" s="508">
        <v>5600</v>
      </c>
      <c r="L59" s="509">
        <v>2850</v>
      </c>
      <c r="M59" s="515">
        <v>2050</v>
      </c>
      <c r="N59" s="510">
        <v>700</v>
      </c>
      <c r="O59" s="504">
        <f t="shared" si="3"/>
        <v>5600</v>
      </c>
      <c r="P59" s="474" t="s">
        <v>592</v>
      </c>
      <c r="Q59" s="474" t="s">
        <v>688</v>
      </c>
    </row>
    <row r="60" spans="1:18" ht="17.25" customHeight="1">
      <c r="A60" s="474" t="s">
        <v>690</v>
      </c>
      <c r="B60" s="495" t="s">
        <v>691</v>
      </c>
      <c r="C60" s="532"/>
      <c r="D60" s="495" t="s">
        <v>631</v>
      </c>
      <c r="E60" s="586">
        <v>3150</v>
      </c>
      <c r="F60" s="496">
        <v>1550</v>
      </c>
      <c r="G60" s="496">
        <v>1100</v>
      </c>
      <c r="H60" s="496">
        <v>500</v>
      </c>
      <c r="I60" s="587">
        <f t="shared" si="1"/>
        <v>3150</v>
      </c>
      <c r="J60" s="499"/>
      <c r="K60" s="508">
        <v>3500</v>
      </c>
      <c r="L60" s="509">
        <v>1600</v>
      </c>
      <c r="M60" s="515">
        <v>1400</v>
      </c>
      <c r="N60" s="510">
        <v>500</v>
      </c>
      <c r="O60" s="504">
        <f t="shared" si="3"/>
        <v>3500</v>
      </c>
      <c r="P60" s="474" t="s">
        <v>592</v>
      </c>
      <c r="Q60" s="474" t="s">
        <v>690</v>
      </c>
    </row>
    <row r="61" spans="1:18" ht="17.25" customHeight="1">
      <c r="A61" s="474" t="s">
        <v>692</v>
      </c>
      <c r="B61" s="495" t="s">
        <v>693</v>
      </c>
      <c r="C61" s="495"/>
      <c r="D61" s="495" t="s">
        <v>631</v>
      </c>
      <c r="E61" s="586">
        <v>5700</v>
      </c>
      <c r="F61" s="496">
        <v>2800</v>
      </c>
      <c r="G61" s="496">
        <v>2200</v>
      </c>
      <c r="H61" s="496">
        <v>700</v>
      </c>
      <c r="I61" s="587">
        <f t="shared" si="1"/>
        <v>5700</v>
      </c>
      <c r="J61" s="499"/>
      <c r="K61" s="508">
        <v>5760</v>
      </c>
      <c r="L61" s="509">
        <v>2840</v>
      </c>
      <c r="M61" s="515">
        <v>2220</v>
      </c>
      <c r="N61" s="510">
        <v>700</v>
      </c>
      <c r="O61" s="504">
        <f>L61+M61+N61</f>
        <v>5760</v>
      </c>
      <c r="P61" s="474" t="s">
        <v>592</v>
      </c>
      <c r="Q61" s="474" t="s">
        <v>692</v>
      </c>
    </row>
    <row r="62" spans="1:18" ht="17.25" customHeight="1">
      <c r="A62" s="474" t="s">
        <v>694</v>
      </c>
      <c r="B62" s="495" t="s">
        <v>695</v>
      </c>
      <c r="C62" s="495"/>
      <c r="D62" s="495" t="s">
        <v>631</v>
      </c>
      <c r="E62" s="586">
        <v>5940</v>
      </c>
      <c r="F62" s="496">
        <v>3040</v>
      </c>
      <c r="G62" s="496">
        <v>2000</v>
      </c>
      <c r="H62" s="496">
        <v>900</v>
      </c>
      <c r="I62" s="587">
        <f t="shared" si="1"/>
        <v>5940</v>
      </c>
      <c r="J62" s="499"/>
      <c r="K62" s="508">
        <v>6600</v>
      </c>
      <c r="L62" s="509">
        <v>3300</v>
      </c>
      <c r="M62" s="515">
        <v>2400</v>
      </c>
      <c r="N62" s="510">
        <v>900</v>
      </c>
      <c r="O62" s="504">
        <f t="shared" si="3"/>
        <v>6600</v>
      </c>
      <c r="P62" s="474" t="s">
        <v>592</v>
      </c>
      <c r="Q62" s="474" t="s">
        <v>694</v>
      </c>
    </row>
    <row r="63" spans="1:18" ht="17.25" customHeight="1">
      <c r="A63" s="474" t="s">
        <v>696</v>
      </c>
      <c r="B63" s="533" t="s">
        <v>697</v>
      </c>
      <c r="C63" s="533"/>
      <c r="D63" s="495" t="s">
        <v>631</v>
      </c>
      <c r="E63" s="586">
        <v>4950</v>
      </c>
      <c r="F63" s="589">
        <v>2400</v>
      </c>
      <c r="G63" s="589">
        <v>1800</v>
      </c>
      <c r="H63" s="590">
        <v>750</v>
      </c>
      <c r="I63" s="587">
        <f t="shared" si="1"/>
        <v>4950</v>
      </c>
      <c r="J63" s="499"/>
      <c r="K63" s="508">
        <v>5500</v>
      </c>
      <c r="L63" s="509">
        <v>2600</v>
      </c>
      <c r="M63" s="515">
        <v>2100</v>
      </c>
      <c r="N63" s="510">
        <v>800</v>
      </c>
      <c r="O63" s="504">
        <f t="shared" si="3"/>
        <v>5500</v>
      </c>
      <c r="P63" s="474" t="s">
        <v>592</v>
      </c>
      <c r="Q63" s="474" t="s">
        <v>696</v>
      </c>
    </row>
    <row r="64" spans="1:18" ht="17.25" customHeight="1">
      <c r="A64" s="474" t="s">
        <v>698</v>
      </c>
      <c r="B64" s="505" t="s">
        <v>699</v>
      </c>
      <c r="C64" s="497"/>
      <c r="D64" s="497" t="s">
        <v>631</v>
      </c>
      <c r="E64" s="586">
        <v>4950</v>
      </c>
      <c r="F64" s="589">
        <v>2400</v>
      </c>
      <c r="G64" s="589">
        <v>1800</v>
      </c>
      <c r="H64" s="590">
        <v>750</v>
      </c>
      <c r="I64" s="587">
        <f t="shared" si="1"/>
        <v>4950</v>
      </c>
      <c r="J64" s="499"/>
      <c r="K64" s="508">
        <v>5500</v>
      </c>
      <c r="L64" s="509">
        <v>2600</v>
      </c>
      <c r="M64" s="515">
        <v>2100</v>
      </c>
      <c r="N64" s="510">
        <v>800</v>
      </c>
      <c r="O64" s="504">
        <f t="shared" si="3"/>
        <v>5500</v>
      </c>
      <c r="P64" s="474" t="s">
        <v>592</v>
      </c>
      <c r="Q64" s="474" t="s">
        <v>698</v>
      </c>
    </row>
    <row r="65" spans="1:18" ht="15.95" customHeight="1">
      <c r="A65" s="474" t="s">
        <v>700</v>
      </c>
      <c r="B65" s="495" t="s">
        <v>701</v>
      </c>
      <c r="C65" s="495"/>
      <c r="D65" s="495" t="s">
        <v>702</v>
      </c>
      <c r="E65" s="586">
        <v>7200</v>
      </c>
      <c r="F65" s="496">
        <v>3750</v>
      </c>
      <c r="G65" s="496">
        <v>2700</v>
      </c>
      <c r="H65" s="590">
        <v>750</v>
      </c>
      <c r="I65" s="587">
        <f t="shared" si="1"/>
        <v>7200</v>
      </c>
      <c r="J65" s="499"/>
      <c r="K65" s="508">
        <v>8000</v>
      </c>
      <c r="L65" s="509">
        <v>4150</v>
      </c>
      <c r="M65" s="515">
        <v>3050</v>
      </c>
      <c r="N65" s="510">
        <v>800</v>
      </c>
      <c r="O65" s="504">
        <f t="shared" si="3"/>
        <v>8000</v>
      </c>
      <c r="P65" s="474" t="s">
        <v>592</v>
      </c>
      <c r="Q65" s="474" t="s">
        <v>700</v>
      </c>
    </row>
    <row r="66" spans="1:18" ht="15.95" customHeight="1">
      <c r="A66" s="474" t="s">
        <v>703</v>
      </c>
      <c r="B66" s="495" t="s">
        <v>704</v>
      </c>
      <c r="C66" s="495"/>
      <c r="D66" s="495" t="s">
        <v>702</v>
      </c>
      <c r="E66" s="586">
        <v>7650</v>
      </c>
      <c r="F66" s="496">
        <v>3950</v>
      </c>
      <c r="G66" s="496">
        <v>2850</v>
      </c>
      <c r="H66" s="590">
        <v>850</v>
      </c>
      <c r="I66" s="587">
        <f t="shared" si="1"/>
        <v>7650</v>
      </c>
      <c r="J66" s="499"/>
      <c r="K66" s="508">
        <v>8500</v>
      </c>
      <c r="L66" s="509">
        <v>4350</v>
      </c>
      <c r="M66" s="515">
        <v>3250</v>
      </c>
      <c r="N66" s="510">
        <v>900</v>
      </c>
      <c r="O66" s="504">
        <f t="shared" si="3"/>
        <v>8500</v>
      </c>
      <c r="P66" s="474" t="s">
        <v>592</v>
      </c>
      <c r="Q66" s="474" t="s">
        <v>703</v>
      </c>
    </row>
    <row r="67" spans="1:18" ht="15.95" customHeight="1">
      <c r="A67" s="474" t="s">
        <v>705</v>
      </c>
      <c r="B67" s="495" t="s">
        <v>706</v>
      </c>
      <c r="C67" s="495"/>
      <c r="D67" s="495" t="s">
        <v>702</v>
      </c>
      <c r="E67" s="586">
        <v>8010</v>
      </c>
      <c r="F67" s="589">
        <v>4200</v>
      </c>
      <c r="G67" s="589">
        <v>2910</v>
      </c>
      <c r="H67" s="590">
        <v>900</v>
      </c>
      <c r="I67" s="587">
        <f t="shared" si="1"/>
        <v>8010</v>
      </c>
      <c r="J67" s="499"/>
      <c r="K67" s="508">
        <v>8900</v>
      </c>
      <c r="L67" s="509">
        <v>4600</v>
      </c>
      <c r="M67" s="515">
        <v>3350</v>
      </c>
      <c r="N67" s="510">
        <v>950</v>
      </c>
      <c r="O67" s="504">
        <f t="shared" si="3"/>
        <v>8900</v>
      </c>
      <c r="P67" s="474" t="s">
        <v>592</v>
      </c>
      <c r="Q67" s="474" t="s">
        <v>705</v>
      </c>
    </row>
    <row r="68" spans="1:18" ht="15.95" customHeight="1">
      <c r="A68" s="474" t="s">
        <v>707</v>
      </c>
      <c r="B68" s="495" t="s">
        <v>708</v>
      </c>
      <c r="C68" s="495"/>
      <c r="D68" s="495" t="s">
        <v>702</v>
      </c>
      <c r="E68" s="586">
        <v>8370</v>
      </c>
      <c r="F68" s="496">
        <v>4300</v>
      </c>
      <c r="G68" s="496">
        <v>3120</v>
      </c>
      <c r="H68" s="590">
        <v>950</v>
      </c>
      <c r="I68" s="587">
        <f t="shared" si="1"/>
        <v>8370</v>
      </c>
      <c r="J68" s="499"/>
      <c r="K68" s="508">
        <v>9300</v>
      </c>
      <c r="L68" s="509">
        <v>4750</v>
      </c>
      <c r="M68" s="515">
        <v>3550</v>
      </c>
      <c r="N68" s="510">
        <v>1000</v>
      </c>
      <c r="O68" s="504">
        <f t="shared" si="3"/>
        <v>9300</v>
      </c>
      <c r="P68" s="474" t="s">
        <v>592</v>
      </c>
      <c r="Q68" s="474" t="s">
        <v>707</v>
      </c>
    </row>
    <row r="69" spans="1:18" ht="15.95" customHeight="1">
      <c r="A69" s="474" t="s">
        <v>709</v>
      </c>
      <c r="B69" s="525" t="s">
        <v>710</v>
      </c>
      <c r="C69" s="526"/>
      <c r="D69" s="495" t="s">
        <v>702</v>
      </c>
      <c r="E69" s="586">
        <v>3625</v>
      </c>
      <c r="F69" s="496">
        <v>1625</v>
      </c>
      <c r="G69" s="496">
        <v>1500</v>
      </c>
      <c r="H69" s="496">
        <v>500</v>
      </c>
      <c r="I69" s="587">
        <f t="shared" si="1"/>
        <v>3625</v>
      </c>
      <c r="J69" s="499"/>
      <c r="K69" s="508">
        <v>3700</v>
      </c>
      <c r="L69" s="509">
        <v>1650</v>
      </c>
      <c r="M69" s="515">
        <v>1550</v>
      </c>
      <c r="N69" s="510">
        <v>500</v>
      </c>
      <c r="O69" s="504">
        <f t="shared" si="3"/>
        <v>3700</v>
      </c>
      <c r="P69" s="474" t="s">
        <v>592</v>
      </c>
      <c r="Q69" s="474" t="s">
        <v>709</v>
      </c>
    </row>
    <row r="70" spans="1:18" ht="15.95" customHeight="1">
      <c r="A70" s="474" t="s">
        <v>711</v>
      </c>
      <c r="B70" s="525" t="s">
        <v>712</v>
      </c>
      <c r="C70" s="526"/>
      <c r="D70" s="495" t="s">
        <v>702</v>
      </c>
      <c r="E70" s="586">
        <v>3625</v>
      </c>
      <c r="F70" s="496">
        <v>1625</v>
      </c>
      <c r="G70" s="496">
        <v>1500</v>
      </c>
      <c r="H70" s="496">
        <v>500</v>
      </c>
      <c r="I70" s="587">
        <f t="shared" si="1"/>
        <v>3625</v>
      </c>
      <c r="J70" s="499"/>
      <c r="K70" s="508">
        <v>3700</v>
      </c>
      <c r="L70" s="509">
        <v>1650</v>
      </c>
      <c r="M70" s="515">
        <v>1550</v>
      </c>
      <c r="N70" s="510">
        <v>500</v>
      </c>
      <c r="O70" s="504">
        <f t="shared" si="3"/>
        <v>3700</v>
      </c>
      <c r="P70" s="474" t="s">
        <v>592</v>
      </c>
      <c r="Q70" s="474" t="s">
        <v>711</v>
      </c>
    </row>
    <row r="71" spans="1:18" ht="15.95" customHeight="1">
      <c r="A71" s="474" t="s">
        <v>713</v>
      </c>
      <c r="B71" s="495" t="s">
        <v>714</v>
      </c>
      <c r="C71" s="495"/>
      <c r="D71" s="495" t="s">
        <v>715</v>
      </c>
      <c r="E71" s="586">
        <v>9000</v>
      </c>
      <c r="F71" s="589">
        <v>4300</v>
      </c>
      <c r="G71" s="589">
        <v>3900</v>
      </c>
      <c r="H71" s="589">
        <v>800</v>
      </c>
      <c r="I71" s="587">
        <f t="shared" si="1"/>
        <v>9000</v>
      </c>
      <c r="J71" s="499"/>
      <c r="K71" s="500">
        <v>9800</v>
      </c>
      <c r="L71" s="517">
        <v>4500</v>
      </c>
      <c r="M71" s="518">
        <v>4500</v>
      </c>
      <c r="N71" s="503">
        <v>800</v>
      </c>
      <c r="O71" s="504">
        <f t="shared" si="3"/>
        <v>9800</v>
      </c>
      <c r="P71" s="474" t="s">
        <v>592</v>
      </c>
      <c r="Q71" s="474" t="s">
        <v>713</v>
      </c>
    </row>
    <row r="72" spans="1:18" ht="15.95" customHeight="1">
      <c r="A72" s="474" t="s">
        <v>716</v>
      </c>
      <c r="B72" s="577" t="s">
        <v>717</v>
      </c>
      <c r="C72" s="577"/>
      <c r="D72" s="495" t="s">
        <v>715</v>
      </c>
      <c r="E72" s="586">
        <v>540</v>
      </c>
      <c r="F72" s="496">
        <v>270</v>
      </c>
      <c r="G72" s="496">
        <v>270</v>
      </c>
      <c r="H72" s="496">
        <v>0</v>
      </c>
      <c r="I72" s="587">
        <f t="shared" si="1"/>
        <v>540</v>
      </c>
      <c r="J72" s="499"/>
      <c r="K72" s="508">
        <v>600</v>
      </c>
      <c r="L72" s="509">
        <v>300</v>
      </c>
      <c r="M72" s="515">
        <v>300</v>
      </c>
      <c r="N72" s="510">
        <v>0</v>
      </c>
      <c r="O72" s="504">
        <f t="shared" si="3"/>
        <v>600</v>
      </c>
      <c r="P72" s="474" t="s">
        <v>592</v>
      </c>
      <c r="Q72" s="474" t="s">
        <v>716</v>
      </c>
      <c r="R72" s="576" t="s">
        <v>789</v>
      </c>
    </row>
    <row r="73" spans="1:18" ht="15.95" customHeight="1">
      <c r="A73" s="474" t="s">
        <v>718</v>
      </c>
      <c r="B73" s="495" t="s">
        <v>719</v>
      </c>
      <c r="C73" s="495"/>
      <c r="D73" s="495" t="s">
        <v>715</v>
      </c>
      <c r="E73" s="586">
        <v>9000</v>
      </c>
      <c r="F73" s="589">
        <v>4300</v>
      </c>
      <c r="G73" s="589">
        <v>3900</v>
      </c>
      <c r="H73" s="589">
        <v>800</v>
      </c>
      <c r="I73" s="587">
        <f t="shared" si="1"/>
        <v>9000</v>
      </c>
      <c r="J73" s="499"/>
      <c r="K73" s="508">
        <v>9800</v>
      </c>
      <c r="L73" s="517">
        <v>4500</v>
      </c>
      <c r="M73" s="518">
        <v>4500</v>
      </c>
      <c r="N73" s="510">
        <v>800</v>
      </c>
      <c r="O73" s="504">
        <f t="shared" si="3"/>
        <v>9800</v>
      </c>
      <c r="P73" s="474" t="s">
        <v>592</v>
      </c>
      <c r="Q73" s="474" t="s">
        <v>718</v>
      </c>
    </row>
    <row r="74" spans="1:18" ht="15.95" customHeight="1">
      <c r="A74" s="474" t="s">
        <v>720</v>
      </c>
      <c r="B74" s="495" t="s">
        <v>721</v>
      </c>
      <c r="C74" s="495"/>
      <c r="D74" s="495" t="s">
        <v>715</v>
      </c>
      <c r="E74" s="586">
        <v>9000</v>
      </c>
      <c r="F74" s="589">
        <v>4300</v>
      </c>
      <c r="G74" s="589">
        <v>3900</v>
      </c>
      <c r="H74" s="589">
        <v>800</v>
      </c>
      <c r="I74" s="587">
        <f t="shared" si="1"/>
        <v>9000</v>
      </c>
      <c r="J74" s="499"/>
      <c r="K74" s="508">
        <v>9800</v>
      </c>
      <c r="L74" s="517">
        <v>4500</v>
      </c>
      <c r="M74" s="518">
        <v>4500</v>
      </c>
      <c r="N74" s="510">
        <v>800</v>
      </c>
      <c r="O74" s="504">
        <f t="shared" si="3"/>
        <v>9800</v>
      </c>
      <c r="P74" s="474" t="s">
        <v>592</v>
      </c>
      <c r="Q74" s="474" t="s">
        <v>720</v>
      </c>
    </row>
    <row r="75" spans="1:18" ht="15.95" customHeight="1">
      <c r="A75" s="474" t="s">
        <v>722</v>
      </c>
      <c r="B75" s="495" t="s">
        <v>723</v>
      </c>
      <c r="C75" s="495"/>
      <c r="D75" s="495" t="s">
        <v>715</v>
      </c>
      <c r="E75" s="586">
        <v>9000</v>
      </c>
      <c r="F75" s="589">
        <v>4200</v>
      </c>
      <c r="G75" s="589">
        <v>3850</v>
      </c>
      <c r="H75" s="589">
        <v>800</v>
      </c>
      <c r="I75" s="587">
        <f t="shared" si="1"/>
        <v>8850</v>
      </c>
      <c r="J75" s="499"/>
      <c r="K75" s="508">
        <v>9800</v>
      </c>
      <c r="L75" s="517">
        <v>4500</v>
      </c>
      <c r="M75" s="518">
        <v>4500</v>
      </c>
      <c r="N75" s="510">
        <v>800</v>
      </c>
      <c r="O75" s="504">
        <f t="shared" si="3"/>
        <v>9800</v>
      </c>
      <c r="P75" s="474" t="s">
        <v>592</v>
      </c>
      <c r="Q75" s="474" t="s">
        <v>722</v>
      </c>
    </row>
    <row r="76" spans="1:18" ht="15.95" customHeight="1">
      <c r="A76" s="474" t="s">
        <v>700</v>
      </c>
      <c r="B76" s="495" t="s">
        <v>701</v>
      </c>
      <c r="C76" s="495"/>
      <c r="D76" s="495" t="s">
        <v>724</v>
      </c>
      <c r="E76" s="586">
        <v>7200</v>
      </c>
      <c r="F76" s="496">
        <v>3750</v>
      </c>
      <c r="G76" s="496">
        <v>2700</v>
      </c>
      <c r="H76" s="590">
        <v>750</v>
      </c>
      <c r="I76" s="587">
        <f t="shared" si="1"/>
        <v>7200</v>
      </c>
      <c r="J76" s="499"/>
      <c r="K76" s="508">
        <v>8000</v>
      </c>
      <c r="L76" s="509">
        <v>4150</v>
      </c>
      <c r="M76" s="515">
        <v>3050</v>
      </c>
      <c r="N76" s="510">
        <v>800</v>
      </c>
      <c r="O76" s="504">
        <f t="shared" si="3"/>
        <v>8000</v>
      </c>
      <c r="P76" s="474" t="s">
        <v>592</v>
      </c>
      <c r="Q76" s="474" t="s">
        <v>700</v>
      </c>
    </row>
    <row r="77" spans="1:18" ht="15.95" customHeight="1">
      <c r="A77" s="474" t="s">
        <v>703</v>
      </c>
      <c r="B77" s="495" t="s">
        <v>704</v>
      </c>
      <c r="C77" s="495"/>
      <c r="D77" s="495" t="s">
        <v>724</v>
      </c>
      <c r="E77" s="586">
        <v>7650</v>
      </c>
      <c r="F77" s="496">
        <v>3950</v>
      </c>
      <c r="G77" s="496">
        <v>2850</v>
      </c>
      <c r="H77" s="590">
        <v>850</v>
      </c>
      <c r="I77" s="587">
        <f t="shared" si="1"/>
        <v>7650</v>
      </c>
      <c r="J77" s="499"/>
      <c r="K77" s="508">
        <v>8500</v>
      </c>
      <c r="L77" s="509">
        <v>4350</v>
      </c>
      <c r="M77" s="515">
        <v>3250</v>
      </c>
      <c r="N77" s="510">
        <v>900</v>
      </c>
      <c r="O77" s="504">
        <f t="shared" si="3"/>
        <v>8500</v>
      </c>
      <c r="P77" s="474" t="s">
        <v>592</v>
      </c>
      <c r="Q77" s="474" t="s">
        <v>703</v>
      </c>
    </row>
    <row r="78" spans="1:18" ht="15.95" customHeight="1">
      <c r="A78" s="474" t="s">
        <v>705</v>
      </c>
      <c r="B78" s="495" t="s">
        <v>706</v>
      </c>
      <c r="C78" s="495"/>
      <c r="D78" s="495" t="s">
        <v>724</v>
      </c>
      <c r="E78" s="586">
        <v>8010</v>
      </c>
      <c r="F78" s="589">
        <v>4200</v>
      </c>
      <c r="G78" s="589">
        <v>2910</v>
      </c>
      <c r="H78" s="590">
        <v>900</v>
      </c>
      <c r="I78" s="587">
        <f t="shared" si="1"/>
        <v>8010</v>
      </c>
      <c r="J78" s="499"/>
      <c r="K78" s="508">
        <v>8900</v>
      </c>
      <c r="L78" s="509">
        <v>4600</v>
      </c>
      <c r="M78" s="515">
        <v>3350</v>
      </c>
      <c r="N78" s="510">
        <v>950</v>
      </c>
      <c r="O78" s="504">
        <f t="shared" si="3"/>
        <v>8900</v>
      </c>
      <c r="P78" s="474" t="s">
        <v>592</v>
      </c>
      <c r="Q78" s="474" t="s">
        <v>705</v>
      </c>
    </row>
    <row r="79" spans="1:18" ht="15">
      <c r="A79" s="474" t="s">
        <v>707</v>
      </c>
      <c r="B79" s="534" t="s">
        <v>708</v>
      </c>
      <c r="C79" s="534"/>
      <c r="D79" s="534" t="s">
        <v>724</v>
      </c>
      <c r="E79" s="591">
        <v>8370</v>
      </c>
      <c r="F79" s="496">
        <v>4300</v>
      </c>
      <c r="G79" s="496">
        <v>3120</v>
      </c>
      <c r="H79" s="590">
        <v>950</v>
      </c>
      <c r="I79" s="587">
        <f t="shared" ref="I79:I81" si="4">F79+G79+H79</f>
        <v>8370</v>
      </c>
      <c r="J79" s="499"/>
      <c r="K79" s="508">
        <v>9300</v>
      </c>
      <c r="L79" s="509">
        <v>4750</v>
      </c>
      <c r="M79" s="515">
        <v>3550</v>
      </c>
      <c r="N79" s="510">
        <v>1000</v>
      </c>
      <c r="O79" s="504">
        <f t="shared" si="3"/>
        <v>9300</v>
      </c>
      <c r="P79" s="474" t="s">
        <v>592</v>
      </c>
      <c r="Q79" s="474" t="s">
        <v>707</v>
      </c>
    </row>
    <row r="80" spans="1:18" ht="15">
      <c r="A80" s="474" t="s">
        <v>725</v>
      </c>
      <c r="B80" s="534" t="s">
        <v>726</v>
      </c>
      <c r="C80" s="534"/>
      <c r="D80" s="535" t="s">
        <v>727</v>
      </c>
      <c r="E80" s="592">
        <v>9999</v>
      </c>
      <c r="F80" s="593">
        <v>4600</v>
      </c>
      <c r="G80" s="593">
        <v>4499</v>
      </c>
      <c r="H80" s="593">
        <v>900</v>
      </c>
      <c r="I80" s="587">
        <f t="shared" si="4"/>
        <v>9999</v>
      </c>
      <c r="J80" s="499"/>
      <c r="K80" s="508">
        <v>10500</v>
      </c>
      <c r="L80" s="536">
        <v>4800</v>
      </c>
      <c r="M80" s="537">
        <v>4800</v>
      </c>
      <c r="N80" s="510">
        <v>900</v>
      </c>
      <c r="O80" s="504">
        <f t="shared" si="3"/>
        <v>10500</v>
      </c>
      <c r="P80" s="474" t="s">
        <v>592</v>
      </c>
      <c r="Q80" s="474" t="s">
        <v>725</v>
      </c>
    </row>
    <row r="81" spans="1:18" ht="15">
      <c r="A81" s="474" t="s">
        <v>728</v>
      </c>
      <c r="B81" s="534" t="s">
        <v>729</v>
      </c>
      <c r="C81" s="534"/>
      <c r="D81" s="538" t="s">
        <v>727</v>
      </c>
      <c r="E81" s="592">
        <v>11850</v>
      </c>
      <c r="F81" s="593">
        <v>5500</v>
      </c>
      <c r="G81" s="593">
        <v>5350</v>
      </c>
      <c r="H81" s="593">
        <v>1000</v>
      </c>
      <c r="I81" s="587">
        <f t="shared" si="4"/>
        <v>11850</v>
      </c>
      <c r="J81" s="499"/>
      <c r="K81" s="508">
        <v>13000</v>
      </c>
      <c r="L81" s="536">
        <v>5900</v>
      </c>
      <c r="M81" s="537">
        <v>6100</v>
      </c>
      <c r="N81" s="510">
        <v>1000</v>
      </c>
      <c r="O81" s="504">
        <f t="shared" si="3"/>
        <v>13000</v>
      </c>
      <c r="P81" s="474" t="s">
        <v>592</v>
      </c>
      <c r="Q81" s="474" t="s">
        <v>728</v>
      </c>
    </row>
    <row r="82" spans="1:18" ht="15.75">
      <c r="B82" s="539" t="s">
        <v>730</v>
      </c>
      <c r="C82" s="540"/>
      <c r="D82" s="540"/>
      <c r="E82" s="540"/>
      <c r="F82" s="540"/>
      <c r="G82" s="540"/>
      <c r="H82" s="540"/>
      <c r="I82" s="540"/>
      <c r="J82" s="541"/>
      <c r="K82" s="540"/>
      <c r="L82" s="540"/>
      <c r="M82" s="540"/>
      <c r="N82" s="542"/>
      <c r="O82" s="543"/>
    </row>
    <row r="83" spans="1:18" ht="15">
      <c r="A83" s="474" t="s">
        <v>731</v>
      </c>
      <c r="B83" s="544" t="s">
        <v>732</v>
      </c>
      <c r="C83" s="545"/>
      <c r="D83" s="545" t="s">
        <v>733</v>
      </c>
      <c r="E83" s="546">
        <v>100</v>
      </c>
      <c r="F83" s="509">
        <v>0</v>
      </c>
      <c r="G83" s="515">
        <v>100</v>
      </c>
      <c r="H83" s="510">
        <v>0</v>
      </c>
      <c r="I83" s="547">
        <f t="shared" ref="I83:I91" si="5">F83+G83+H83</f>
        <v>100</v>
      </c>
      <c r="J83" s="548"/>
      <c r="K83" s="546">
        <v>100</v>
      </c>
      <c r="L83" s="509">
        <v>0</v>
      </c>
      <c r="M83" s="515">
        <v>100</v>
      </c>
      <c r="N83" s="510">
        <v>0</v>
      </c>
      <c r="O83" s="547">
        <f t="shared" ref="O83:O91" si="6">L83+M83+N83</f>
        <v>100</v>
      </c>
      <c r="P83" s="474" t="s">
        <v>592</v>
      </c>
      <c r="Q83" s="474" t="s">
        <v>731</v>
      </c>
    </row>
    <row r="84" spans="1:18" ht="15">
      <c r="A84" s="474" t="s">
        <v>734</v>
      </c>
      <c r="B84" s="544" t="s">
        <v>735</v>
      </c>
      <c r="C84" s="549"/>
      <c r="D84" s="545" t="s">
        <v>733</v>
      </c>
      <c r="E84" s="546">
        <v>100</v>
      </c>
      <c r="F84" s="509">
        <v>100</v>
      </c>
      <c r="G84" s="515">
        <v>0</v>
      </c>
      <c r="H84" s="510">
        <v>0</v>
      </c>
      <c r="I84" s="547">
        <f t="shared" si="5"/>
        <v>100</v>
      </c>
      <c r="J84" s="550"/>
      <c r="K84" s="546">
        <v>100</v>
      </c>
      <c r="L84" s="509">
        <v>100</v>
      </c>
      <c r="M84" s="515">
        <v>0</v>
      </c>
      <c r="N84" s="510">
        <v>0</v>
      </c>
      <c r="O84" s="547">
        <f t="shared" si="6"/>
        <v>100</v>
      </c>
      <c r="P84" s="474" t="s">
        <v>592</v>
      </c>
      <c r="Q84" s="474" t="s">
        <v>734</v>
      </c>
    </row>
    <row r="85" spans="1:18" ht="15">
      <c r="A85" s="474" t="s">
        <v>736</v>
      </c>
      <c r="B85" s="544" t="s">
        <v>737</v>
      </c>
      <c r="C85" s="549"/>
      <c r="D85" s="545" t="s">
        <v>733</v>
      </c>
      <c r="E85" s="546">
        <v>600</v>
      </c>
      <c r="F85" s="509">
        <v>200</v>
      </c>
      <c r="G85" s="515">
        <v>400</v>
      </c>
      <c r="H85" s="510">
        <v>0</v>
      </c>
      <c r="I85" s="547">
        <f t="shared" si="5"/>
        <v>600</v>
      </c>
      <c r="J85" s="550"/>
      <c r="K85" s="546">
        <v>600</v>
      </c>
      <c r="L85" s="509">
        <v>200</v>
      </c>
      <c r="M85" s="515">
        <v>400</v>
      </c>
      <c r="N85" s="510">
        <v>0</v>
      </c>
      <c r="O85" s="547">
        <f t="shared" si="6"/>
        <v>600</v>
      </c>
      <c r="P85" s="474" t="s">
        <v>592</v>
      </c>
      <c r="Q85" s="474" t="s">
        <v>736</v>
      </c>
    </row>
    <row r="86" spans="1:18" ht="15">
      <c r="A86" s="474" t="s">
        <v>738</v>
      </c>
      <c r="B86" s="544" t="s">
        <v>739</v>
      </c>
      <c r="C86" s="549"/>
      <c r="D86" s="545" t="s">
        <v>733</v>
      </c>
      <c r="E86" s="546">
        <v>250</v>
      </c>
      <c r="F86" s="509">
        <v>100</v>
      </c>
      <c r="G86" s="515">
        <v>150</v>
      </c>
      <c r="H86" s="510">
        <v>0</v>
      </c>
      <c r="I86" s="547">
        <f t="shared" si="5"/>
        <v>250</v>
      </c>
      <c r="J86" s="550"/>
      <c r="K86" s="546">
        <v>250</v>
      </c>
      <c r="L86" s="509">
        <v>100</v>
      </c>
      <c r="M86" s="515">
        <v>150</v>
      </c>
      <c r="N86" s="510">
        <v>0</v>
      </c>
      <c r="O86" s="547">
        <f t="shared" si="6"/>
        <v>250</v>
      </c>
      <c r="P86" s="474" t="s">
        <v>592</v>
      </c>
      <c r="Q86" s="474" t="s">
        <v>738</v>
      </c>
    </row>
    <row r="87" spans="1:18" ht="15">
      <c r="A87" s="474" t="s">
        <v>740</v>
      </c>
      <c r="B87" s="544" t="s">
        <v>741</v>
      </c>
      <c r="C87" s="549"/>
      <c r="D87" s="545" t="s">
        <v>733</v>
      </c>
      <c r="E87" s="546">
        <v>500</v>
      </c>
      <c r="F87" s="517">
        <v>100</v>
      </c>
      <c r="G87" s="518">
        <v>400</v>
      </c>
      <c r="H87" s="510">
        <v>0</v>
      </c>
      <c r="I87" s="547">
        <f t="shared" si="5"/>
        <v>500</v>
      </c>
      <c r="J87" s="550"/>
      <c r="K87" s="546">
        <v>500</v>
      </c>
      <c r="L87" s="517">
        <v>100</v>
      </c>
      <c r="M87" s="518">
        <v>400</v>
      </c>
      <c r="N87" s="510">
        <v>0</v>
      </c>
      <c r="O87" s="547">
        <f t="shared" si="6"/>
        <v>500</v>
      </c>
      <c r="P87" s="474" t="s">
        <v>592</v>
      </c>
      <c r="Q87" s="474" t="s">
        <v>740</v>
      </c>
    </row>
    <row r="88" spans="1:18" ht="15">
      <c r="A88" s="474" t="s">
        <v>742</v>
      </c>
      <c r="B88" s="544" t="s">
        <v>743</v>
      </c>
      <c r="C88" s="549"/>
      <c r="D88" s="545" t="s">
        <v>733</v>
      </c>
      <c r="E88" s="546">
        <v>250</v>
      </c>
      <c r="F88" s="509">
        <v>100</v>
      </c>
      <c r="G88" s="515">
        <v>150</v>
      </c>
      <c r="H88" s="510">
        <v>0</v>
      </c>
      <c r="I88" s="547">
        <f t="shared" si="5"/>
        <v>250</v>
      </c>
      <c r="J88" s="550"/>
      <c r="K88" s="546">
        <v>250</v>
      </c>
      <c r="L88" s="509">
        <v>100</v>
      </c>
      <c r="M88" s="515">
        <v>150</v>
      </c>
      <c r="N88" s="510">
        <v>0</v>
      </c>
      <c r="O88" s="547">
        <f t="shared" si="6"/>
        <v>250</v>
      </c>
      <c r="P88" s="474" t="s">
        <v>592</v>
      </c>
      <c r="Q88" s="474" t="s">
        <v>742</v>
      </c>
    </row>
    <row r="89" spans="1:18" ht="15">
      <c r="A89" s="474" t="s">
        <v>744</v>
      </c>
      <c r="B89" s="544" t="s">
        <v>745</v>
      </c>
      <c r="C89" s="549"/>
      <c r="D89" s="545" t="s">
        <v>733</v>
      </c>
      <c r="E89" s="546">
        <v>250</v>
      </c>
      <c r="F89" s="509">
        <v>100</v>
      </c>
      <c r="G89" s="515">
        <v>150</v>
      </c>
      <c r="H89" s="510">
        <v>0</v>
      </c>
      <c r="I89" s="547">
        <f t="shared" si="5"/>
        <v>250</v>
      </c>
      <c r="J89" s="550"/>
      <c r="K89" s="546">
        <v>250</v>
      </c>
      <c r="L89" s="509">
        <v>100</v>
      </c>
      <c r="M89" s="515">
        <v>150</v>
      </c>
      <c r="N89" s="510">
        <v>0</v>
      </c>
      <c r="O89" s="547">
        <f t="shared" si="6"/>
        <v>250</v>
      </c>
      <c r="P89" s="474" t="s">
        <v>592</v>
      </c>
      <c r="Q89" s="474" t="s">
        <v>744</v>
      </c>
    </row>
    <row r="90" spans="1:18" ht="15">
      <c r="A90" s="474" t="s">
        <v>746</v>
      </c>
      <c r="B90" s="544" t="s">
        <v>747</v>
      </c>
      <c r="C90" s="549"/>
      <c r="D90" s="545" t="s">
        <v>733</v>
      </c>
      <c r="E90" s="546">
        <v>250</v>
      </c>
      <c r="F90" s="509">
        <v>100</v>
      </c>
      <c r="G90" s="515">
        <v>150</v>
      </c>
      <c r="H90" s="510">
        <v>0</v>
      </c>
      <c r="I90" s="547">
        <f t="shared" si="5"/>
        <v>250</v>
      </c>
      <c r="J90" s="550"/>
      <c r="K90" s="546">
        <v>250</v>
      </c>
      <c r="L90" s="509">
        <v>100</v>
      </c>
      <c r="M90" s="515">
        <v>150</v>
      </c>
      <c r="N90" s="510">
        <v>0</v>
      </c>
      <c r="O90" s="547">
        <f t="shared" si="6"/>
        <v>250</v>
      </c>
      <c r="P90" s="474" t="s">
        <v>592</v>
      </c>
      <c r="Q90" s="474" t="s">
        <v>746</v>
      </c>
    </row>
    <row r="91" spans="1:18" ht="15">
      <c r="A91" s="474" t="s">
        <v>748</v>
      </c>
      <c r="B91" s="544" t="s">
        <v>749</v>
      </c>
      <c r="C91" s="549"/>
      <c r="D91" s="545" t="s">
        <v>733</v>
      </c>
      <c r="E91" s="551">
        <v>250</v>
      </c>
      <c r="F91" s="509">
        <v>100</v>
      </c>
      <c r="G91" s="509">
        <v>150</v>
      </c>
      <c r="H91" s="510">
        <v>0</v>
      </c>
      <c r="I91" s="547">
        <f t="shared" si="5"/>
        <v>250</v>
      </c>
      <c r="J91" s="550"/>
      <c r="K91" s="551">
        <v>250</v>
      </c>
      <c r="L91" s="509">
        <v>100</v>
      </c>
      <c r="M91" s="509">
        <v>150</v>
      </c>
      <c r="N91" s="510">
        <v>0</v>
      </c>
      <c r="O91" s="547">
        <f t="shared" si="6"/>
        <v>250</v>
      </c>
      <c r="P91" s="474" t="s">
        <v>592</v>
      </c>
      <c r="Q91" s="474" t="s">
        <v>748</v>
      </c>
    </row>
    <row r="92" spans="1:18" s="475" customFormat="1" ht="37.700000000000003" customHeight="1">
      <c r="B92" s="552" t="s">
        <v>750</v>
      </c>
      <c r="C92" s="553"/>
      <c r="D92" s="553"/>
      <c r="E92" s="553"/>
      <c r="F92" s="553"/>
      <c r="G92" s="553"/>
      <c r="H92" s="553"/>
      <c r="I92" s="553"/>
      <c r="J92" s="553"/>
      <c r="K92" s="553"/>
      <c r="L92" s="554"/>
      <c r="M92" s="554"/>
      <c r="N92" s="555"/>
    </row>
    <row r="93" spans="1:18" ht="15"/>
    <row r="94" spans="1:18" ht="15.75" hidden="1">
      <c r="B94" s="556" t="s">
        <v>751</v>
      </c>
      <c r="C94" s="557"/>
      <c r="D94" s="557"/>
      <c r="E94" s="557"/>
      <c r="F94" s="557"/>
      <c r="G94" s="557"/>
      <c r="H94" s="557"/>
      <c r="I94" s="557"/>
      <c r="J94" s="557"/>
      <c r="K94" s="557"/>
      <c r="L94" s="557"/>
      <c r="M94" s="557"/>
      <c r="N94" s="557"/>
      <c r="O94" s="558"/>
    </row>
    <row r="95" spans="1:18" ht="113.45" hidden="1" customHeight="1">
      <c r="I95" s="476" t="s">
        <v>752</v>
      </c>
    </row>
    <row r="96" spans="1:18" ht="120" hidden="1" customHeight="1">
      <c r="B96" s="620" t="s">
        <v>753</v>
      </c>
      <c r="C96" s="621"/>
      <c r="D96" s="621"/>
      <c r="E96" s="621"/>
      <c r="F96" s="621"/>
      <c r="G96" s="621"/>
      <c r="H96" s="621"/>
      <c r="I96" s="621"/>
      <c r="J96" s="621"/>
      <c r="K96" s="621"/>
      <c r="L96" s="621"/>
      <c r="M96" s="621"/>
      <c r="N96" s="622"/>
      <c r="Q96" s="474" t="s">
        <v>577</v>
      </c>
      <c r="R96" s="476"/>
    </row>
    <row r="97" spans="1:18" ht="12.75" customHeight="1">
      <c r="B97" s="625" t="s">
        <v>787</v>
      </c>
      <c r="C97" s="625"/>
      <c r="D97" s="625"/>
      <c r="E97" s="625"/>
      <c r="F97" s="625"/>
      <c r="G97" s="625"/>
      <c r="H97" s="625"/>
      <c r="I97" s="625"/>
      <c r="J97" s="625"/>
      <c r="K97" s="625"/>
      <c r="L97" s="625"/>
      <c r="M97" s="625"/>
      <c r="N97" s="625"/>
      <c r="O97" s="625"/>
      <c r="P97" s="625"/>
      <c r="R97" s="476"/>
    </row>
    <row r="98" spans="1:18" ht="12.75" customHeight="1">
      <c r="B98" s="623" t="s">
        <v>755</v>
      </c>
      <c r="C98" s="623"/>
      <c r="D98" s="623"/>
      <c r="E98" s="623"/>
      <c r="F98" s="476" t="s">
        <v>754</v>
      </c>
      <c r="G98" s="476" t="s">
        <v>584</v>
      </c>
      <c r="I98" s="476" t="s">
        <v>806</v>
      </c>
      <c r="J98" s="624" t="s">
        <v>795</v>
      </c>
      <c r="K98" s="624"/>
      <c r="L98" s="624"/>
      <c r="M98" s="624"/>
      <c r="N98" s="624"/>
      <c r="O98" s="624"/>
    </row>
    <row r="99" spans="1:18" ht="12.75" customHeight="1">
      <c r="A99" s="474" t="s">
        <v>756</v>
      </c>
      <c r="B99" s="519" t="s">
        <v>607</v>
      </c>
      <c r="C99" s="514"/>
      <c r="D99" s="516" t="s">
        <v>601</v>
      </c>
      <c r="E99" s="588">
        <v>5500</v>
      </c>
      <c r="F99" s="514">
        <v>2750</v>
      </c>
      <c r="G99" s="514">
        <v>2750</v>
      </c>
      <c r="H99" s="514">
        <f>F99+G99</f>
        <v>5500</v>
      </c>
      <c r="I99" s="498"/>
      <c r="J99" s="499"/>
      <c r="K99" s="500">
        <v>5600</v>
      </c>
      <c r="L99" s="517">
        <v>2800</v>
      </c>
      <c r="M99" s="518">
        <v>2800</v>
      </c>
      <c r="N99" s="510">
        <f>L99+M99</f>
        <v>5600</v>
      </c>
      <c r="O99" s="504"/>
      <c r="P99" s="474" t="s">
        <v>592</v>
      </c>
      <c r="Q99" s="474" t="s">
        <v>756</v>
      </c>
    </row>
    <row r="100" spans="1:18" ht="12.75" customHeight="1">
      <c r="A100" s="474" t="s">
        <v>757</v>
      </c>
      <c r="B100" s="520" t="s">
        <v>611</v>
      </c>
      <c r="C100" s="521"/>
      <c r="D100" s="516" t="s">
        <v>601</v>
      </c>
      <c r="E100" s="588">
        <v>5500</v>
      </c>
      <c r="F100" s="514">
        <v>2750</v>
      </c>
      <c r="G100" s="514">
        <v>2750</v>
      </c>
      <c r="H100" s="514">
        <f>F100+G100</f>
        <v>5500</v>
      </c>
      <c r="I100" s="498"/>
      <c r="J100" s="499"/>
      <c r="K100" s="500">
        <v>5600</v>
      </c>
      <c r="L100" s="517">
        <v>2800</v>
      </c>
      <c r="M100" s="518">
        <v>2800</v>
      </c>
      <c r="N100" s="510">
        <f t="shared" ref="N100:N127" si="7">L100+M100</f>
        <v>5600</v>
      </c>
      <c r="O100" s="504"/>
      <c r="P100" s="474" t="s">
        <v>592</v>
      </c>
      <c r="Q100" s="474" t="s">
        <v>757</v>
      </c>
    </row>
    <row r="101" spans="1:18" ht="12.75" customHeight="1">
      <c r="A101" s="474" t="s">
        <v>758</v>
      </c>
      <c r="B101" s="495" t="s">
        <v>623</v>
      </c>
      <c r="C101" s="495"/>
      <c r="D101" s="495" t="s">
        <v>619</v>
      </c>
      <c r="E101" s="586">
        <v>5000</v>
      </c>
      <c r="F101" s="514">
        <v>2650</v>
      </c>
      <c r="G101" s="514">
        <v>2350</v>
      </c>
      <c r="H101" s="497">
        <f>F101+G101</f>
        <v>5000</v>
      </c>
      <c r="I101" s="498"/>
      <c r="J101" s="499"/>
      <c r="K101" s="508">
        <v>5060</v>
      </c>
      <c r="L101" s="509">
        <v>2700</v>
      </c>
      <c r="M101" s="515">
        <v>2360</v>
      </c>
      <c r="N101" s="510">
        <f t="shared" si="7"/>
        <v>5060</v>
      </c>
      <c r="O101" s="504"/>
      <c r="P101" s="474" t="s">
        <v>592</v>
      </c>
      <c r="Q101" s="474" t="s">
        <v>758</v>
      </c>
    </row>
    <row r="102" spans="1:18" ht="12.75" customHeight="1">
      <c r="A102" s="474" t="s">
        <v>759</v>
      </c>
      <c r="B102" s="527" t="s">
        <v>628</v>
      </c>
      <c r="C102" s="528"/>
      <c r="D102" s="495" t="s">
        <v>626</v>
      </c>
      <c r="E102" s="586">
        <v>5000</v>
      </c>
      <c r="F102" s="514">
        <v>2650</v>
      </c>
      <c r="G102" s="514">
        <v>2350</v>
      </c>
      <c r="H102" s="497">
        <f t="shared" ref="H102:H107" si="8">F102+G102</f>
        <v>5000</v>
      </c>
      <c r="I102" s="498"/>
      <c r="J102" s="499"/>
      <c r="K102" s="500">
        <v>5060</v>
      </c>
      <c r="L102" s="509">
        <v>2700</v>
      </c>
      <c r="M102" s="515">
        <v>2360</v>
      </c>
      <c r="N102" s="510">
        <f t="shared" si="7"/>
        <v>5060</v>
      </c>
      <c r="O102" s="504"/>
      <c r="P102" s="474" t="s">
        <v>592</v>
      </c>
      <c r="Q102" s="474" t="s">
        <v>759</v>
      </c>
    </row>
    <row r="103" spans="1:18" ht="12.75" customHeight="1">
      <c r="A103" s="474" t="s">
        <v>760</v>
      </c>
      <c r="B103" s="495" t="s">
        <v>630</v>
      </c>
      <c r="C103" s="495"/>
      <c r="D103" s="495" t="s">
        <v>631</v>
      </c>
      <c r="E103" s="586">
        <v>5000</v>
      </c>
      <c r="F103" s="514">
        <v>2650</v>
      </c>
      <c r="G103" s="514">
        <v>2350</v>
      </c>
      <c r="H103" s="497">
        <f t="shared" si="8"/>
        <v>5000</v>
      </c>
      <c r="I103" s="498"/>
      <c r="J103" s="499"/>
      <c r="K103" s="508">
        <v>5060</v>
      </c>
      <c r="L103" s="509">
        <v>2700</v>
      </c>
      <c r="M103" s="515">
        <v>2360</v>
      </c>
      <c r="N103" s="510">
        <f t="shared" si="7"/>
        <v>5060</v>
      </c>
      <c r="O103" s="504"/>
      <c r="P103" s="474" t="s">
        <v>592</v>
      </c>
      <c r="Q103" s="474" t="s">
        <v>760</v>
      </c>
    </row>
    <row r="104" spans="1:18" ht="12.75" customHeight="1">
      <c r="A104" s="474" t="s">
        <v>761</v>
      </c>
      <c r="B104" s="495" t="s">
        <v>633</v>
      </c>
      <c r="C104" s="495"/>
      <c r="D104" s="495" t="s">
        <v>631</v>
      </c>
      <c r="E104" s="586">
        <v>5000</v>
      </c>
      <c r="F104" s="514">
        <v>2650</v>
      </c>
      <c r="G104" s="514">
        <v>2350</v>
      </c>
      <c r="H104" s="497">
        <f t="shared" si="8"/>
        <v>5000</v>
      </c>
      <c r="I104" s="498"/>
      <c r="J104" s="499"/>
      <c r="K104" s="508">
        <v>5060</v>
      </c>
      <c r="L104" s="509">
        <v>2700</v>
      </c>
      <c r="M104" s="515">
        <v>2360</v>
      </c>
      <c r="N104" s="510">
        <f t="shared" si="7"/>
        <v>5060</v>
      </c>
      <c r="O104" s="504"/>
      <c r="P104" s="474" t="s">
        <v>592</v>
      </c>
      <c r="Q104" s="474" t="s">
        <v>761</v>
      </c>
    </row>
    <row r="105" spans="1:18" ht="12.75" customHeight="1">
      <c r="A105" s="474" t="s">
        <v>762</v>
      </c>
      <c r="B105" s="507" t="s">
        <v>635</v>
      </c>
      <c r="C105" s="507"/>
      <c r="D105" s="495" t="s">
        <v>631</v>
      </c>
      <c r="E105" s="586">
        <v>5000</v>
      </c>
      <c r="F105" s="514">
        <v>2650</v>
      </c>
      <c r="G105" s="514">
        <v>2350</v>
      </c>
      <c r="H105" s="497">
        <f t="shared" si="8"/>
        <v>5000</v>
      </c>
      <c r="I105" s="498"/>
      <c r="J105" s="499"/>
      <c r="K105" s="508">
        <v>5060</v>
      </c>
      <c r="L105" s="509">
        <v>2700</v>
      </c>
      <c r="M105" s="515">
        <v>2360</v>
      </c>
      <c r="N105" s="510">
        <f t="shared" si="7"/>
        <v>5060</v>
      </c>
      <c r="O105" s="504"/>
      <c r="P105" s="474" t="s">
        <v>592</v>
      </c>
      <c r="Q105" s="474" t="s">
        <v>762</v>
      </c>
    </row>
    <row r="106" spans="1:18" ht="12.75" customHeight="1">
      <c r="A106" s="474" t="s">
        <v>763</v>
      </c>
      <c r="B106" s="525" t="s">
        <v>637</v>
      </c>
      <c r="C106" s="526"/>
      <c r="D106" s="495" t="s">
        <v>631</v>
      </c>
      <c r="E106" s="586">
        <v>5000</v>
      </c>
      <c r="F106" s="514">
        <v>2650</v>
      </c>
      <c r="G106" s="514">
        <v>2350</v>
      </c>
      <c r="H106" s="497">
        <f t="shared" si="8"/>
        <v>5000</v>
      </c>
      <c r="I106" s="498"/>
      <c r="J106" s="499"/>
      <c r="K106" s="508">
        <v>5060</v>
      </c>
      <c r="L106" s="509">
        <v>2700</v>
      </c>
      <c r="M106" s="515">
        <v>2360</v>
      </c>
      <c r="N106" s="510">
        <f t="shared" si="7"/>
        <v>5060</v>
      </c>
      <c r="O106" s="504"/>
      <c r="P106" s="474" t="s">
        <v>592</v>
      </c>
      <c r="Q106" s="474" t="s">
        <v>763</v>
      </c>
    </row>
    <row r="107" spans="1:18" ht="12.75" customHeight="1">
      <c r="A107" s="474" t="s">
        <v>764</v>
      </c>
      <c r="B107" s="507" t="s">
        <v>639</v>
      </c>
      <c r="C107" s="507"/>
      <c r="D107" s="495" t="s">
        <v>631</v>
      </c>
      <c r="E107" s="586">
        <v>5000</v>
      </c>
      <c r="F107" s="514">
        <v>2650</v>
      </c>
      <c r="G107" s="514">
        <v>2350</v>
      </c>
      <c r="H107" s="497">
        <f t="shared" si="8"/>
        <v>5000</v>
      </c>
      <c r="I107" s="498"/>
      <c r="J107" s="499"/>
      <c r="K107" s="508">
        <v>5060</v>
      </c>
      <c r="L107" s="509">
        <v>2700</v>
      </c>
      <c r="M107" s="515">
        <v>2360</v>
      </c>
      <c r="N107" s="510">
        <f t="shared" si="7"/>
        <v>5060</v>
      </c>
      <c r="O107" s="504"/>
      <c r="P107" s="474" t="s">
        <v>592</v>
      </c>
      <c r="Q107" s="474" t="s">
        <v>764</v>
      </c>
    </row>
    <row r="108" spans="1:18" ht="12.75" customHeight="1">
      <c r="A108" s="474" t="s">
        <v>765</v>
      </c>
      <c r="B108" s="495" t="s">
        <v>641</v>
      </c>
      <c r="D108" s="495" t="s">
        <v>631</v>
      </c>
      <c r="E108" s="586">
        <v>3000</v>
      </c>
      <c r="F108" s="497">
        <v>1650</v>
      </c>
      <c r="G108" s="497">
        <v>1350</v>
      </c>
      <c r="H108" s="497">
        <f>F108+G108</f>
        <v>3000</v>
      </c>
      <c r="I108" s="498"/>
      <c r="J108" s="499"/>
      <c r="K108" s="508">
        <v>3050</v>
      </c>
      <c r="L108" s="509">
        <v>1700</v>
      </c>
      <c r="M108" s="515">
        <v>1350</v>
      </c>
      <c r="N108" s="510">
        <f t="shared" si="7"/>
        <v>3050</v>
      </c>
      <c r="O108" s="504"/>
      <c r="P108" s="474" t="s">
        <v>592</v>
      </c>
      <c r="Q108" s="474" t="s">
        <v>765</v>
      </c>
    </row>
    <row r="109" spans="1:18" ht="12.75" customHeight="1">
      <c r="A109" s="474" t="s">
        <v>766</v>
      </c>
      <c r="B109" s="495" t="s">
        <v>643</v>
      </c>
      <c r="D109" s="495" t="s">
        <v>631</v>
      </c>
      <c r="E109" s="586">
        <v>5000</v>
      </c>
      <c r="F109" s="514">
        <v>2650</v>
      </c>
      <c r="G109" s="514">
        <v>2350</v>
      </c>
      <c r="H109" s="497">
        <f t="shared" ref="H109:H111" si="9">F109+G109</f>
        <v>5000</v>
      </c>
      <c r="I109" s="498"/>
      <c r="J109" s="499"/>
      <c r="K109" s="508">
        <v>5060</v>
      </c>
      <c r="L109" s="509">
        <v>2700</v>
      </c>
      <c r="M109" s="515">
        <v>2360</v>
      </c>
      <c r="N109" s="510">
        <f t="shared" si="7"/>
        <v>5060</v>
      </c>
      <c r="O109" s="504"/>
      <c r="P109" s="474" t="s">
        <v>592</v>
      </c>
      <c r="Q109" s="474" t="s">
        <v>766</v>
      </c>
    </row>
    <row r="110" spans="1:18" ht="12.75" customHeight="1">
      <c r="A110" s="474" t="s">
        <v>767</v>
      </c>
      <c r="B110" s="495" t="s">
        <v>645</v>
      </c>
      <c r="C110" s="495"/>
      <c r="D110" s="495" t="s">
        <v>631</v>
      </c>
      <c r="E110" s="586">
        <v>5000</v>
      </c>
      <c r="F110" s="514">
        <v>2650</v>
      </c>
      <c r="G110" s="514">
        <v>2350</v>
      </c>
      <c r="H110" s="497">
        <f t="shared" si="9"/>
        <v>5000</v>
      </c>
      <c r="I110" s="498"/>
      <c r="J110" s="499"/>
      <c r="K110" s="508">
        <v>5060</v>
      </c>
      <c r="L110" s="509">
        <v>2700</v>
      </c>
      <c r="M110" s="515">
        <v>2360</v>
      </c>
      <c r="N110" s="510">
        <f t="shared" si="7"/>
        <v>5060</v>
      </c>
      <c r="O110" s="504"/>
      <c r="P110" s="474" t="s">
        <v>592</v>
      </c>
      <c r="Q110" s="474" t="s">
        <v>767</v>
      </c>
    </row>
    <row r="111" spans="1:18" ht="12.75" customHeight="1">
      <c r="A111" s="474" t="s">
        <v>768</v>
      </c>
      <c r="B111" s="495" t="s">
        <v>649</v>
      </c>
      <c r="C111" s="495"/>
      <c r="D111" s="495" t="s">
        <v>631</v>
      </c>
      <c r="E111" s="586">
        <v>5000</v>
      </c>
      <c r="F111" s="514">
        <v>2650</v>
      </c>
      <c r="G111" s="514">
        <v>2350</v>
      </c>
      <c r="H111" s="497">
        <f t="shared" si="9"/>
        <v>5000</v>
      </c>
      <c r="I111" s="498"/>
      <c r="J111" s="499"/>
      <c r="K111" s="508">
        <v>5060</v>
      </c>
      <c r="L111" s="509">
        <v>2700</v>
      </c>
      <c r="M111" s="515">
        <v>2360</v>
      </c>
      <c r="N111" s="510">
        <f t="shared" si="7"/>
        <v>5060</v>
      </c>
      <c r="O111" s="504"/>
      <c r="P111" s="474" t="s">
        <v>592</v>
      </c>
      <c r="Q111" s="474" t="s">
        <v>768</v>
      </c>
    </row>
    <row r="112" spans="1:18" ht="12.75" customHeight="1">
      <c r="A112" s="474" t="s">
        <v>769</v>
      </c>
      <c r="B112" s="495" t="s">
        <v>651</v>
      </c>
      <c r="C112" s="495"/>
      <c r="D112" s="495" t="s">
        <v>631</v>
      </c>
      <c r="E112" s="586">
        <v>3000</v>
      </c>
      <c r="F112" s="497">
        <v>1650</v>
      </c>
      <c r="G112" s="497">
        <v>1350</v>
      </c>
      <c r="H112" s="497">
        <f>F112+G112</f>
        <v>3000</v>
      </c>
      <c r="I112" s="498"/>
      <c r="J112" s="499"/>
      <c r="K112" s="508">
        <v>3050</v>
      </c>
      <c r="L112" s="509">
        <v>1700</v>
      </c>
      <c r="M112" s="515">
        <v>1350</v>
      </c>
      <c r="N112" s="510">
        <f t="shared" si="7"/>
        <v>3050</v>
      </c>
      <c r="O112" s="504"/>
      <c r="P112" s="474" t="s">
        <v>592</v>
      </c>
      <c r="Q112" s="474" t="s">
        <v>769</v>
      </c>
    </row>
    <row r="113" spans="1:17" ht="12.75" customHeight="1">
      <c r="A113" s="474" t="s">
        <v>770</v>
      </c>
      <c r="B113" s="495" t="s">
        <v>653</v>
      </c>
      <c r="C113" s="495"/>
      <c r="D113" s="495" t="s">
        <v>631</v>
      </c>
      <c r="E113" s="586">
        <v>5000</v>
      </c>
      <c r="F113" s="514">
        <v>2650</v>
      </c>
      <c r="G113" s="514">
        <v>2350</v>
      </c>
      <c r="H113" s="497">
        <f t="shared" ref="H113:H115" si="10">F113+G113</f>
        <v>5000</v>
      </c>
      <c r="I113" s="498"/>
      <c r="J113" s="499"/>
      <c r="K113" s="508">
        <v>5060</v>
      </c>
      <c r="L113" s="509">
        <v>2700</v>
      </c>
      <c r="M113" s="515">
        <v>2360</v>
      </c>
      <c r="N113" s="510">
        <f t="shared" si="7"/>
        <v>5060</v>
      </c>
      <c r="O113" s="504"/>
      <c r="P113" s="474" t="s">
        <v>592</v>
      </c>
      <c r="Q113" s="474" t="s">
        <v>770</v>
      </c>
    </row>
    <row r="114" spans="1:17" ht="12.75" customHeight="1">
      <c r="A114" s="474" t="s">
        <v>771</v>
      </c>
      <c r="B114" s="495" t="s">
        <v>655</v>
      </c>
      <c r="C114" s="495"/>
      <c r="D114" s="495" t="s">
        <v>631</v>
      </c>
      <c r="E114" s="586">
        <v>5000</v>
      </c>
      <c r="F114" s="514">
        <v>2650</v>
      </c>
      <c r="G114" s="514">
        <v>2350</v>
      </c>
      <c r="H114" s="497">
        <f t="shared" si="10"/>
        <v>5000</v>
      </c>
      <c r="I114" s="498"/>
      <c r="J114" s="499"/>
      <c r="K114" s="508">
        <v>5060</v>
      </c>
      <c r="L114" s="509">
        <v>2700</v>
      </c>
      <c r="M114" s="515">
        <v>2360</v>
      </c>
      <c r="N114" s="510">
        <f t="shared" si="7"/>
        <v>5060</v>
      </c>
      <c r="O114" s="504"/>
      <c r="P114" s="474" t="s">
        <v>592</v>
      </c>
      <c r="Q114" s="474" t="s">
        <v>771</v>
      </c>
    </row>
    <row r="115" spans="1:17" ht="12.75" customHeight="1">
      <c r="A115" s="474" t="s">
        <v>772</v>
      </c>
      <c r="B115" s="495" t="s">
        <v>657</v>
      </c>
      <c r="C115" s="495"/>
      <c r="D115" s="495" t="s">
        <v>631</v>
      </c>
      <c r="E115" s="586">
        <v>5000</v>
      </c>
      <c r="F115" s="497">
        <v>1650</v>
      </c>
      <c r="G115" s="497">
        <v>1350</v>
      </c>
      <c r="H115" s="497">
        <f t="shared" si="10"/>
        <v>3000</v>
      </c>
      <c r="I115" s="498"/>
      <c r="J115" s="499"/>
      <c r="K115" s="508">
        <v>3050</v>
      </c>
      <c r="L115" s="509">
        <v>1700</v>
      </c>
      <c r="M115" s="515">
        <v>1350</v>
      </c>
      <c r="N115" s="510">
        <f t="shared" si="7"/>
        <v>3050</v>
      </c>
      <c r="O115" s="504"/>
      <c r="P115" s="474" t="s">
        <v>592</v>
      </c>
      <c r="Q115" s="474" t="s">
        <v>772</v>
      </c>
    </row>
    <row r="116" spans="1:17" ht="12.75" customHeight="1">
      <c r="A116" s="474" t="s">
        <v>773</v>
      </c>
      <c r="B116" s="495" t="s">
        <v>659</v>
      </c>
      <c r="C116" s="495"/>
      <c r="D116" s="495" t="s">
        <v>631</v>
      </c>
      <c r="E116" s="586">
        <v>3000</v>
      </c>
      <c r="F116" s="497">
        <v>1650</v>
      </c>
      <c r="G116" s="497">
        <v>1350</v>
      </c>
      <c r="H116" s="497">
        <f>F116+G116</f>
        <v>3000</v>
      </c>
      <c r="I116" s="498"/>
      <c r="J116" s="499"/>
      <c r="K116" s="508">
        <v>3050</v>
      </c>
      <c r="L116" s="509">
        <v>1700</v>
      </c>
      <c r="M116" s="515">
        <v>1350</v>
      </c>
      <c r="N116" s="510">
        <f t="shared" si="7"/>
        <v>3050</v>
      </c>
      <c r="O116" s="504"/>
      <c r="P116" s="474" t="s">
        <v>592</v>
      </c>
      <c r="Q116" s="474" t="s">
        <v>773</v>
      </c>
    </row>
    <row r="117" spans="1:17" ht="12.75" customHeight="1">
      <c r="A117" s="474" t="s">
        <v>774</v>
      </c>
      <c r="B117" s="495" t="s">
        <v>661</v>
      </c>
      <c r="C117" s="495"/>
      <c r="D117" s="495" t="s">
        <v>631</v>
      </c>
      <c r="E117" s="586">
        <v>5000</v>
      </c>
      <c r="F117" s="514">
        <v>2650</v>
      </c>
      <c r="G117" s="514">
        <v>2350</v>
      </c>
      <c r="H117" s="497">
        <f t="shared" ref="H117:H119" si="11">F117+G117</f>
        <v>5000</v>
      </c>
      <c r="I117" s="498"/>
      <c r="J117" s="499"/>
      <c r="K117" s="508">
        <v>5060</v>
      </c>
      <c r="L117" s="509">
        <v>2700</v>
      </c>
      <c r="M117" s="515">
        <v>2360</v>
      </c>
      <c r="N117" s="510">
        <f t="shared" si="7"/>
        <v>5060</v>
      </c>
      <c r="O117" s="504"/>
      <c r="P117" s="474" t="s">
        <v>592</v>
      </c>
      <c r="Q117" s="474" t="s">
        <v>774</v>
      </c>
    </row>
    <row r="118" spans="1:17" ht="12.75" customHeight="1">
      <c r="A118" s="474" t="s">
        <v>775</v>
      </c>
      <c r="B118" s="495" t="s">
        <v>663</v>
      </c>
      <c r="C118" s="495"/>
      <c r="D118" s="495" t="s">
        <v>631</v>
      </c>
      <c r="E118" s="586">
        <v>5000</v>
      </c>
      <c r="F118" s="514">
        <v>2650</v>
      </c>
      <c r="G118" s="514">
        <v>2350</v>
      </c>
      <c r="H118" s="497">
        <f t="shared" si="11"/>
        <v>5000</v>
      </c>
      <c r="I118" s="498"/>
      <c r="J118" s="499"/>
      <c r="K118" s="508">
        <v>5060</v>
      </c>
      <c r="L118" s="509">
        <v>2700</v>
      </c>
      <c r="M118" s="515">
        <v>2360</v>
      </c>
      <c r="N118" s="510">
        <f t="shared" si="7"/>
        <v>5060</v>
      </c>
      <c r="O118" s="504"/>
      <c r="P118" s="474" t="s">
        <v>592</v>
      </c>
      <c r="Q118" s="474" t="s">
        <v>775</v>
      </c>
    </row>
    <row r="119" spans="1:17" ht="12.75" customHeight="1">
      <c r="A119" s="474" t="s">
        <v>776</v>
      </c>
      <c r="B119" s="531" t="s">
        <v>669</v>
      </c>
      <c r="C119" s="496"/>
      <c r="D119" s="495" t="s">
        <v>631</v>
      </c>
      <c r="E119" s="586">
        <v>5000</v>
      </c>
      <c r="F119" s="514">
        <v>2650</v>
      </c>
      <c r="G119" s="514">
        <v>2350</v>
      </c>
      <c r="H119" s="497">
        <f t="shared" si="11"/>
        <v>5000</v>
      </c>
      <c r="I119" s="498"/>
      <c r="J119" s="499"/>
      <c r="K119" s="508">
        <v>5060</v>
      </c>
      <c r="L119" s="509">
        <v>2700</v>
      </c>
      <c r="M119" s="515">
        <v>2360</v>
      </c>
      <c r="N119" s="510">
        <f t="shared" si="7"/>
        <v>5060</v>
      </c>
      <c r="O119" s="504"/>
      <c r="P119" s="474" t="s">
        <v>592</v>
      </c>
      <c r="Q119" s="474" t="s">
        <v>776</v>
      </c>
    </row>
    <row r="120" spans="1:17" ht="12.75" customHeight="1">
      <c r="A120" s="474" t="s">
        <v>777</v>
      </c>
      <c r="B120" s="495" t="s">
        <v>681</v>
      </c>
      <c r="C120" s="495"/>
      <c r="D120" s="495" t="s">
        <v>631</v>
      </c>
      <c r="E120" s="586">
        <v>3000</v>
      </c>
      <c r="F120" s="497">
        <v>1650</v>
      </c>
      <c r="G120" s="497">
        <v>1350</v>
      </c>
      <c r="H120" s="497">
        <f>F120+G120</f>
        <v>3000</v>
      </c>
      <c r="I120" s="498"/>
      <c r="J120" s="499"/>
      <c r="K120" s="508">
        <v>3050</v>
      </c>
      <c r="L120" s="509">
        <v>1700</v>
      </c>
      <c r="M120" s="515">
        <v>1350</v>
      </c>
      <c r="N120" s="510">
        <f t="shared" si="7"/>
        <v>3050</v>
      </c>
      <c r="O120" s="504"/>
      <c r="P120" s="474" t="s">
        <v>592</v>
      </c>
      <c r="Q120" s="474" t="s">
        <v>777</v>
      </c>
    </row>
    <row r="121" spans="1:17" ht="12.75" customHeight="1">
      <c r="A121" s="474" t="s">
        <v>778</v>
      </c>
      <c r="B121" s="495" t="s">
        <v>687</v>
      </c>
      <c r="C121" s="495"/>
      <c r="D121" s="495" t="s">
        <v>631</v>
      </c>
      <c r="E121" s="586">
        <v>5000</v>
      </c>
      <c r="F121" s="514">
        <v>2650</v>
      </c>
      <c r="G121" s="514">
        <v>2350</v>
      </c>
      <c r="H121" s="497">
        <f t="shared" ref="H121:H122" si="12">F121+G121</f>
        <v>5000</v>
      </c>
      <c r="I121" s="498"/>
      <c r="J121" s="499"/>
      <c r="K121" s="508">
        <v>5060</v>
      </c>
      <c r="L121" s="509">
        <v>2700</v>
      </c>
      <c r="M121" s="515">
        <v>2360</v>
      </c>
      <c r="N121" s="510">
        <f t="shared" si="7"/>
        <v>5060</v>
      </c>
      <c r="O121" s="504"/>
      <c r="P121" s="474" t="s">
        <v>592</v>
      </c>
      <c r="Q121" s="474" t="s">
        <v>778</v>
      </c>
    </row>
    <row r="122" spans="1:17" ht="12.75" customHeight="1">
      <c r="A122" s="474" t="s">
        <v>779</v>
      </c>
      <c r="B122" s="495" t="s">
        <v>689</v>
      </c>
      <c r="C122" s="495"/>
      <c r="D122" s="495" t="s">
        <v>631</v>
      </c>
      <c r="E122" s="586">
        <v>5000</v>
      </c>
      <c r="F122" s="514">
        <v>2650</v>
      </c>
      <c r="G122" s="514">
        <v>2350</v>
      </c>
      <c r="H122" s="497">
        <f t="shared" si="12"/>
        <v>5000</v>
      </c>
      <c r="I122" s="498"/>
      <c r="J122" s="499"/>
      <c r="K122" s="508">
        <v>5060</v>
      </c>
      <c r="L122" s="509">
        <v>2700</v>
      </c>
      <c r="M122" s="515">
        <v>2360</v>
      </c>
      <c r="N122" s="510">
        <f t="shared" si="7"/>
        <v>5060</v>
      </c>
      <c r="O122" s="504"/>
      <c r="P122" s="474" t="s">
        <v>592</v>
      </c>
      <c r="Q122" s="474" t="s">
        <v>779</v>
      </c>
    </row>
    <row r="123" spans="1:17" ht="12.75" customHeight="1">
      <c r="A123" s="474" t="s">
        <v>780</v>
      </c>
      <c r="B123" s="495" t="s">
        <v>691</v>
      </c>
      <c r="C123" s="532"/>
      <c r="D123" s="495" t="s">
        <v>631</v>
      </c>
      <c r="E123" s="586">
        <v>3000</v>
      </c>
      <c r="F123" s="497">
        <v>1650</v>
      </c>
      <c r="G123" s="497">
        <v>1350</v>
      </c>
      <c r="H123" s="497">
        <f>F123+G123</f>
        <v>3000</v>
      </c>
      <c r="I123" s="498"/>
      <c r="J123" s="499"/>
      <c r="K123" s="508">
        <v>3050</v>
      </c>
      <c r="L123" s="509">
        <v>1700</v>
      </c>
      <c r="M123" s="515">
        <v>1350</v>
      </c>
      <c r="N123" s="510">
        <f t="shared" si="7"/>
        <v>3050</v>
      </c>
      <c r="O123" s="504"/>
      <c r="P123" s="474" t="s">
        <v>592</v>
      </c>
      <c r="Q123" s="474" t="s">
        <v>780</v>
      </c>
    </row>
    <row r="124" spans="1:17" ht="12.75" customHeight="1">
      <c r="A124" s="474" t="s">
        <v>781</v>
      </c>
      <c r="B124" s="495" t="s">
        <v>693</v>
      </c>
      <c r="C124" s="495"/>
      <c r="D124" s="495" t="s">
        <v>631</v>
      </c>
      <c r="E124" s="586">
        <v>5000</v>
      </c>
      <c r="F124" s="514">
        <v>2650</v>
      </c>
      <c r="G124" s="514">
        <v>2350</v>
      </c>
      <c r="H124" s="497">
        <f t="shared" ref="H124:H126" si="13">F124+G124</f>
        <v>5000</v>
      </c>
      <c r="I124" s="498"/>
      <c r="J124" s="499"/>
      <c r="K124" s="508">
        <v>5060</v>
      </c>
      <c r="L124" s="509">
        <v>2700</v>
      </c>
      <c r="M124" s="515">
        <v>2360</v>
      </c>
      <c r="N124" s="510">
        <f t="shared" si="7"/>
        <v>5060</v>
      </c>
      <c r="O124" s="504"/>
      <c r="P124" s="474" t="s">
        <v>592</v>
      </c>
      <c r="Q124" s="474" t="s">
        <v>781</v>
      </c>
    </row>
    <row r="125" spans="1:17" ht="12.75" customHeight="1">
      <c r="A125" s="474" t="s">
        <v>782</v>
      </c>
      <c r="B125" s="533" t="s">
        <v>697</v>
      </c>
      <c r="C125" s="533"/>
      <c r="D125" s="495" t="s">
        <v>631</v>
      </c>
      <c r="E125" s="586">
        <v>5000</v>
      </c>
      <c r="F125" s="514">
        <v>2650</v>
      </c>
      <c r="G125" s="514">
        <v>2350</v>
      </c>
      <c r="H125" s="497">
        <f t="shared" si="13"/>
        <v>5000</v>
      </c>
      <c r="I125" s="498"/>
      <c r="J125" s="499"/>
      <c r="K125" s="508">
        <v>5060</v>
      </c>
      <c r="L125" s="509">
        <v>2700</v>
      </c>
      <c r="M125" s="515">
        <v>2360</v>
      </c>
      <c r="N125" s="510">
        <f t="shared" si="7"/>
        <v>5060</v>
      </c>
      <c r="O125" s="504"/>
      <c r="P125" s="474" t="s">
        <v>592</v>
      </c>
      <c r="Q125" s="474" t="s">
        <v>782</v>
      </c>
    </row>
    <row r="126" spans="1:17" ht="12.75" customHeight="1">
      <c r="A126" s="474" t="s">
        <v>783</v>
      </c>
      <c r="B126" s="505" t="s">
        <v>699</v>
      </c>
      <c r="C126" s="497"/>
      <c r="D126" s="497" t="s">
        <v>631</v>
      </c>
      <c r="E126" s="586">
        <v>5000</v>
      </c>
      <c r="F126" s="514">
        <v>2650</v>
      </c>
      <c r="G126" s="514">
        <v>2350</v>
      </c>
      <c r="H126" s="497">
        <f t="shared" si="13"/>
        <v>5000</v>
      </c>
      <c r="I126" s="498"/>
      <c r="J126" s="499"/>
      <c r="K126" s="508">
        <v>5060</v>
      </c>
      <c r="L126" s="509">
        <v>2700</v>
      </c>
      <c r="M126" s="515">
        <v>2360</v>
      </c>
      <c r="N126" s="510">
        <f t="shared" si="7"/>
        <v>5060</v>
      </c>
      <c r="O126" s="504"/>
      <c r="P126" s="474" t="s">
        <v>592</v>
      </c>
      <c r="Q126" s="474" t="s">
        <v>783</v>
      </c>
    </row>
    <row r="127" spans="1:17" ht="12.75" customHeight="1">
      <c r="A127" s="474" t="s">
        <v>784</v>
      </c>
      <c r="B127" s="495" t="s">
        <v>679</v>
      </c>
      <c r="C127" s="495"/>
      <c r="D127" s="495" t="s">
        <v>631</v>
      </c>
      <c r="E127" s="586">
        <v>3000</v>
      </c>
      <c r="F127" s="497">
        <v>1650</v>
      </c>
      <c r="G127" s="497">
        <v>1350</v>
      </c>
      <c r="H127" s="497">
        <f>F127+G127</f>
        <v>3000</v>
      </c>
      <c r="I127" s="498"/>
      <c r="J127" s="499"/>
      <c r="K127" s="508">
        <v>3050</v>
      </c>
      <c r="L127" s="509">
        <v>1700</v>
      </c>
      <c r="M127" s="515">
        <v>1350</v>
      </c>
      <c r="N127" s="510">
        <f t="shared" si="7"/>
        <v>3050</v>
      </c>
      <c r="O127" s="504"/>
      <c r="P127" s="474" t="s">
        <v>592</v>
      </c>
      <c r="Q127" s="474" t="s">
        <v>784</v>
      </c>
    </row>
    <row r="128" spans="1:17" ht="12.75" customHeight="1">
      <c r="A128" s="474" t="s">
        <v>785</v>
      </c>
      <c r="B128" s="495" t="s">
        <v>594</v>
      </c>
      <c r="C128" s="505"/>
      <c r="D128" s="495" t="s">
        <v>591</v>
      </c>
      <c r="E128" s="586">
        <v>3480</v>
      </c>
      <c r="F128" s="496">
        <v>1990</v>
      </c>
      <c r="G128" s="497">
        <v>1490</v>
      </c>
      <c r="H128" s="497">
        <v>0</v>
      </c>
      <c r="I128" s="498">
        <f>F128+G128+H128</f>
        <v>3480</v>
      </c>
      <c r="J128" s="499"/>
      <c r="K128" s="500">
        <v>3480</v>
      </c>
      <c r="L128" s="506">
        <v>1990</v>
      </c>
      <c r="M128" s="506">
        <v>1490</v>
      </c>
      <c r="N128" s="573">
        <v>0</v>
      </c>
      <c r="O128" s="504"/>
    </row>
    <row r="130" spans="11:11" ht="12.75" customHeight="1">
      <c r="K130" s="474" t="s">
        <v>577</v>
      </c>
    </row>
    <row r="131" spans="11:11" ht="12.75" customHeight="1">
      <c r="K131" s="474" t="s">
        <v>578</v>
      </c>
    </row>
  </sheetData>
  <mergeCells count="7">
    <mergeCell ref="L4:N4"/>
    <mergeCell ref="L6:N6"/>
    <mergeCell ref="B48:C48"/>
    <mergeCell ref="B96:N96"/>
    <mergeCell ref="B98:E98"/>
    <mergeCell ref="J98:O98"/>
    <mergeCell ref="B97:P97"/>
  </mergeCells>
  <pageMargins left="0.7" right="0.7" top="0.75" bottom="0.75" header="0.3" footer="0.3"/>
  <ignoredErrors>
    <ignoredError sqref="O12 O9"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CAEA-D26D-438A-934F-7A16F88AB3B4}">
  <dimension ref="A1"/>
  <sheetViews>
    <sheetView workbookViewId="0"/>
  </sheetViews>
  <sheetFormatPr defaultRowHeight="12.7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6CBC-E88A-4816-A615-86A0E648FB59}">
  <sheetPr>
    <tabColor rgb="FFFF66FF"/>
  </sheetPr>
  <dimension ref="A1:C36"/>
  <sheetViews>
    <sheetView workbookViewId="0">
      <selection activeCell="B36" sqref="B36"/>
    </sheetView>
  </sheetViews>
  <sheetFormatPr defaultRowHeight="12.75"/>
  <cols>
    <col min="1" max="1" width="56.42578125" bestFit="1" customWidth="1"/>
    <col min="2" max="2" width="56.42578125" customWidth="1"/>
    <col min="3" max="3" width="32.42578125" customWidth="1"/>
  </cols>
  <sheetData>
    <row r="1" spans="1:3" ht="23.25">
      <c r="A1" s="304"/>
      <c r="B1" s="304"/>
    </row>
    <row r="2" spans="1:3" ht="23.85" customHeight="1">
      <c r="A2" s="305" t="s">
        <v>335</v>
      </c>
      <c r="B2" s="305"/>
    </row>
    <row r="3" spans="1:3" ht="21.4" customHeight="1">
      <c r="A3" s="306" t="s">
        <v>336</v>
      </c>
      <c r="B3" s="306"/>
    </row>
    <row r="4" spans="1:3" ht="16.350000000000001" customHeight="1" thickBot="1">
      <c r="A4" s="319" t="s">
        <v>407</v>
      </c>
      <c r="B4" s="319"/>
      <c r="C4">
        <v>2025</v>
      </c>
    </row>
    <row r="5" spans="1:3" ht="15.75">
      <c r="A5" s="626" t="s">
        <v>337</v>
      </c>
      <c r="B5" s="307" t="s">
        <v>338</v>
      </c>
      <c r="C5" s="307"/>
    </row>
    <row r="6" spans="1:3" ht="15.75">
      <c r="A6" s="627"/>
      <c r="B6" s="308" t="s">
        <v>339</v>
      </c>
      <c r="C6">
        <v>2025</v>
      </c>
    </row>
    <row r="7" spans="1:3" ht="16.5" thickBot="1">
      <c r="A7" s="628"/>
      <c r="B7" s="308"/>
      <c r="C7" s="309"/>
    </row>
    <row r="8" spans="1:3" ht="16.5" thickBot="1">
      <c r="A8" s="310" t="s">
        <v>340</v>
      </c>
      <c r="B8" s="172">
        <v>1113</v>
      </c>
      <c r="C8" s="311">
        <v>1012</v>
      </c>
    </row>
    <row r="9" spans="1:3" ht="16.5" thickBot="1">
      <c r="A9" s="310" t="s">
        <v>341</v>
      </c>
      <c r="B9" s="172">
        <v>1671</v>
      </c>
      <c r="C9" s="311">
        <v>1519</v>
      </c>
    </row>
    <row r="10" spans="1:3" ht="16.5" thickBot="1">
      <c r="A10" s="310" t="s">
        <v>342</v>
      </c>
      <c r="B10" s="172">
        <v>1988</v>
      </c>
      <c r="C10" s="311">
        <v>1807</v>
      </c>
    </row>
    <row r="11" spans="1:3" ht="16.5" thickBot="1">
      <c r="A11" s="310" t="s">
        <v>343</v>
      </c>
      <c r="B11" s="172">
        <v>2346</v>
      </c>
      <c r="C11" s="311">
        <v>2133</v>
      </c>
    </row>
    <row r="12" spans="1:3" ht="16.5" thickBot="1">
      <c r="A12" s="310" t="s">
        <v>344</v>
      </c>
      <c r="B12" s="172">
        <v>2664</v>
      </c>
      <c r="C12" s="311">
        <v>2422</v>
      </c>
    </row>
    <row r="13" spans="1:3" ht="16.5" thickBot="1">
      <c r="A13" s="310" t="s">
        <v>345</v>
      </c>
      <c r="B13" s="172">
        <v>3006</v>
      </c>
      <c r="C13" s="311">
        <v>2733</v>
      </c>
    </row>
    <row r="14" spans="1:3" ht="16.5" thickBot="1">
      <c r="A14" s="310" t="s">
        <v>346</v>
      </c>
      <c r="B14" s="172">
        <v>3535</v>
      </c>
      <c r="C14" s="311">
        <v>3214</v>
      </c>
    </row>
    <row r="15" spans="1:3" ht="16.5" thickBot="1">
      <c r="A15" s="310" t="s">
        <v>347</v>
      </c>
      <c r="B15" s="172">
        <v>3727</v>
      </c>
      <c r="C15" s="311">
        <v>3388</v>
      </c>
    </row>
    <row r="16" spans="1:3" ht="16.5" thickBot="1">
      <c r="A16" s="310" t="s">
        <v>348</v>
      </c>
      <c r="B16" s="172">
        <v>3929</v>
      </c>
      <c r="C16" s="311">
        <v>3572</v>
      </c>
    </row>
    <row r="17" spans="1:3" ht="16.5" thickBot="1">
      <c r="A17" s="310" t="s">
        <v>349</v>
      </c>
      <c r="B17" s="172">
        <v>4257</v>
      </c>
      <c r="C17" s="311">
        <v>3870</v>
      </c>
    </row>
    <row r="18" spans="1:3" ht="16.5" thickBot="1">
      <c r="A18" s="310" t="s">
        <v>350</v>
      </c>
      <c r="B18" s="172">
        <v>4536</v>
      </c>
      <c r="C18" s="311">
        <v>4124</v>
      </c>
    </row>
    <row r="19" spans="1:3" ht="16.5" thickBot="1">
      <c r="A19" s="310" t="s">
        <v>351</v>
      </c>
      <c r="B19" s="172">
        <v>4851</v>
      </c>
      <c r="C19" s="311">
        <v>4410</v>
      </c>
    </row>
    <row r="20" spans="1:3" ht="16.5" thickBot="1">
      <c r="A20" s="310" t="s">
        <v>352</v>
      </c>
      <c r="B20" s="172">
        <v>5142</v>
      </c>
      <c r="C20" s="311">
        <v>4675</v>
      </c>
    </row>
    <row r="21" spans="1:3" ht="15.75" thickBot="1">
      <c r="A21" s="312"/>
      <c r="B21" s="312"/>
    </row>
    <row r="22" spans="1:3" ht="15.75" thickBot="1">
      <c r="A22" s="313" t="s">
        <v>353</v>
      </c>
      <c r="B22" s="314"/>
      <c r="C22" s="314" t="s">
        <v>354</v>
      </c>
    </row>
    <row r="23" spans="1:3" ht="15.75" thickBot="1">
      <c r="A23" s="315" t="s">
        <v>355</v>
      </c>
      <c r="B23" s="340">
        <v>266</v>
      </c>
      <c r="C23" s="316">
        <v>242</v>
      </c>
    </row>
    <row r="24" spans="1:3" ht="15.75" thickBot="1">
      <c r="A24" s="315" t="s">
        <v>356</v>
      </c>
      <c r="B24" s="340">
        <v>343</v>
      </c>
      <c r="C24" s="316">
        <v>312</v>
      </c>
    </row>
    <row r="25" spans="1:3" ht="15.75" thickBot="1">
      <c r="A25" s="315" t="s">
        <v>357</v>
      </c>
      <c r="B25" s="340">
        <v>390</v>
      </c>
      <c r="C25" s="316">
        <v>355</v>
      </c>
    </row>
    <row r="26" spans="1:3" ht="15.75">
      <c r="A26" s="317"/>
      <c r="B26" s="317"/>
    </row>
    <row r="27" spans="1:3" ht="15.75">
      <c r="A27" s="318" t="s">
        <v>358</v>
      </c>
      <c r="B27" s="318"/>
    </row>
    <row r="28" spans="1:3" ht="15.75">
      <c r="A28" s="629"/>
      <c r="B28" s="629"/>
      <c r="C28" s="629"/>
    </row>
    <row r="29" spans="1:3" ht="13.9" customHeight="1" thickBot="1">
      <c r="A29" s="317"/>
      <c r="B29" s="317"/>
    </row>
    <row r="30" spans="1:3" ht="32.25" thickBot="1">
      <c r="A30" s="341" t="s">
        <v>408</v>
      </c>
      <c r="B30" s="317"/>
    </row>
    <row r="31" spans="1:3" ht="32.25" thickBot="1">
      <c r="A31" s="342" t="s">
        <v>409</v>
      </c>
    </row>
    <row r="32" spans="1:3" ht="32.25" thickBot="1">
      <c r="A32" s="342" t="s">
        <v>410</v>
      </c>
    </row>
    <row r="33" spans="1:1" ht="32.25" thickBot="1">
      <c r="A33" s="342" t="s">
        <v>411</v>
      </c>
    </row>
    <row r="34" spans="1:1" ht="32.25" thickBot="1">
      <c r="A34" s="342" t="s">
        <v>463</v>
      </c>
    </row>
    <row r="35" spans="1:1" ht="32.25" thickBot="1">
      <c r="A35" s="342" t="s">
        <v>412</v>
      </c>
    </row>
    <row r="36" spans="1:1" ht="32.25" thickBot="1">
      <c r="A36" s="342" t="s">
        <v>413</v>
      </c>
    </row>
  </sheetData>
  <mergeCells count="2">
    <mergeCell ref="A5:A7"/>
    <mergeCell ref="A28:C2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64A2"/>
    <pageSetUpPr fitToPage="1"/>
  </sheetPr>
  <dimension ref="A1:Z44"/>
  <sheetViews>
    <sheetView zoomScale="140" zoomScaleNormal="140" workbookViewId="0">
      <selection activeCell="P28" sqref="P28"/>
    </sheetView>
  </sheetViews>
  <sheetFormatPr defaultRowHeight="12.75"/>
  <cols>
    <col min="1" max="1" width="7.5703125" customWidth="1"/>
    <col min="2" max="2" width="43.140625" customWidth="1"/>
    <col min="3" max="3" width="14.28515625" customWidth="1"/>
    <col min="4" max="4" width="2.28515625" customWidth="1"/>
    <col min="5" max="5" width="10.5703125" customWidth="1"/>
    <col min="6" max="6" width="12.7109375" customWidth="1"/>
    <col min="7" max="7" width="9.28515625" customWidth="1"/>
    <col min="8" max="8" width="10.85546875" customWidth="1"/>
    <col min="9" max="9" width="10.140625" customWidth="1"/>
    <col min="10" max="10" width="2" customWidth="1"/>
    <col min="11" max="11" width="15.28515625" customWidth="1"/>
    <col min="12" max="12" width="12.5703125" customWidth="1"/>
    <col min="13" max="14" width="13.5703125" bestFit="1" customWidth="1"/>
    <col min="15" max="15" width="12.5703125" customWidth="1"/>
    <col min="16" max="16" width="12.7109375" customWidth="1"/>
    <col min="17" max="17" width="8.5703125" customWidth="1"/>
    <col min="18" max="18" width="13.28515625" customWidth="1"/>
    <col min="19" max="19" width="11" customWidth="1"/>
    <col min="20" max="20" width="12.5703125" customWidth="1"/>
    <col min="21" max="21" width="17.85546875" customWidth="1"/>
    <col min="22" max="22" width="12.5703125" bestFit="1" customWidth="1"/>
    <col min="23" max="23" width="20.85546875" customWidth="1"/>
    <col min="24" max="25" width="11" customWidth="1"/>
    <col min="26" max="1025" width="8.5703125" customWidth="1"/>
  </cols>
  <sheetData>
    <row r="1" spans="1:25" ht="24.75" customHeight="1">
      <c r="F1" s="630">
        <v>46082</v>
      </c>
      <c r="G1" s="630"/>
      <c r="H1" s="630"/>
      <c r="I1" s="630"/>
      <c r="K1" s="631" t="s">
        <v>404</v>
      </c>
      <c r="L1" s="631"/>
      <c r="M1" s="631"/>
      <c r="N1" s="631"/>
      <c r="O1" s="631"/>
      <c r="P1" s="631"/>
      <c r="R1" s="2" t="s">
        <v>0</v>
      </c>
    </row>
    <row r="2" spans="1:25" ht="25.5">
      <c r="A2" s="3" t="s">
        <v>1</v>
      </c>
      <c r="B2" s="4" t="s">
        <v>2</v>
      </c>
      <c r="C2" s="5" t="s">
        <v>291</v>
      </c>
      <c r="E2" s="6"/>
      <c r="F2" s="6" t="s">
        <v>3</v>
      </c>
      <c r="G2" s="6" t="s">
        <v>4</v>
      </c>
      <c r="H2" s="6" t="s">
        <v>5</v>
      </c>
      <c r="I2" s="6" t="s">
        <v>6</v>
      </c>
      <c r="J2" s="7"/>
      <c r="O2" s="7"/>
      <c r="R2" s="632" t="s">
        <v>405</v>
      </c>
      <c r="S2" s="632"/>
      <c r="T2" s="632"/>
      <c r="U2" s="632"/>
      <c r="V2" s="632"/>
      <c r="W2" s="632"/>
    </row>
    <row r="3" spans="1:25" ht="31.5" customHeight="1">
      <c r="A3" s="8" t="s">
        <v>7</v>
      </c>
      <c r="B3" s="9" t="s">
        <v>8</v>
      </c>
      <c r="C3" s="10">
        <v>9753</v>
      </c>
      <c r="D3" s="11"/>
      <c r="E3" s="12" t="s">
        <v>9</v>
      </c>
      <c r="F3" s="12">
        <v>4600</v>
      </c>
      <c r="G3" s="12">
        <v>850</v>
      </c>
      <c r="H3" s="12">
        <v>4303</v>
      </c>
      <c r="I3" s="13">
        <f t="shared" ref="I3:I14" si="0">F3+G3+H3</f>
        <v>9753</v>
      </c>
      <c r="K3" s="14" t="s">
        <v>10</v>
      </c>
      <c r="L3" s="14"/>
      <c r="M3" s="15">
        <v>2025</v>
      </c>
      <c r="N3" s="16">
        <v>2025</v>
      </c>
      <c r="O3" s="17">
        <v>2026</v>
      </c>
      <c r="P3" s="17">
        <v>2026</v>
      </c>
      <c r="R3" s="18" t="s">
        <v>7</v>
      </c>
      <c r="S3" s="19" t="s">
        <v>11</v>
      </c>
      <c r="T3" s="6" t="s">
        <v>3</v>
      </c>
      <c r="U3" s="6" t="s">
        <v>4</v>
      </c>
      <c r="V3" s="6" t="s">
        <v>5</v>
      </c>
      <c r="W3" s="6" t="s">
        <v>6</v>
      </c>
      <c r="Y3" s="6" t="s">
        <v>406</v>
      </c>
    </row>
    <row r="4" spans="1:25" ht="15.95" customHeight="1">
      <c r="A4" s="20" t="s">
        <v>7</v>
      </c>
      <c r="B4" s="9" t="s">
        <v>12</v>
      </c>
      <c r="C4" s="10">
        <v>13326</v>
      </c>
      <c r="D4" s="11"/>
      <c r="E4" s="21" t="s">
        <v>9</v>
      </c>
      <c r="F4" s="21">
        <v>5200</v>
      </c>
      <c r="G4" s="21">
        <v>1010</v>
      </c>
      <c r="H4" s="21">
        <v>7116</v>
      </c>
      <c r="I4" s="22">
        <f t="shared" si="0"/>
        <v>13326</v>
      </c>
      <c r="J4" s="23"/>
      <c r="K4" s="24" t="s">
        <v>13</v>
      </c>
      <c r="L4" s="24"/>
      <c r="M4" s="25" t="s">
        <v>14</v>
      </c>
      <c r="N4" s="25" t="s">
        <v>15</v>
      </c>
      <c r="O4" s="26" t="s">
        <v>14</v>
      </c>
      <c r="P4" s="27" t="s">
        <v>15</v>
      </c>
    </row>
    <row r="5" spans="1:25" ht="15.75">
      <c r="A5" s="28" t="s">
        <v>16</v>
      </c>
      <c r="B5" s="9" t="s">
        <v>17</v>
      </c>
      <c r="C5" s="29">
        <v>848</v>
      </c>
      <c r="D5" s="11"/>
      <c r="E5" s="30"/>
      <c r="F5" s="31">
        <v>348</v>
      </c>
      <c r="G5" s="31">
        <v>0</v>
      </c>
      <c r="H5" s="31">
        <v>500</v>
      </c>
      <c r="I5" s="17">
        <f t="shared" si="0"/>
        <v>848</v>
      </c>
      <c r="J5" s="32"/>
      <c r="K5" s="33" t="s">
        <v>18</v>
      </c>
      <c r="L5" s="34" t="s">
        <v>18</v>
      </c>
      <c r="M5" s="35">
        <v>9097.67</v>
      </c>
      <c r="N5" s="36">
        <f t="shared" ref="N5:N23" si="1">M5/1.15</f>
        <v>7911.0173913043482</v>
      </c>
      <c r="O5" s="37">
        <f t="shared" ref="O5:O23" si="2">M5*1.072</f>
        <v>9752.7022400000005</v>
      </c>
      <c r="P5" s="38">
        <f t="shared" ref="P5:P23" si="3">O5/1.15</f>
        <v>8480.6106434782614</v>
      </c>
      <c r="Q5" s="39"/>
      <c r="R5" s="40" t="s">
        <v>19</v>
      </c>
      <c r="S5" s="41" t="s">
        <v>18</v>
      </c>
      <c r="T5" s="42">
        <v>4600</v>
      </c>
      <c r="U5" s="42">
        <v>850</v>
      </c>
      <c r="V5" s="42">
        <v>4303</v>
      </c>
      <c r="W5" s="42">
        <f t="shared" ref="W5:W29" si="4">T5+U5+V5</f>
        <v>9753</v>
      </c>
    </row>
    <row r="6" spans="1:25" ht="15.75">
      <c r="A6" s="28" t="s">
        <v>20</v>
      </c>
      <c r="B6" s="9" t="s">
        <v>21</v>
      </c>
      <c r="C6" s="29">
        <v>1414</v>
      </c>
      <c r="D6" s="11"/>
      <c r="E6" s="30"/>
      <c r="F6" s="31">
        <v>1200</v>
      </c>
      <c r="G6" s="31">
        <v>0</v>
      </c>
      <c r="H6" s="31">
        <v>214</v>
      </c>
      <c r="I6" s="17">
        <f t="shared" si="0"/>
        <v>1414</v>
      </c>
      <c r="K6" s="33" t="s">
        <v>22</v>
      </c>
      <c r="L6" s="34" t="s">
        <v>22</v>
      </c>
      <c r="M6" s="35">
        <v>9252.18</v>
      </c>
      <c r="N6" s="36">
        <f t="shared" si="1"/>
        <v>8045.3739130434788</v>
      </c>
      <c r="O6" s="37">
        <f t="shared" si="2"/>
        <v>9918.3369600000005</v>
      </c>
      <c r="P6" s="38">
        <f t="shared" si="3"/>
        <v>8624.6408347826091</v>
      </c>
      <c r="Q6" s="43"/>
      <c r="R6" s="44"/>
      <c r="S6" s="41" t="s">
        <v>22</v>
      </c>
      <c r="T6" s="42">
        <v>4600</v>
      </c>
      <c r="U6" s="42">
        <v>850</v>
      </c>
      <c r="V6" s="42">
        <v>4468</v>
      </c>
      <c r="W6" s="42">
        <f t="shared" si="4"/>
        <v>9918</v>
      </c>
    </row>
    <row r="7" spans="1:25" ht="15.75">
      <c r="A7" s="28" t="s">
        <v>23</v>
      </c>
      <c r="B7" s="9" t="s">
        <v>24</v>
      </c>
      <c r="C7" s="29">
        <v>190</v>
      </c>
      <c r="D7" s="11"/>
      <c r="E7" s="30"/>
      <c r="F7" s="31">
        <v>100</v>
      </c>
      <c r="G7" s="31">
        <v>0</v>
      </c>
      <c r="H7" s="31">
        <v>90</v>
      </c>
      <c r="I7" s="17">
        <f t="shared" si="0"/>
        <v>190</v>
      </c>
      <c r="K7" s="33" t="s">
        <v>25</v>
      </c>
      <c r="L7" s="34" t="s">
        <v>25</v>
      </c>
      <c r="M7" s="35">
        <v>9493.4500000000007</v>
      </c>
      <c r="N7" s="36">
        <f t="shared" si="1"/>
        <v>8255.1739130434798</v>
      </c>
      <c r="O7" s="37">
        <f t="shared" si="2"/>
        <v>10176.978400000002</v>
      </c>
      <c r="P7" s="38">
        <f t="shared" si="3"/>
        <v>8849.546434782611</v>
      </c>
      <c r="Q7" s="43"/>
      <c r="R7" s="44"/>
      <c r="S7" s="41" t="s">
        <v>25</v>
      </c>
      <c r="T7" s="42">
        <v>4600</v>
      </c>
      <c r="U7" s="42">
        <v>850</v>
      </c>
      <c r="V7" s="42">
        <v>4727</v>
      </c>
      <c r="W7" s="42">
        <f t="shared" si="4"/>
        <v>10177</v>
      </c>
    </row>
    <row r="8" spans="1:25" ht="15.75">
      <c r="A8" s="28" t="s">
        <v>26</v>
      </c>
      <c r="B8" s="9" t="s">
        <v>27</v>
      </c>
      <c r="C8" s="29">
        <v>605</v>
      </c>
      <c r="D8" s="11"/>
      <c r="E8" s="30"/>
      <c r="F8" s="31">
        <v>335</v>
      </c>
      <c r="G8" s="31">
        <v>0</v>
      </c>
      <c r="H8" s="31">
        <v>270</v>
      </c>
      <c r="I8" s="17">
        <f t="shared" si="0"/>
        <v>605</v>
      </c>
      <c r="K8" s="33" t="s">
        <v>28</v>
      </c>
      <c r="L8" s="34" t="s">
        <v>28</v>
      </c>
      <c r="M8" s="35">
        <v>9651.77</v>
      </c>
      <c r="N8" s="36">
        <f t="shared" si="1"/>
        <v>8392.8434782608711</v>
      </c>
      <c r="O8" s="37">
        <f t="shared" si="2"/>
        <v>10346.697440000002</v>
      </c>
      <c r="P8" s="38">
        <f t="shared" si="3"/>
        <v>8997.1282086956544</v>
      </c>
      <c r="Q8" s="43"/>
      <c r="R8" s="45"/>
      <c r="S8" s="41" t="s">
        <v>28</v>
      </c>
      <c r="T8" s="42">
        <v>4600</v>
      </c>
      <c r="U8" s="42">
        <v>850</v>
      </c>
      <c r="V8" s="42">
        <v>4897</v>
      </c>
      <c r="W8" s="42">
        <f t="shared" si="4"/>
        <v>10347</v>
      </c>
      <c r="Y8" s="43"/>
    </row>
    <row r="9" spans="1:25" ht="15.75">
      <c r="A9" s="28" t="s">
        <v>29</v>
      </c>
      <c r="B9" s="9" t="s">
        <v>30</v>
      </c>
      <c r="C9" s="29">
        <v>237</v>
      </c>
      <c r="E9" s="30"/>
      <c r="F9" s="30"/>
      <c r="G9" s="30"/>
      <c r="H9" s="31">
        <v>237</v>
      </c>
      <c r="I9" s="17">
        <f t="shared" si="0"/>
        <v>237</v>
      </c>
      <c r="K9" s="33" t="s">
        <v>31</v>
      </c>
      <c r="L9" s="34" t="s">
        <v>31</v>
      </c>
      <c r="M9" s="35">
        <v>9836.93</v>
      </c>
      <c r="N9" s="36">
        <f t="shared" si="1"/>
        <v>8553.8521739130447</v>
      </c>
      <c r="O9" s="37">
        <f t="shared" si="2"/>
        <v>10545.188960000001</v>
      </c>
      <c r="P9" s="38">
        <f t="shared" si="3"/>
        <v>9169.7295304347845</v>
      </c>
      <c r="Q9" s="43"/>
      <c r="R9" s="44"/>
      <c r="S9" s="41" t="s">
        <v>31</v>
      </c>
      <c r="T9" s="42">
        <v>4600</v>
      </c>
      <c r="U9" s="42">
        <v>850</v>
      </c>
      <c r="V9" s="42">
        <v>5095</v>
      </c>
      <c r="W9" s="42">
        <f t="shared" si="4"/>
        <v>10545</v>
      </c>
    </row>
    <row r="10" spans="1:25" ht="15.75">
      <c r="A10" s="28" t="s">
        <v>32</v>
      </c>
      <c r="B10" s="9" t="s">
        <v>33</v>
      </c>
      <c r="C10" s="29">
        <v>347</v>
      </c>
      <c r="E10" s="30"/>
      <c r="F10" s="30"/>
      <c r="G10" s="30"/>
      <c r="H10" s="31">
        <v>347</v>
      </c>
      <c r="I10" s="17">
        <f t="shared" si="0"/>
        <v>347</v>
      </c>
      <c r="K10" s="33" t="s">
        <v>34</v>
      </c>
      <c r="L10" s="34" t="s">
        <v>34</v>
      </c>
      <c r="M10" s="35">
        <v>10022.56</v>
      </c>
      <c r="N10" s="36">
        <f t="shared" si="1"/>
        <v>8715.2695652173916</v>
      </c>
      <c r="O10" s="37">
        <f t="shared" si="2"/>
        <v>10744.18432</v>
      </c>
      <c r="P10" s="38">
        <f t="shared" si="3"/>
        <v>9342.7689739130437</v>
      </c>
      <c r="Q10" s="43"/>
      <c r="R10" s="44"/>
      <c r="S10" s="41" t="s">
        <v>34</v>
      </c>
      <c r="T10" s="42">
        <v>4600</v>
      </c>
      <c r="U10" s="42">
        <v>850</v>
      </c>
      <c r="V10" s="42">
        <v>5294</v>
      </c>
      <c r="W10" s="42">
        <f t="shared" si="4"/>
        <v>10744</v>
      </c>
    </row>
    <row r="11" spans="1:25" ht="15.75">
      <c r="A11" s="28" t="s">
        <v>35</v>
      </c>
      <c r="B11" s="9" t="s">
        <v>36</v>
      </c>
      <c r="C11" s="29">
        <v>474</v>
      </c>
      <c r="E11" s="30"/>
      <c r="F11" s="31">
        <v>100</v>
      </c>
      <c r="G11" s="30"/>
      <c r="H11" s="31">
        <v>374</v>
      </c>
      <c r="I11" s="17">
        <f t="shared" si="0"/>
        <v>474</v>
      </c>
      <c r="K11" s="33" t="s">
        <v>37</v>
      </c>
      <c r="L11" s="33" t="s">
        <v>37</v>
      </c>
      <c r="M11" s="35">
        <v>10207.27</v>
      </c>
      <c r="N11" s="36">
        <f t="shared" si="1"/>
        <v>8875.886956521741</v>
      </c>
      <c r="O11" s="37">
        <f t="shared" si="2"/>
        <v>10942.193440000001</v>
      </c>
      <c r="P11" s="38">
        <f t="shared" si="3"/>
        <v>9514.9508173913055</v>
      </c>
      <c r="Q11" s="43"/>
      <c r="R11" s="44"/>
      <c r="S11" s="41" t="s">
        <v>37</v>
      </c>
      <c r="T11" s="42">
        <v>4600</v>
      </c>
      <c r="U11" s="42">
        <v>850</v>
      </c>
      <c r="V11" s="42">
        <v>5492</v>
      </c>
      <c r="W11" s="42">
        <f t="shared" si="4"/>
        <v>10942</v>
      </c>
      <c r="X11" s="2" t="s">
        <v>38</v>
      </c>
    </row>
    <row r="12" spans="1:25" ht="15.75">
      <c r="A12" s="28" t="s">
        <v>39</v>
      </c>
      <c r="B12" s="9" t="s">
        <v>40</v>
      </c>
      <c r="C12" s="29">
        <v>470</v>
      </c>
      <c r="E12" s="30"/>
      <c r="F12" s="31">
        <v>100</v>
      </c>
      <c r="G12" s="30"/>
      <c r="H12" s="31">
        <v>370</v>
      </c>
      <c r="I12" s="17">
        <f t="shared" si="0"/>
        <v>470</v>
      </c>
      <c r="K12" s="46" t="s">
        <v>41</v>
      </c>
      <c r="L12" s="46" t="s">
        <v>41</v>
      </c>
      <c r="M12" s="47">
        <v>10392.44</v>
      </c>
      <c r="N12" s="48">
        <f t="shared" si="1"/>
        <v>9036.9043478260883</v>
      </c>
      <c r="O12" s="49">
        <f t="shared" si="2"/>
        <v>11140.695680000001</v>
      </c>
      <c r="P12" s="50">
        <f t="shared" si="3"/>
        <v>9687.5614608695669</v>
      </c>
      <c r="Q12" s="43"/>
      <c r="R12" s="51" t="s">
        <v>42</v>
      </c>
      <c r="S12" s="51" t="s">
        <v>41</v>
      </c>
      <c r="T12" s="52">
        <v>4800</v>
      </c>
      <c r="U12" s="52">
        <v>960</v>
      </c>
      <c r="V12" s="52">
        <v>5381</v>
      </c>
      <c r="W12" s="52">
        <f t="shared" si="4"/>
        <v>11141</v>
      </c>
      <c r="X12" s="2"/>
    </row>
    <row r="13" spans="1:25" ht="15.75">
      <c r="A13" s="28" t="s">
        <v>43</v>
      </c>
      <c r="B13" s="9" t="s">
        <v>44</v>
      </c>
      <c r="C13" s="29">
        <v>502</v>
      </c>
      <c r="D13" s="11"/>
      <c r="E13" s="30"/>
      <c r="F13" s="31">
        <v>200</v>
      </c>
      <c r="G13" s="31"/>
      <c r="H13" s="31">
        <v>302</v>
      </c>
      <c r="I13" s="17">
        <f t="shared" si="0"/>
        <v>502</v>
      </c>
      <c r="K13" s="46" t="s">
        <v>45</v>
      </c>
      <c r="L13" s="53" t="s">
        <v>46</v>
      </c>
      <c r="M13" s="47">
        <v>10580.82</v>
      </c>
      <c r="N13" s="48">
        <f t="shared" si="1"/>
        <v>9200.7130434782612</v>
      </c>
      <c r="O13" s="49">
        <f t="shared" si="2"/>
        <v>11342.63904</v>
      </c>
      <c r="P13" s="50">
        <f t="shared" si="3"/>
        <v>9863.1643826086965</v>
      </c>
      <c r="Q13" s="43"/>
      <c r="R13" s="44"/>
      <c r="S13" s="51" t="s">
        <v>45</v>
      </c>
      <c r="T13" s="52">
        <v>4800</v>
      </c>
      <c r="U13" s="52">
        <v>960</v>
      </c>
      <c r="V13" s="52">
        <v>5583</v>
      </c>
      <c r="W13" s="52">
        <f t="shared" si="4"/>
        <v>11343</v>
      </c>
    </row>
    <row r="14" spans="1:25" ht="15.75">
      <c r="A14" s="28" t="s">
        <v>47</v>
      </c>
      <c r="B14" s="9" t="s">
        <v>48</v>
      </c>
      <c r="C14" s="29">
        <v>537</v>
      </c>
      <c r="D14" s="11"/>
      <c r="E14" s="30"/>
      <c r="F14" s="31">
        <v>200</v>
      </c>
      <c r="G14" s="31"/>
      <c r="H14" s="31">
        <v>337</v>
      </c>
      <c r="I14" s="17">
        <f t="shared" si="0"/>
        <v>537</v>
      </c>
      <c r="K14" s="46" t="s">
        <v>49</v>
      </c>
      <c r="L14" s="53" t="s">
        <v>49</v>
      </c>
      <c r="M14" s="47">
        <v>10762.79</v>
      </c>
      <c r="N14" s="48">
        <f t="shared" si="1"/>
        <v>9358.9478260869582</v>
      </c>
      <c r="O14" s="49">
        <f t="shared" si="2"/>
        <v>11537.710880000002</v>
      </c>
      <c r="P14" s="50">
        <f t="shared" si="3"/>
        <v>10032.792069565221</v>
      </c>
      <c r="Q14" s="43"/>
      <c r="R14" s="44"/>
      <c r="S14" s="54" t="s">
        <v>49</v>
      </c>
      <c r="T14" s="52">
        <v>4800</v>
      </c>
      <c r="U14" s="52">
        <v>960</v>
      </c>
      <c r="V14" s="52">
        <v>5778</v>
      </c>
      <c r="W14" s="52">
        <f t="shared" si="4"/>
        <v>11538</v>
      </c>
    </row>
    <row r="15" spans="1:25" ht="15.75">
      <c r="A15" s="28" t="s">
        <v>50</v>
      </c>
      <c r="B15" s="9" t="s">
        <v>51</v>
      </c>
      <c r="C15" s="29">
        <v>832</v>
      </c>
      <c r="D15" s="55"/>
      <c r="E15" s="30"/>
      <c r="F15" s="31">
        <v>200</v>
      </c>
      <c r="G15" s="31"/>
      <c r="H15" s="31">
        <v>632</v>
      </c>
      <c r="I15" s="17">
        <f>F15+G15+H15</f>
        <v>832</v>
      </c>
      <c r="K15" s="46" t="s">
        <v>52</v>
      </c>
      <c r="L15" s="53" t="s">
        <v>52</v>
      </c>
      <c r="M15" s="47">
        <v>10946.87</v>
      </c>
      <c r="N15" s="48">
        <f t="shared" si="1"/>
        <v>9519.0173913043491</v>
      </c>
      <c r="O15" s="49">
        <f t="shared" si="2"/>
        <v>11735.044640000002</v>
      </c>
      <c r="P15" s="50">
        <f t="shared" si="3"/>
        <v>10204.386643478263</v>
      </c>
      <c r="Q15" s="43"/>
      <c r="R15" s="44"/>
      <c r="S15" s="51" t="s">
        <v>52</v>
      </c>
      <c r="T15" s="52">
        <v>4800</v>
      </c>
      <c r="U15" s="52">
        <v>960</v>
      </c>
      <c r="V15" s="52">
        <v>5975</v>
      </c>
      <c r="W15" s="52">
        <f t="shared" si="4"/>
        <v>11735</v>
      </c>
      <c r="Y15" s="2" t="s">
        <v>38</v>
      </c>
    </row>
    <row r="16" spans="1:25" ht="15.75">
      <c r="E16" s="11"/>
      <c r="F16" s="11"/>
      <c r="G16" s="11"/>
      <c r="H16" s="11"/>
      <c r="I16" s="11"/>
      <c r="K16" s="46" t="s">
        <v>53</v>
      </c>
      <c r="L16" s="46" t="s">
        <v>53</v>
      </c>
      <c r="M16" s="47">
        <v>11132.04</v>
      </c>
      <c r="N16" s="48">
        <f t="shared" si="1"/>
        <v>9680.0347826086963</v>
      </c>
      <c r="O16" s="49">
        <f t="shared" si="2"/>
        <v>11933.546880000002</v>
      </c>
      <c r="P16" s="50">
        <f t="shared" si="3"/>
        <v>10376.997286956524</v>
      </c>
      <c r="Q16" s="43"/>
      <c r="R16" s="44"/>
      <c r="S16" s="51" t="s">
        <v>53</v>
      </c>
      <c r="T16" s="52">
        <v>4800</v>
      </c>
      <c r="U16" s="52">
        <v>960</v>
      </c>
      <c r="V16" s="52">
        <v>6174</v>
      </c>
      <c r="W16" s="52">
        <f t="shared" si="4"/>
        <v>11934</v>
      </c>
      <c r="Y16" s="2" t="s">
        <v>54</v>
      </c>
    </row>
    <row r="17" spans="1:26" ht="15.75">
      <c r="E17" s="11"/>
      <c r="F17" s="633">
        <v>46082</v>
      </c>
      <c r="G17" s="633"/>
      <c r="H17" s="633"/>
      <c r="I17" s="633"/>
      <c r="K17" s="46" t="s">
        <v>55</v>
      </c>
      <c r="L17" s="53" t="s">
        <v>55</v>
      </c>
      <c r="M17" s="47">
        <v>11317.21</v>
      </c>
      <c r="N17" s="48">
        <f t="shared" si="1"/>
        <v>9841.0521739130436</v>
      </c>
      <c r="O17" s="49">
        <f t="shared" si="2"/>
        <v>12132.04912</v>
      </c>
      <c r="P17" s="50">
        <f t="shared" si="3"/>
        <v>10549.607930434782</v>
      </c>
      <c r="Q17" s="43"/>
      <c r="R17" s="44"/>
      <c r="S17" s="51" t="s">
        <v>55</v>
      </c>
      <c r="T17" s="52">
        <v>4800</v>
      </c>
      <c r="U17" s="52">
        <v>960</v>
      </c>
      <c r="V17" s="52">
        <v>6372</v>
      </c>
      <c r="W17" s="52">
        <f t="shared" si="4"/>
        <v>12132</v>
      </c>
    </row>
    <row r="18" spans="1:26" ht="38.25">
      <c r="A18" s="56" t="s">
        <v>56</v>
      </c>
      <c r="B18" s="57" t="s">
        <v>2</v>
      </c>
      <c r="C18" s="58" t="s">
        <v>292</v>
      </c>
      <c r="D18" s="56" t="s">
        <v>57</v>
      </c>
      <c r="E18" s="59"/>
      <c r="F18" s="60" t="s">
        <v>3</v>
      </c>
      <c r="G18" s="6" t="s">
        <v>4</v>
      </c>
      <c r="H18" s="6" t="s">
        <v>5</v>
      </c>
      <c r="I18" s="6" t="s">
        <v>6</v>
      </c>
      <c r="K18" s="61" t="s">
        <v>58</v>
      </c>
      <c r="L18" s="62" t="s">
        <v>58</v>
      </c>
      <c r="M18" s="63">
        <v>11502.38</v>
      </c>
      <c r="N18" s="64">
        <f t="shared" si="1"/>
        <v>10002.069565217391</v>
      </c>
      <c r="O18" s="65">
        <f t="shared" si="2"/>
        <v>12330.551359999999</v>
      </c>
      <c r="P18" s="66">
        <f t="shared" si="3"/>
        <v>10722.218573913044</v>
      </c>
      <c r="Q18" s="43"/>
      <c r="R18" s="67" t="s">
        <v>59</v>
      </c>
      <c r="S18" s="68" t="s">
        <v>58</v>
      </c>
      <c r="T18" s="69">
        <v>5100</v>
      </c>
      <c r="U18" s="69">
        <v>995</v>
      </c>
      <c r="V18" s="69">
        <v>6236</v>
      </c>
      <c r="W18" s="69">
        <f t="shared" si="4"/>
        <v>12331</v>
      </c>
      <c r="Z18" s="2" t="s">
        <v>38</v>
      </c>
    </row>
    <row r="19" spans="1:26" ht="15.75">
      <c r="A19" s="28">
        <v>7168</v>
      </c>
      <c r="B19" s="9" t="s">
        <v>60</v>
      </c>
      <c r="C19" s="29">
        <v>96</v>
      </c>
      <c r="D19" s="2"/>
      <c r="E19" s="31"/>
      <c r="F19" s="30"/>
      <c r="G19" s="30"/>
      <c r="H19" s="31">
        <v>96</v>
      </c>
      <c r="I19" s="17">
        <v>96</v>
      </c>
      <c r="K19" s="61" t="s">
        <v>61</v>
      </c>
      <c r="L19" s="62" t="s">
        <v>61</v>
      </c>
      <c r="M19" s="63">
        <v>11687.55</v>
      </c>
      <c r="N19" s="64">
        <f t="shared" si="1"/>
        <v>10163.08695652174</v>
      </c>
      <c r="O19" s="65">
        <f t="shared" si="2"/>
        <v>12529.053599999999</v>
      </c>
      <c r="P19" s="66">
        <f t="shared" si="3"/>
        <v>10894.829217391305</v>
      </c>
      <c r="Q19" s="43"/>
      <c r="R19" s="44"/>
      <c r="S19" s="68" t="s">
        <v>61</v>
      </c>
      <c r="T19" s="69">
        <v>5100</v>
      </c>
      <c r="U19" s="69">
        <v>995</v>
      </c>
      <c r="V19" s="69">
        <v>6434</v>
      </c>
      <c r="W19" s="69">
        <f t="shared" si="4"/>
        <v>12529</v>
      </c>
    </row>
    <row r="20" spans="1:26" ht="15.75">
      <c r="A20" s="28">
        <v>7588</v>
      </c>
      <c r="B20" s="9" t="s">
        <v>62</v>
      </c>
      <c r="C20" s="29">
        <v>4001</v>
      </c>
      <c r="D20" s="2"/>
      <c r="E20" s="70"/>
      <c r="F20" s="71">
        <v>2150</v>
      </c>
      <c r="G20" s="31"/>
      <c r="H20" s="71">
        <v>1851</v>
      </c>
      <c r="I20" s="72">
        <f>F20+G20+H20</f>
        <v>4001</v>
      </c>
      <c r="K20" s="61" t="s">
        <v>63</v>
      </c>
      <c r="L20" s="62" t="s">
        <v>63</v>
      </c>
      <c r="M20" s="63">
        <v>11872.72</v>
      </c>
      <c r="N20" s="64">
        <f t="shared" si="1"/>
        <v>10324.104347826087</v>
      </c>
      <c r="O20" s="65">
        <f t="shared" si="2"/>
        <v>12727.555840000001</v>
      </c>
      <c r="P20" s="66">
        <f t="shared" si="3"/>
        <v>11067.439860869566</v>
      </c>
      <c r="Q20" s="43"/>
      <c r="R20" s="44"/>
      <c r="S20" s="68" t="s">
        <v>63</v>
      </c>
      <c r="T20" s="69">
        <v>5100</v>
      </c>
      <c r="U20" s="69">
        <v>995</v>
      </c>
      <c r="V20" s="69">
        <v>6633</v>
      </c>
      <c r="W20" s="69">
        <f t="shared" si="4"/>
        <v>12728</v>
      </c>
    </row>
    <row r="21" spans="1:26" ht="15.75">
      <c r="A21" s="28">
        <v>7775</v>
      </c>
      <c r="B21" s="9" t="s">
        <v>64</v>
      </c>
      <c r="C21" s="29">
        <v>4001</v>
      </c>
      <c r="D21" s="2"/>
      <c r="E21" s="31"/>
      <c r="F21" s="71">
        <v>2150</v>
      </c>
      <c r="G21" s="31"/>
      <c r="H21" s="71">
        <v>1851</v>
      </c>
      <c r="I21" s="17">
        <f t="shared" ref="I21:I36" si="5">F21+G21+H21</f>
        <v>4001</v>
      </c>
      <c r="K21" s="61" t="s">
        <v>65</v>
      </c>
      <c r="L21" s="61" t="s">
        <v>65</v>
      </c>
      <c r="M21" s="63">
        <v>12056.81</v>
      </c>
      <c r="N21" s="64">
        <f t="shared" si="1"/>
        <v>10484.182608695652</v>
      </c>
      <c r="O21" s="65">
        <f t="shared" si="2"/>
        <v>12924.900320000001</v>
      </c>
      <c r="P21" s="66">
        <f t="shared" si="3"/>
        <v>11239.04375652174</v>
      </c>
      <c r="Q21" s="43"/>
      <c r="R21" s="73" t="s">
        <v>66</v>
      </c>
      <c r="S21" s="73" t="s">
        <v>65</v>
      </c>
      <c r="T21" s="74">
        <v>5200</v>
      </c>
      <c r="U21" s="74">
        <v>995</v>
      </c>
      <c r="V21" s="74">
        <v>6730</v>
      </c>
      <c r="W21" s="74">
        <f t="shared" si="4"/>
        <v>12925</v>
      </c>
    </row>
    <row r="22" spans="1:26" ht="15.75">
      <c r="A22" s="28">
        <v>7910</v>
      </c>
      <c r="B22" s="9" t="s">
        <v>67</v>
      </c>
      <c r="C22" s="29">
        <v>4001</v>
      </c>
      <c r="D22" s="2"/>
      <c r="E22" s="31"/>
      <c r="F22" s="71">
        <v>2150</v>
      </c>
      <c r="G22" s="31"/>
      <c r="H22" s="71">
        <v>1851</v>
      </c>
      <c r="I22" s="17">
        <f t="shared" si="5"/>
        <v>4001</v>
      </c>
      <c r="K22" s="61" t="s">
        <v>68</v>
      </c>
      <c r="L22" s="62" t="s">
        <v>68</v>
      </c>
      <c r="M22" s="63">
        <v>12285.89</v>
      </c>
      <c r="N22" s="64">
        <f t="shared" si="1"/>
        <v>10683.382608695652</v>
      </c>
      <c r="O22" s="65">
        <f t="shared" si="2"/>
        <v>13170.47408</v>
      </c>
      <c r="P22" s="66">
        <f t="shared" si="3"/>
        <v>11452.58615652174</v>
      </c>
      <c r="Q22" s="43"/>
      <c r="R22" s="44"/>
      <c r="S22" s="75" t="s">
        <v>68</v>
      </c>
      <c r="T22" s="74">
        <v>5200</v>
      </c>
      <c r="U22" s="74">
        <v>995</v>
      </c>
      <c r="V22" s="74">
        <v>6975</v>
      </c>
      <c r="W22" s="74">
        <f t="shared" si="4"/>
        <v>13170</v>
      </c>
    </row>
    <row r="23" spans="1:26" ht="16.899999999999999" customHeight="1">
      <c r="A23" s="28">
        <v>8265</v>
      </c>
      <c r="B23" s="9" t="s">
        <v>69</v>
      </c>
      <c r="C23" s="29">
        <v>806</v>
      </c>
      <c r="D23" s="2"/>
      <c r="E23" s="31"/>
      <c r="F23" s="71">
        <v>0</v>
      </c>
      <c r="G23" s="71">
        <v>385</v>
      </c>
      <c r="H23" s="71">
        <v>416</v>
      </c>
      <c r="I23" s="17">
        <f t="shared" si="5"/>
        <v>801</v>
      </c>
      <c r="K23" s="61" t="s">
        <v>70</v>
      </c>
      <c r="L23" s="62" t="s">
        <v>70</v>
      </c>
      <c r="M23" s="63">
        <v>12430.6</v>
      </c>
      <c r="N23" s="64">
        <f t="shared" si="1"/>
        <v>10809.21739130435</v>
      </c>
      <c r="O23" s="65">
        <f t="shared" si="2"/>
        <v>13325.603200000001</v>
      </c>
      <c r="P23" s="66">
        <f t="shared" si="3"/>
        <v>11587.481043478263</v>
      </c>
      <c r="Q23" s="43"/>
      <c r="R23" s="44"/>
      <c r="S23" s="75" t="s">
        <v>70</v>
      </c>
      <c r="T23" s="74">
        <v>5200</v>
      </c>
      <c r="U23" s="74">
        <v>995</v>
      </c>
      <c r="V23" s="74">
        <v>7131</v>
      </c>
      <c r="W23" s="74">
        <f t="shared" si="4"/>
        <v>13326</v>
      </c>
      <c r="Y23" s="43"/>
    </row>
    <row r="24" spans="1:26" ht="15.75">
      <c r="A24" s="28">
        <v>8268</v>
      </c>
      <c r="B24" s="9" t="s">
        <v>71</v>
      </c>
      <c r="C24" s="29">
        <v>4001</v>
      </c>
      <c r="D24" s="2"/>
      <c r="E24" s="70"/>
      <c r="F24" s="71">
        <v>1760</v>
      </c>
      <c r="G24" s="71">
        <v>411</v>
      </c>
      <c r="H24" s="71">
        <v>1830</v>
      </c>
      <c r="I24" s="17">
        <f t="shared" si="5"/>
        <v>4001</v>
      </c>
      <c r="K24" s="76" t="s">
        <v>72</v>
      </c>
      <c r="L24" s="76" t="s">
        <v>73</v>
      </c>
      <c r="R24" s="77" t="s">
        <v>74</v>
      </c>
      <c r="S24" s="78" t="s">
        <v>75</v>
      </c>
      <c r="T24" s="79">
        <v>5450</v>
      </c>
      <c r="U24" s="79">
        <v>1050</v>
      </c>
      <c r="V24" s="79">
        <v>7366</v>
      </c>
      <c r="W24" s="79">
        <f t="shared" si="4"/>
        <v>13866</v>
      </c>
      <c r="Y24" s="43"/>
    </row>
    <row r="25" spans="1:26" ht="15.75">
      <c r="A25" s="28">
        <v>8269</v>
      </c>
      <c r="B25" s="9" t="s">
        <v>76</v>
      </c>
      <c r="C25" s="29">
        <v>4001</v>
      </c>
      <c r="D25" s="2"/>
      <c r="E25" s="31"/>
      <c r="F25" s="71">
        <v>1760</v>
      </c>
      <c r="G25" s="71">
        <v>411</v>
      </c>
      <c r="H25" s="71">
        <v>1830</v>
      </c>
      <c r="I25" s="17">
        <f t="shared" si="5"/>
        <v>4001</v>
      </c>
      <c r="K25" s="80" t="s">
        <v>77</v>
      </c>
      <c r="L25" s="81"/>
      <c r="M25" s="81"/>
      <c r="N25" s="81"/>
      <c r="O25" s="81"/>
      <c r="P25" s="81"/>
      <c r="Q25" s="81"/>
      <c r="R25" s="77" t="s">
        <v>74</v>
      </c>
      <c r="S25" s="78" t="s">
        <v>78</v>
      </c>
      <c r="T25" s="79">
        <v>5700</v>
      </c>
      <c r="U25" s="79">
        <v>1150</v>
      </c>
      <c r="V25" s="79">
        <v>7616</v>
      </c>
      <c r="W25" s="79">
        <f t="shared" si="4"/>
        <v>14466</v>
      </c>
      <c r="X25" s="43"/>
      <c r="Y25" s="43"/>
    </row>
    <row r="26" spans="1:26" ht="15.75">
      <c r="A26" s="28">
        <v>8270</v>
      </c>
      <c r="B26" s="9" t="s">
        <v>79</v>
      </c>
      <c r="C26" s="29">
        <v>4001</v>
      </c>
      <c r="D26" s="2"/>
      <c r="E26" s="31"/>
      <c r="F26" s="71">
        <v>1760</v>
      </c>
      <c r="G26" s="71">
        <v>411</v>
      </c>
      <c r="H26" s="71">
        <v>1830</v>
      </c>
      <c r="I26" s="17">
        <f t="shared" si="5"/>
        <v>4001</v>
      </c>
      <c r="K26" s="82" t="s">
        <v>80</v>
      </c>
      <c r="L26" s="82"/>
      <c r="M26" s="83"/>
      <c r="N26" s="83"/>
      <c r="O26" s="83"/>
      <c r="P26" s="83"/>
      <c r="R26" s="77" t="s">
        <v>74</v>
      </c>
      <c r="S26" s="78" t="s">
        <v>81</v>
      </c>
      <c r="T26" s="79">
        <v>5950</v>
      </c>
      <c r="U26" s="79">
        <v>1250</v>
      </c>
      <c r="V26" s="79">
        <v>7866</v>
      </c>
      <c r="W26" s="79">
        <f t="shared" si="4"/>
        <v>15066</v>
      </c>
      <c r="X26" s="43"/>
      <c r="Y26" s="43"/>
    </row>
    <row r="27" spans="1:26" ht="15.75">
      <c r="A27" s="28">
        <v>8425</v>
      </c>
      <c r="B27" s="9" t="s">
        <v>82</v>
      </c>
      <c r="C27" s="29">
        <v>484</v>
      </c>
      <c r="D27" s="2"/>
      <c r="E27" s="31"/>
      <c r="F27" s="71">
        <v>100</v>
      </c>
      <c r="G27" s="84"/>
      <c r="H27" s="71">
        <v>384</v>
      </c>
      <c r="I27" s="17">
        <f t="shared" si="5"/>
        <v>484</v>
      </c>
      <c r="R27" s="77" t="s">
        <v>74</v>
      </c>
      <c r="S27" s="78" t="s">
        <v>83</v>
      </c>
      <c r="T27" s="79">
        <v>6200</v>
      </c>
      <c r="U27" s="79">
        <v>1350</v>
      </c>
      <c r="V27" s="79">
        <v>8116</v>
      </c>
      <c r="W27" s="79">
        <f t="shared" si="4"/>
        <v>15666</v>
      </c>
      <c r="Y27" s="43"/>
    </row>
    <row r="28" spans="1:26" ht="15.75">
      <c r="A28" s="28">
        <v>8429</v>
      </c>
      <c r="B28" s="9" t="s">
        <v>84</v>
      </c>
      <c r="C28" s="29">
        <v>300</v>
      </c>
      <c r="D28" s="2"/>
      <c r="E28" s="31"/>
      <c r="F28" s="71">
        <v>100</v>
      </c>
      <c r="G28" s="84"/>
      <c r="H28" s="71">
        <v>200</v>
      </c>
      <c r="I28" s="17">
        <f t="shared" si="5"/>
        <v>300</v>
      </c>
      <c r="R28" s="77" t="s">
        <v>74</v>
      </c>
      <c r="S28" s="78" t="s">
        <v>85</v>
      </c>
      <c r="T28" s="79">
        <v>6450</v>
      </c>
      <c r="U28" s="79">
        <v>1450</v>
      </c>
      <c r="V28" s="79">
        <v>8366</v>
      </c>
      <c r="W28" s="79">
        <f t="shared" si="4"/>
        <v>16266</v>
      </c>
      <c r="Y28" s="43"/>
    </row>
    <row r="29" spans="1:26" ht="15.75">
      <c r="A29" s="28">
        <v>8430</v>
      </c>
      <c r="B29" s="9" t="s">
        <v>86</v>
      </c>
      <c r="C29" s="29">
        <v>418</v>
      </c>
      <c r="D29" s="2"/>
      <c r="E29" s="31"/>
      <c r="F29" s="71">
        <v>100</v>
      </c>
      <c r="G29" s="71"/>
      <c r="H29" s="71">
        <v>318</v>
      </c>
      <c r="I29" s="17">
        <f t="shared" si="5"/>
        <v>418</v>
      </c>
      <c r="R29" s="77" t="s">
        <v>74</v>
      </c>
      <c r="S29" s="78" t="s">
        <v>87</v>
      </c>
      <c r="T29" s="79">
        <v>6700</v>
      </c>
      <c r="U29" s="79">
        <v>1650</v>
      </c>
      <c r="V29" s="79">
        <v>8616</v>
      </c>
      <c r="W29" s="79">
        <f t="shared" si="4"/>
        <v>16966</v>
      </c>
      <c r="Y29" s="43"/>
    </row>
    <row r="30" spans="1:26">
      <c r="A30" s="28">
        <v>8433</v>
      </c>
      <c r="B30" s="9" t="s">
        <v>88</v>
      </c>
      <c r="C30" s="29">
        <v>743</v>
      </c>
      <c r="D30" s="2"/>
      <c r="E30" s="31"/>
      <c r="F30" s="71">
        <v>180</v>
      </c>
      <c r="G30" s="71">
        <v>115</v>
      </c>
      <c r="H30" s="71">
        <v>448</v>
      </c>
      <c r="I30" s="17">
        <f t="shared" si="5"/>
        <v>743</v>
      </c>
    </row>
    <row r="31" spans="1:26">
      <c r="A31" s="28" t="s">
        <v>89</v>
      </c>
      <c r="B31" s="9" t="s">
        <v>90</v>
      </c>
      <c r="C31" s="29">
        <v>252</v>
      </c>
      <c r="D31" s="2"/>
      <c r="E31" s="31"/>
      <c r="F31" s="71">
        <v>230</v>
      </c>
      <c r="G31" s="31"/>
      <c r="H31" s="71">
        <v>22</v>
      </c>
      <c r="I31" s="72">
        <f t="shared" si="5"/>
        <v>252</v>
      </c>
      <c r="R31" s="85" t="s">
        <v>91</v>
      </c>
      <c r="S31" s="86"/>
      <c r="T31" s="87">
        <v>250</v>
      </c>
      <c r="U31" s="87">
        <v>100</v>
      </c>
      <c r="V31" s="87">
        <v>250</v>
      </c>
    </row>
    <row r="32" spans="1:26">
      <c r="A32" s="28" t="s">
        <v>92</v>
      </c>
      <c r="B32" s="9" t="s">
        <v>93</v>
      </c>
      <c r="C32" s="29">
        <v>366</v>
      </c>
      <c r="D32" s="2"/>
      <c r="E32" s="31"/>
      <c r="F32" s="71">
        <v>245</v>
      </c>
      <c r="G32" s="66"/>
      <c r="H32" s="71">
        <v>121</v>
      </c>
      <c r="I32" s="72">
        <f t="shared" si="5"/>
        <v>366</v>
      </c>
    </row>
    <row r="33" spans="1:11">
      <c r="A33" s="28" t="s">
        <v>94</v>
      </c>
      <c r="B33" s="9" t="s">
        <v>95</v>
      </c>
      <c r="C33" s="29">
        <v>310</v>
      </c>
      <c r="D33" s="2"/>
      <c r="E33" s="31"/>
      <c r="F33" s="71">
        <v>150</v>
      </c>
      <c r="G33" s="31"/>
      <c r="H33" s="71">
        <v>160</v>
      </c>
      <c r="I33" s="72">
        <f t="shared" si="5"/>
        <v>310</v>
      </c>
    </row>
    <row r="34" spans="1:11" ht="63.75">
      <c r="A34" s="28" t="s">
        <v>96</v>
      </c>
      <c r="B34" s="88" t="s">
        <v>97</v>
      </c>
      <c r="C34" s="29">
        <v>100</v>
      </c>
      <c r="D34" s="2" t="s">
        <v>98</v>
      </c>
      <c r="E34" s="31"/>
      <c r="F34" s="71">
        <v>100</v>
      </c>
      <c r="G34" s="31"/>
      <c r="H34" s="71">
        <v>0</v>
      </c>
      <c r="I34" s="72">
        <f t="shared" si="5"/>
        <v>100</v>
      </c>
    </row>
    <row r="35" spans="1:11">
      <c r="A35" s="28" t="s">
        <v>99</v>
      </c>
      <c r="B35" s="9" t="s">
        <v>100</v>
      </c>
      <c r="C35" s="29">
        <v>242</v>
      </c>
      <c r="E35" s="89"/>
      <c r="F35" s="90">
        <v>230</v>
      </c>
      <c r="G35" s="89"/>
      <c r="H35" s="71">
        <v>12</v>
      </c>
      <c r="I35" s="72">
        <f t="shared" si="5"/>
        <v>242</v>
      </c>
    </row>
    <row r="36" spans="1:11">
      <c r="A36" s="28" t="s">
        <v>101</v>
      </c>
      <c r="B36" s="9" t="s">
        <v>102</v>
      </c>
      <c r="C36" s="91">
        <v>348</v>
      </c>
      <c r="E36" s="89"/>
      <c r="F36" s="90">
        <v>331</v>
      </c>
      <c r="G36" s="89"/>
      <c r="H36" s="71">
        <v>17</v>
      </c>
      <c r="I36" s="72">
        <f t="shared" si="5"/>
        <v>348</v>
      </c>
    </row>
    <row r="37" spans="1:11">
      <c r="B37" s="92" t="s">
        <v>403</v>
      </c>
    </row>
    <row r="38" spans="1:11">
      <c r="B38" s="93" t="s">
        <v>402</v>
      </c>
    </row>
    <row r="40" spans="1:11">
      <c r="E40" s="94"/>
    </row>
    <row r="42" spans="1:11">
      <c r="A42" s="2"/>
      <c r="B42" s="95"/>
      <c r="E42" s="2"/>
    </row>
    <row r="43" spans="1:11">
      <c r="B43" s="96"/>
      <c r="K43" s="237" t="s">
        <v>331</v>
      </c>
    </row>
    <row r="44" spans="1:11">
      <c r="B44" s="97" t="s">
        <v>103</v>
      </c>
    </row>
  </sheetData>
  <mergeCells count="4">
    <mergeCell ref="F1:I1"/>
    <mergeCell ref="K1:P1"/>
    <mergeCell ref="R2:W2"/>
    <mergeCell ref="F17:I17"/>
  </mergeCells>
  <pageMargins left="0.25" right="0.25" top="0.75" bottom="0.75" header="0.3" footer="0.3"/>
  <pageSetup paperSize="8" scale="73" firstPageNumber="0" orientation="landscape" horizontalDpi="300" verticalDpi="300" r:id="rId1"/>
  <headerFooter>
    <oddHeader>&amp;C&amp;"Calibri,Bold"&amp;A</oddHeader>
    <oddFooter>&amp;C&amp;A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9AEA-ABE3-46B5-A3C0-56DE171EF542}">
  <sheetPr>
    <tabColor rgb="FF6CC8D2"/>
    <pageSetUpPr fitToPage="1"/>
  </sheetPr>
  <dimension ref="A1:T29"/>
  <sheetViews>
    <sheetView zoomScaleNormal="100" workbookViewId="0">
      <selection activeCell="I6" sqref="I6"/>
    </sheetView>
  </sheetViews>
  <sheetFormatPr defaultRowHeight="12.75"/>
  <cols>
    <col min="1" max="1" width="18.5703125" customWidth="1"/>
    <col min="2" max="2" width="54.7109375" customWidth="1"/>
    <col min="3" max="3" width="39.85546875" customWidth="1"/>
    <col min="4" max="4" width="18" customWidth="1"/>
    <col min="5" max="5" width="20.7109375" customWidth="1"/>
    <col min="6" max="6" width="22" customWidth="1"/>
    <col min="7" max="7" width="16.7109375" customWidth="1"/>
    <col min="8" max="8" width="13" customWidth="1"/>
    <col min="9" max="9" width="14.85546875" bestFit="1" customWidth="1"/>
    <col min="10" max="10" width="10.85546875" bestFit="1" customWidth="1"/>
    <col min="11" max="11" width="13.7109375" bestFit="1" customWidth="1"/>
    <col min="12" max="12" width="16.85546875" bestFit="1" customWidth="1"/>
    <col min="13" max="13" width="5.7109375" customWidth="1"/>
    <col min="14" max="14" width="17.5703125" bestFit="1" customWidth="1"/>
    <col min="15" max="15" width="14.7109375" bestFit="1" customWidth="1"/>
    <col min="16" max="17" width="17.5703125" bestFit="1" customWidth="1"/>
    <col min="18" max="19" width="12.42578125" customWidth="1"/>
    <col min="20" max="20" width="11.42578125" bestFit="1" customWidth="1"/>
  </cols>
  <sheetData>
    <row r="1" spans="1:20" ht="21">
      <c r="A1" s="636" t="s">
        <v>448</v>
      </c>
      <c r="B1" s="637"/>
      <c r="C1" s="637"/>
      <c r="D1" s="638"/>
      <c r="E1" s="200"/>
      <c r="G1" s="225"/>
      <c r="H1" s="225"/>
      <c r="I1" s="639" t="s">
        <v>449</v>
      </c>
      <c r="J1" s="640"/>
      <c r="K1" s="640"/>
      <c r="L1" s="641"/>
      <c r="M1" s="363"/>
      <c r="N1" s="642" t="s">
        <v>450</v>
      </c>
      <c r="O1" s="643"/>
      <c r="P1" s="643"/>
      <c r="Q1" s="643"/>
    </row>
    <row r="2" spans="1:20" ht="66.75" customHeight="1" thickBot="1">
      <c r="A2" s="201" t="s">
        <v>228</v>
      </c>
      <c r="B2" s="202" t="s">
        <v>229</v>
      </c>
      <c r="C2" s="202" t="s">
        <v>230</v>
      </c>
      <c r="D2" s="202" t="s">
        <v>293</v>
      </c>
      <c r="E2" s="203" t="s">
        <v>232</v>
      </c>
      <c r="F2" s="204" t="s">
        <v>294</v>
      </c>
      <c r="G2" s="226" t="s">
        <v>451</v>
      </c>
      <c r="H2" s="201" t="s">
        <v>228</v>
      </c>
      <c r="I2" s="364" t="s">
        <v>293</v>
      </c>
      <c r="J2" s="365" t="s">
        <v>232</v>
      </c>
      <c r="K2" s="366" t="s">
        <v>294</v>
      </c>
      <c r="L2" s="367" t="s">
        <v>452</v>
      </c>
      <c r="M2" s="368"/>
      <c r="N2" s="364" t="s">
        <v>293</v>
      </c>
      <c r="O2" s="365" t="s">
        <v>232</v>
      </c>
      <c r="P2" s="366" t="s">
        <v>453</v>
      </c>
      <c r="Q2" s="369" t="s">
        <v>454</v>
      </c>
      <c r="R2" s="201" t="s">
        <v>228</v>
      </c>
    </row>
    <row r="3" spans="1:20" ht="64.5" customHeight="1" thickBot="1">
      <c r="A3" s="302" t="s">
        <v>104</v>
      </c>
      <c r="B3" s="303" t="s">
        <v>222</v>
      </c>
      <c r="C3" s="332" t="s">
        <v>295</v>
      </c>
      <c r="D3" s="286">
        <v>3225</v>
      </c>
      <c r="E3" s="286">
        <v>956</v>
      </c>
      <c r="F3" s="286">
        <v>2267</v>
      </c>
      <c r="G3" s="388">
        <f t="shared" ref="G3:G10" si="0">SUM(D3:F3)</f>
        <v>6448</v>
      </c>
      <c r="H3" s="298">
        <v>6448</v>
      </c>
      <c r="I3" s="408"/>
      <c r="J3" s="408"/>
      <c r="K3" s="408"/>
      <c r="L3" s="399"/>
      <c r="M3" s="370"/>
      <c r="N3" s="409"/>
      <c r="O3" s="409"/>
      <c r="P3" s="409"/>
      <c r="Q3" s="397"/>
      <c r="R3" s="410" t="s">
        <v>104</v>
      </c>
      <c r="S3" s="371" t="s">
        <v>455</v>
      </c>
      <c r="T3" s="237" t="s">
        <v>456</v>
      </c>
    </row>
    <row r="4" spans="1:20" ht="87" customHeight="1" thickBot="1">
      <c r="A4" s="288" t="s">
        <v>288</v>
      </c>
      <c r="B4" s="289" t="s">
        <v>328</v>
      </c>
      <c r="C4" s="289" t="s">
        <v>296</v>
      </c>
      <c r="D4" s="290">
        <v>2690</v>
      </c>
      <c r="E4" s="290">
        <v>545</v>
      </c>
      <c r="F4" s="290">
        <v>644</v>
      </c>
      <c r="G4" s="389">
        <f>D4+E4+F4</f>
        <v>3879</v>
      </c>
      <c r="H4" s="298">
        <v>3879</v>
      </c>
      <c r="I4" s="372">
        <v>1760</v>
      </c>
      <c r="J4" s="372">
        <v>411</v>
      </c>
      <c r="K4" s="372">
        <v>1830</v>
      </c>
      <c r="L4" s="373">
        <f>SUM(I4:K4)</f>
        <v>4001</v>
      </c>
      <c r="M4" s="370"/>
      <c r="N4" s="374">
        <f>D4+I4</f>
        <v>4450</v>
      </c>
      <c r="O4" s="374">
        <f>E4+J4</f>
        <v>956</v>
      </c>
      <c r="P4" s="375">
        <f>F4+K4</f>
        <v>2474</v>
      </c>
      <c r="Q4" s="393">
        <f>N4+O4+P4</f>
        <v>7880</v>
      </c>
      <c r="R4" s="377" t="s">
        <v>288</v>
      </c>
      <c r="S4" s="371" t="s">
        <v>455</v>
      </c>
      <c r="T4" s="378" t="s">
        <v>457</v>
      </c>
    </row>
    <row r="5" spans="1:20" ht="93" customHeight="1" thickBot="1">
      <c r="A5" s="287" t="s">
        <v>289</v>
      </c>
      <c r="B5" s="287" t="s">
        <v>297</v>
      </c>
      <c r="C5" s="332" t="s">
        <v>298</v>
      </c>
      <c r="D5" s="286">
        <v>4800</v>
      </c>
      <c r="E5" s="286">
        <v>956</v>
      </c>
      <c r="F5" s="286">
        <v>2139</v>
      </c>
      <c r="G5" s="388">
        <f t="shared" si="0"/>
        <v>7895</v>
      </c>
      <c r="H5" s="298">
        <v>7895</v>
      </c>
      <c r="I5" s="398"/>
      <c r="J5" s="398"/>
      <c r="K5" s="398"/>
      <c r="L5" s="399"/>
      <c r="M5" s="370"/>
      <c r="N5" s="397"/>
      <c r="O5" s="397"/>
      <c r="P5" s="397"/>
      <c r="Q5" s="397"/>
      <c r="R5" s="397"/>
      <c r="S5" s="371" t="s">
        <v>455</v>
      </c>
      <c r="T5" s="237" t="s">
        <v>458</v>
      </c>
    </row>
    <row r="6" spans="1:20" ht="78.75" customHeight="1" thickBot="1">
      <c r="A6" s="291" t="s">
        <v>105</v>
      </c>
      <c r="B6" s="292" t="s">
        <v>223</v>
      </c>
      <c r="C6" s="292" t="s">
        <v>299</v>
      </c>
      <c r="D6" s="293">
        <v>4400</v>
      </c>
      <c r="E6" s="387">
        <v>545</v>
      </c>
      <c r="F6" s="293">
        <v>528</v>
      </c>
      <c r="G6" s="390">
        <f t="shared" si="0"/>
        <v>5473</v>
      </c>
      <c r="H6" s="298">
        <v>5473</v>
      </c>
      <c r="I6" s="372">
        <v>1760</v>
      </c>
      <c r="J6" s="372">
        <v>411</v>
      </c>
      <c r="K6" s="372">
        <v>1830</v>
      </c>
      <c r="L6" s="373">
        <f>SUM(I6:K6)</f>
        <v>4001</v>
      </c>
      <c r="M6" s="370"/>
      <c r="N6" s="375">
        <f>D6+I6</f>
        <v>6160</v>
      </c>
      <c r="O6" s="375">
        <f>E6+J6</f>
        <v>956</v>
      </c>
      <c r="P6" s="375">
        <f>F6+K6</f>
        <v>2358</v>
      </c>
      <c r="Q6" s="393">
        <f>SUM(N6:P6)</f>
        <v>9474</v>
      </c>
      <c r="R6" s="377" t="s">
        <v>105</v>
      </c>
      <c r="S6" s="371" t="s">
        <v>455</v>
      </c>
      <c r="T6" s="378" t="s">
        <v>459</v>
      </c>
    </row>
    <row r="7" spans="1:20" ht="53.25" customHeight="1" thickBot="1">
      <c r="A7" s="296" t="s">
        <v>106</v>
      </c>
      <c r="B7" s="297" t="s">
        <v>224</v>
      </c>
      <c r="C7" s="332" t="s">
        <v>395</v>
      </c>
      <c r="D7" s="293">
        <v>3140</v>
      </c>
      <c r="E7" s="379">
        <v>545</v>
      </c>
      <c r="F7" s="294">
        <v>1842</v>
      </c>
      <c r="G7" s="391">
        <f t="shared" si="0"/>
        <v>5527</v>
      </c>
      <c r="H7" s="298">
        <v>5527</v>
      </c>
      <c r="I7" s="395"/>
      <c r="J7" s="395"/>
      <c r="K7" s="395"/>
      <c r="L7" s="396"/>
      <c r="M7" s="370"/>
      <c r="N7" s="397"/>
      <c r="O7" s="397"/>
      <c r="P7" s="397"/>
      <c r="Q7" s="397"/>
      <c r="R7" s="397"/>
      <c r="S7" s="371" t="s">
        <v>460</v>
      </c>
      <c r="T7" s="237" t="s">
        <v>461</v>
      </c>
    </row>
    <row r="8" spans="1:20" ht="75.75" customHeight="1" thickBot="1">
      <c r="A8" s="289" t="s">
        <v>290</v>
      </c>
      <c r="B8" s="289" t="s">
        <v>329</v>
      </c>
      <c r="C8" s="332" t="s">
        <v>396</v>
      </c>
      <c r="D8" s="293">
        <v>2215</v>
      </c>
      <c r="E8" s="295">
        <v>545</v>
      </c>
      <c r="F8" s="295">
        <v>3</v>
      </c>
      <c r="G8" s="392">
        <v>2763</v>
      </c>
      <c r="H8" s="298">
        <v>2763</v>
      </c>
      <c r="I8" s="372">
        <v>1760</v>
      </c>
      <c r="J8" s="372">
        <v>0</v>
      </c>
      <c r="K8" s="372">
        <v>2241</v>
      </c>
      <c r="L8" s="373">
        <f>SUM(I8:K8)</f>
        <v>4001</v>
      </c>
      <c r="M8" s="380"/>
      <c r="N8" s="375">
        <f>D8+I8</f>
        <v>3975</v>
      </c>
      <c r="O8" s="375">
        <f>E8+J8</f>
        <v>545</v>
      </c>
      <c r="P8" s="375">
        <f>F8+K8</f>
        <v>2244</v>
      </c>
      <c r="Q8" s="393">
        <f>G8+L8</f>
        <v>6764</v>
      </c>
      <c r="R8" s="377" t="s">
        <v>290</v>
      </c>
      <c r="S8" s="371" t="s">
        <v>460</v>
      </c>
      <c r="T8" s="378" t="s">
        <v>462</v>
      </c>
    </row>
    <row r="9" spans="1:20" ht="88.5" customHeight="1" thickBot="1">
      <c r="A9" s="300" t="s">
        <v>107</v>
      </c>
      <c r="B9" s="301" t="s">
        <v>225</v>
      </c>
      <c r="C9" s="332" t="s">
        <v>397</v>
      </c>
      <c r="D9" s="293">
        <v>4600</v>
      </c>
      <c r="E9" s="293">
        <v>545</v>
      </c>
      <c r="F9" s="293">
        <v>2339</v>
      </c>
      <c r="G9" s="394">
        <f t="shared" si="0"/>
        <v>7484</v>
      </c>
      <c r="H9" s="298">
        <v>7484</v>
      </c>
      <c r="I9" s="395"/>
      <c r="J9" s="395"/>
      <c r="K9" s="395"/>
      <c r="L9" s="396"/>
      <c r="M9" s="370"/>
      <c r="N9" s="397"/>
      <c r="O9" s="397"/>
      <c r="P9" s="397"/>
      <c r="Q9" s="397"/>
      <c r="R9" s="397"/>
      <c r="S9" s="371" t="s">
        <v>460</v>
      </c>
      <c r="T9" s="237" t="s">
        <v>458</v>
      </c>
    </row>
    <row r="10" spans="1:20" ht="73.5" customHeight="1" thickBot="1">
      <c r="A10" s="298" t="s">
        <v>108</v>
      </c>
      <c r="B10" s="299" t="s">
        <v>226</v>
      </c>
      <c r="C10" s="333" t="s">
        <v>300</v>
      </c>
      <c r="D10" s="293">
        <v>4400</v>
      </c>
      <c r="E10" s="381">
        <v>545</v>
      </c>
      <c r="F10" s="295">
        <v>118</v>
      </c>
      <c r="G10" s="392">
        <f t="shared" si="0"/>
        <v>5063</v>
      </c>
      <c r="H10" s="298">
        <v>5063</v>
      </c>
      <c r="I10" s="372">
        <v>1760</v>
      </c>
      <c r="J10" s="372"/>
      <c r="K10" s="372">
        <v>2241</v>
      </c>
      <c r="L10" s="373">
        <f>SUM(I10:K10)</f>
        <v>4001</v>
      </c>
      <c r="M10" s="380"/>
      <c r="N10" s="375">
        <f>D10+I10</f>
        <v>6160</v>
      </c>
      <c r="O10" s="382">
        <f>E10+J10</f>
        <v>545</v>
      </c>
      <c r="P10" s="375">
        <f>F10+K10</f>
        <v>2359</v>
      </c>
      <c r="Q10" s="376">
        <f>G10+L10</f>
        <v>9064</v>
      </c>
      <c r="R10" s="377" t="s">
        <v>108</v>
      </c>
      <c r="S10" s="371" t="s">
        <v>460</v>
      </c>
      <c r="T10" s="378" t="s">
        <v>459</v>
      </c>
    </row>
    <row r="11" spans="1:20" ht="240" hidden="1">
      <c r="A11" s="207" t="s">
        <v>301</v>
      </c>
      <c r="B11" s="208" t="s">
        <v>302</v>
      </c>
      <c r="C11" s="208" t="s">
        <v>303</v>
      </c>
      <c r="D11" s="209"/>
      <c r="E11" s="210"/>
      <c r="F11" s="210"/>
      <c r="G11" s="227"/>
      <c r="H11" s="239"/>
      <c r="I11" s="383"/>
      <c r="J11" s="383"/>
      <c r="K11" s="384"/>
      <c r="L11" s="229"/>
      <c r="M11" s="385"/>
      <c r="R11" s="207" t="s">
        <v>301</v>
      </c>
    </row>
    <row r="12" spans="1:20" ht="15.75">
      <c r="A12" s="212"/>
      <c r="B12" s="213"/>
      <c r="C12" s="213"/>
      <c r="H12" s="400"/>
      <c r="I12" s="401"/>
      <c r="J12" s="401"/>
      <c r="K12" s="402"/>
      <c r="L12" s="400"/>
      <c r="M12" s="385"/>
      <c r="R12" s="212"/>
    </row>
    <row r="13" spans="1:20" ht="15.75">
      <c r="A13" s="644" t="s">
        <v>304</v>
      </c>
      <c r="B13" s="644"/>
      <c r="C13" s="644"/>
      <c r="D13" s="645" t="s">
        <v>305</v>
      </c>
      <c r="E13" s="645"/>
      <c r="F13" s="645"/>
      <c r="G13" s="645"/>
      <c r="H13" s="403"/>
      <c r="I13" s="404"/>
      <c r="J13" s="404"/>
      <c r="K13" s="405"/>
      <c r="L13" s="400"/>
      <c r="M13" s="385"/>
    </row>
    <row r="14" spans="1:20" ht="16.5" thickBot="1">
      <c r="A14" s="214" t="s">
        <v>228</v>
      </c>
      <c r="B14" s="202" t="s">
        <v>229</v>
      </c>
      <c r="C14" s="215" t="s">
        <v>230</v>
      </c>
      <c r="D14" s="202" t="s">
        <v>231</v>
      </c>
      <c r="E14" s="203" t="s">
        <v>232</v>
      </c>
      <c r="F14" s="204" t="s">
        <v>294</v>
      </c>
      <c r="G14" s="226" t="s">
        <v>306</v>
      </c>
      <c r="H14" s="406"/>
      <c r="I14" s="400"/>
      <c r="J14" s="400"/>
      <c r="K14" s="400"/>
      <c r="L14" s="400"/>
      <c r="M14" s="385"/>
    </row>
    <row r="15" spans="1:20" ht="78" customHeight="1" thickBot="1">
      <c r="A15" s="205">
        <v>8429</v>
      </c>
      <c r="B15" s="205" t="s">
        <v>307</v>
      </c>
      <c r="C15" s="206" t="s">
        <v>308</v>
      </c>
      <c r="D15" s="172">
        <v>100</v>
      </c>
      <c r="E15" s="172" t="s">
        <v>309</v>
      </c>
      <c r="F15" s="173">
        <v>191</v>
      </c>
      <c r="G15" s="386">
        <v>291</v>
      </c>
      <c r="H15" s="407"/>
      <c r="I15" s="400"/>
      <c r="J15" s="400"/>
      <c r="K15" s="400"/>
      <c r="L15" s="400"/>
      <c r="M15" s="385"/>
    </row>
    <row r="16" spans="1:20" ht="180.75" hidden="1" thickBot="1">
      <c r="A16" s="216" t="s">
        <v>310</v>
      </c>
      <c r="B16" s="216" t="s">
        <v>311</v>
      </c>
      <c r="C16" s="217" t="s">
        <v>312</v>
      </c>
      <c r="D16" s="218"/>
      <c r="E16" s="219"/>
      <c r="F16" s="219"/>
      <c r="G16" s="228"/>
      <c r="H16" s="239"/>
      <c r="I16" s="229"/>
      <c r="J16" s="229"/>
      <c r="K16" s="229"/>
      <c r="L16" s="229"/>
      <c r="M16" s="385"/>
      <c r="N16" s="229"/>
      <c r="O16" s="229"/>
      <c r="P16" s="229"/>
      <c r="Q16" s="229"/>
    </row>
    <row r="17" spans="1:17" ht="30.75" hidden="1" thickBot="1">
      <c r="A17" s="216" t="s">
        <v>313</v>
      </c>
      <c r="B17" s="216" t="s">
        <v>314</v>
      </c>
      <c r="C17" s="217" t="s">
        <v>315</v>
      </c>
      <c r="D17" s="218"/>
      <c r="E17" s="219"/>
      <c r="F17" s="219"/>
      <c r="G17" s="228"/>
      <c r="H17" s="239"/>
      <c r="I17" s="229"/>
      <c r="J17" s="229"/>
      <c r="K17" s="229"/>
      <c r="L17" s="229"/>
      <c r="M17" s="385"/>
      <c r="N17" s="229"/>
      <c r="O17" s="229"/>
      <c r="P17" s="229"/>
      <c r="Q17" s="229"/>
    </row>
    <row r="18" spans="1:17" ht="390.75" hidden="1" thickBot="1">
      <c r="A18" s="220" t="s">
        <v>316</v>
      </c>
      <c r="B18" s="220" t="s">
        <v>317</v>
      </c>
      <c r="C18" s="221" t="s">
        <v>318</v>
      </c>
      <c r="D18" s="222"/>
      <c r="E18" s="219"/>
      <c r="F18" s="219"/>
      <c r="G18" s="228"/>
      <c r="H18" s="239"/>
      <c r="I18" s="229"/>
      <c r="J18" s="229"/>
      <c r="K18" s="229"/>
      <c r="L18" s="229"/>
      <c r="M18" s="385"/>
      <c r="N18" s="229"/>
      <c r="O18" s="229"/>
      <c r="P18" s="229"/>
      <c r="Q18" s="229"/>
    </row>
    <row r="19" spans="1:17" ht="15.75">
      <c r="A19" s="223"/>
      <c r="B19" s="211"/>
      <c r="C19" s="211"/>
      <c r="D19" s="224"/>
    </row>
    <row r="20" spans="1:17">
      <c r="B20" t="s">
        <v>38</v>
      </c>
      <c r="D20" s="224"/>
    </row>
    <row r="22" spans="1:17" ht="18">
      <c r="A22" s="238" t="s">
        <v>332</v>
      </c>
      <c r="B22" s="240" t="s">
        <v>192</v>
      </c>
      <c r="C22" s="190"/>
      <c r="D22" s="634" t="s">
        <v>330</v>
      </c>
    </row>
    <row r="23" spans="1:17" ht="18">
      <c r="A23" s="238"/>
      <c r="B23" s="240"/>
      <c r="C23" s="190"/>
      <c r="D23" s="635"/>
    </row>
    <row r="24" spans="1:17" ht="15.75">
      <c r="A24" s="651" t="s">
        <v>320</v>
      </c>
      <c r="B24" s="334" t="s">
        <v>319</v>
      </c>
      <c r="C24" s="652" t="s">
        <v>321</v>
      </c>
      <c r="D24" s="650">
        <v>1000</v>
      </c>
    </row>
    <row r="25" spans="1:17" ht="63">
      <c r="A25" s="651"/>
      <c r="B25" s="335" t="s">
        <v>392</v>
      </c>
      <c r="C25" s="652"/>
      <c r="D25" s="650"/>
    </row>
    <row r="26" spans="1:17" ht="15.75">
      <c r="A26" s="653" t="s">
        <v>323</v>
      </c>
      <c r="B26" s="336" t="s">
        <v>322</v>
      </c>
      <c r="C26" s="654" t="s">
        <v>324</v>
      </c>
      <c r="D26" s="655">
        <v>1500</v>
      </c>
    </row>
    <row r="27" spans="1:17" ht="63.75" thickBot="1">
      <c r="A27" s="647"/>
      <c r="B27" s="335" t="s">
        <v>393</v>
      </c>
      <c r="C27" s="649"/>
      <c r="D27" s="650"/>
    </row>
    <row r="28" spans="1:17" ht="15.75">
      <c r="A28" s="646" t="s">
        <v>326</v>
      </c>
      <c r="B28" s="336" t="s">
        <v>325</v>
      </c>
      <c r="C28" s="648" t="s">
        <v>327</v>
      </c>
      <c r="D28" s="650">
        <v>2500</v>
      </c>
    </row>
    <row r="29" spans="1:17" ht="75.75" thickBot="1">
      <c r="A29" s="647"/>
      <c r="B29" s="337" t="s">
        <v>394</v>
      </c>
      <c r="C29" s="649"/>
      <c r="D29" s="650"/>
    </row>
  </sheetData>
  <mergeCells count="15">
    <mergeCell ref="A28:A29"/>
    <mergeCell ref="C28:C29"/>
    <mergeCell ref="D28:D29"/>
    <mergeCell ref="A24:A25"/>
    <mergeCell ref="C24:C25"/>
    <mergeCell ref="D24:D25"/>
    <mergeCell ref="A26:A27"/>
    <mergeCell ref="C26:C27"/>
    <mergeCell ref="D26:D27"/>
    <mergeCell ref="D22:D23"/>
    <mergeCell ref="A1:D1"/>
    <mergeCell ref="I1:L1"/>
    <mergeCell ref="N1:Q1"/>
    <mergeCell ref="A13:C13"/>
    <mergeCell ref="D13:G13"/>
  </mergeCells>
  <pageMargins left="0.7" right="0.7" top="0.75" bottom="0.75" header="0.3" footer="0.3"/>
  <pageSetup paperSize="8" scale="5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7183-E772-468E-A6BD-9CB8CB873C0A}">
  <sheetPr>
    <pageSetUpPr fitToPage="1"/>
  </sheetPr>
  <dimension ref="A1:Z29"/>
  <sheetViews>
    <sheetView tabSelected="1" topLeftCell="L1" zoomScale="110" zoomScaleNormal="110" workbookViewId="0">
      <selection activeCell="P1" sqref="P1:P1048576"/>
    </sheetView>
  </sheetViews>
  <sheetFormatPr defaultColWidth="47.7109375" defaultRowHeight="12.75"/>
  <cols>
    <col min="1" max="1" width="16.85546875" hidden="1" customWidth="1"/>
    <col min="2" max="2" width="29" hidden="1" customWidth="1"/>
    <col min="3" max="3" width="52.5703125" hidden="1" customWidth="1"/>
    <col min="4" max="4" width="27.42578125" hidden="1" customWidth="1"/>
    <col min="5" max="5" width="10" hidden="1" customWidth="1"/>
    <col min="6" max="6" width="16.85546875" hidden="1" customWidth="1"/>
    <col min="7" max="7" width="16.7109375" hidden="1" customWidth="1"/>
    <col min="8" max="8" width="25.85546875" hidden="1" customWidth="1"/>
    <col min="9" max="9" width="22.140625" hidden="1" customWidth="1"/>
    <col min="10" max="10" width="28.5703125" hidden="1" customWidth="1"/>
    <col min="11" max="11" width="40.5703125" hidden="1" customWidth="1"/>
    <col min="12" max="12" width="31.42578125" customWidth="1"/>
    <col min="13" max="13" width="80" hidden="1" customWidth="1"/>
    <col min="16" max="16" width="0" hidden="1" customWidth="1"/>
    <col min="18" max="20" width="0" hidden="1" customWidth="1"/>
  </cols>
  <sheetData>
    <row r="1" spans="1:26" ht="42" customHeight="1" thickBot="1">
      <c r="A1" s="353" t="s">
        <v>419</v>
      </c>
      <c r="B1" s="353" t="s">
        <v>420</v>
      </c>
      <c r="C1" s="353" t="s">
        <v>421</v>
      </c>
      <c r="D1" s="345" t="s">
        <v>422</v>
      </c>
      <c r="E1" s="202" t="s">
        <v>293</v>
      </c>
      <c r="F1" s="203" t="s">
        <v>232</v>
      </c>
      <c r="G1" s="204" t="s">
        <v>294</v>
      </c>
      <c r="H1" s="349" t="s">
        <v>442</v>
      </c>
      <c r="I1" s="353" t="s">
        <v>419</v>
      </c>
      <c r="J1" s="353"/>
      <c r="K1" s="353"/>
      <c r="L1" s="353" t="s">
        <v>420</v>
      </c>
      <c r="M1" s="353" t="s">
        <v>790</v>
      </c>
      <c r="N1" s="441" t="s">
        <v>505</v>
      </c>
      <c r="O1" s="440"/>
      <c r="P1" s="440"/>
      <c r="Q1" s="440"/>
      <c r="R1" s="440"/>
      <c r="S1" s="440"/>
      <c r="T1" s="440"/>
    </row>
    <row r="2" spans="1:26" ht="13.5" thickBot="1">
      <c r="A2" s="354"/>
      <c r="B2" s="354"/>
      <c r="C2" s="354"/>
      <c r="D2" s="346" t="s">
        <v>423</v>
      </c>
      <c r="I2" s="354"/>
      <c r="J2" s="446"/>
      <c r="K2" s="446"/>
      <c r="L2" s="329"/>
      <c r="N2" s="421" t="s">
        <v>1</v>
      </c>
      <c r="O2" s="422" t="s">
        <v>504</v>
      </c>
      <c r="P2" s="423" t="s">
        <v>3</v>
      </c>
      <c r="Q2" s="423" t="s">
        <v>565</v>
      </c>
      <c r="R2" s="423" t="s">
        <v>5</v>
      </c>
      <c r="S2" s="423" t="s">
        <v>6</v>
      </c>
      <c r="T2" s="237" t="s">
        <v>512</v>
      </c>
    </row>
    <row r="3" spans="1:26" ht="129.75" customHeight="1" thickBot="1">
      <c r="A3" s="347" t="s">
        <v>424</v>
      </c>
      <c r="B3" s="348" t="s">
        <v>446</v>
      </c>
      <c r="C3" s="412" t="s">
        <v>471</v>
      </c>
      <c r="D3" s="350" t="s">
        <v>472</v>
      </c>
      <c r="E3" s="351">
        <v>1500</v>
      </c>
      <c r="F3" s="352">
        <v>0</v>
      </c>
      <c r="G3" s="351">
        <v>1461</v>
      </c>
      <c r="H3" s="351">
        <f>E3+F3+G3</f>
        <v>2961</v>
      </c>
      <c r="I3" s="347" t="s">
        <v>424</v>
      </c>
      <c r="J3" s="447"/>
      <c r="K3" s="347" t="s">
        <v>424</v>
      </c>
      <c r="L3" s="462" t="s">
        <v>446</v>
      </c>
      <c r="M3" s="412" t="str">
        <f>C3</f>
        <v>Eyelid or periocular surgery (including excision and/or closure) for skin lesions, up to 30 minutes under local anaesthetic in theatre. Price includes surgeon’s fee, facility and ancillary costs including anaesthetic (if required), and all associated equipment and personnel. The contract price includes post-operative care for six weeks following surgery. Detailed description and theatre time must be retained and provided to Us on request.</v>
      </c>
      <c r="N3" s="458" t="s">
        <v>424</v>
      </c>
      <c r="O3" s="459" t="s">
        <v>530</v>
      </c>
      <c r="P3" s="460">
        <v>1500</v>
      </c>
      <c r="Q3" s="467">
        <v>0</v>
      </c>
      <c r="R3" s="461">
        <v>1461</v>
      </c>
      <c r="S3" s="461">
        <f t="shared" ref="S3:S14" si="0">P3+Q3+R3</f>
        <v>2961</v>
      </c>
      <c r="T3" s="453">
        <v>2961</v>
      </c>
    </row>
    <row r="4" spans="1:26" ht="90.75" customHeight="1" thickBot="1">
      <c r="A4" s="347" t="s">
        <v>425</v>
      </c>
      <c r="B4" s="348" t="s">
        <v>447</v>
      </c>
      <c r="C4" s="348" t="s">
        <v>426</v>
      </c>
      <c r="D4" s="350" t="s">
        <v>473</v>
      </c>
      <c r="E4" s="351">
        <v>2468</v>
      </c>
      <c r="F4" s="352">
        <v>0</v>
      </c>
      <c r="G4" s="351">
        <v>2100</v>
      </c>
      <c r="H4" s="351">
        <f t="shared" ref="H4:H13" si="1">E4+F4+G4</f>
        <v>4568</v>
      </c>
      <c r="I4" s="347" t="s">
        <v>425</v>
      </c>
      <c r="J4" s="447"/>
      <c r="K4" s="347" t="s">
        <v>425</v>
      </c>
      <c r="L4" s="462" t="s">
        <v>447</v>
      </c>
      <c r="M4" s="348" t="s">
        <v>426</v>
      </c>
      <c r="N4" s="451" t="s">
        <v>425</v>
      </c>
      <c r="O4" s="452" t="s">
        <v>511</v>
      </c>
      <c r="P4" s="450">
        <v>2468</v>
      </c>
      <c r="Q4" s="468">
        <v>0</v>
      </c>
      <c r="R4" s="453">
        <v>2100</v>
      </c>
      <c r="S4" s="453">
        <f t="shared" si="0"/>
        <v>4568</v>
      </c>
      <c r="T4" s="453">
        <v>4568</v>
      </c>
    </row>
    <row r="5" spans="1:26" ht="70.5" customHeight="1" thickBot="1">
      <c r="A5" s="347" t="s">
        <v>427</v>
      </c>
      <c r="B5" s="348" t="s">
        <v>495</v>
      </c>
      <c r="C5" s="348" t="s">
        <v>428</v>
      </c>
      <c r="D5" s="350" t="s">
        <v>474</v>
      </c>
      <c r="E5" s="351">
        <v>2900</v>
      </c>
      <c r="F5" s="351">
        <v>900</v>
      </c>
      <c r="G5" s="351">
        <v>2721</v>
      </c>
      <c r="H5" s="351">
        <f t="shared" si="1"/>
        <v>6521</v>
      </c>
      <c r="I5" s="347" t="s">
        <v>427</v>
      </c>
      <c r="J5" s="447"/>
      <c r="K5" s="347" t="s">
        <v>427</v>
      </c>
      <c r="L5" s="462" t="s">
        <v>531</v>
      </c>
      <c r="M5" s="348" t="s">
        <v>540</v>
      </c>
      <c r="N5" s="426" t="s">
        <v>513</v>
      </c>
      <c r="O5" s="427" t="s">
        <v>506</v>
      </c>
      <c r="P5" s="428">
        <v>2400</v>
      </c>
      <c r="Q5" s="428">
        <v>750</v>
      </c>
      <c r="R5" s="428">
        <v>2000</v>
      </c>
      <c r="S5" s="428">
        <f t="shared" si="0"/>
        <v>5150</v>
      </c>
      <c r="T5" s="442">
        <v>6521</v>
      </c>
    </row>
    <row r="6" spans="1:26" ht="81" customHeight="1" thickBot="1">
      <c r="A6" s="347" t="s">
        <v>429</v>
      </c>
      <c r="B6" s="348" t="s">
        <v>496</v>
      </c>
      <c r="C6" s="348" t="s">
        <v>430</v>
      </c>
      <c r="D6" s="356" t="s">
        <v>475</v>
      </c>
      <c r="E6" s="351">
        <v>5200</v>
      </c>
      <c r="F6" s="351">
        <v>1299</v>
      </c>
      <c r="G6" s="351">
        <v>5000</v>
      </c>
      <c r="H6" s="351">
        <f t="shared" si="1"/>
        <v>11499</v>
      </c>
      <c r="I6" s="347" t="s">
        <v>429</v>
      </c>
      <c r="J6" s="447"/>
      <c r="K6" s="347" t="s">
        <v>427</v>
      </c>
      <c r="L6" s="462" t="s">
        <v>532</v>
      </c>
      <c r="M6" s="348" t="s">
        <v>541</v>
      </c>
      <c r="N6" s="426" t="s">
        <v>514</v>
      </c>
      <c r="O6" s="427" t="s">
        <v>507</v>
      </c>
      <c r="P6" s="428">
        <v>2900</v>
      </c>
      <c r="Q6" s="428">
        <v>921</v>
      </c>
      <c r="R6" s="428">
        <v>2700</v>
      </c>
      <c r="S6" s="428">
        <f t="shared" si="0"/>
        <v>6521</v>
      </c>
      <c r="T6" s="443"/>
    </row>
    <row r="7" spans="1:26" ht="80.25" customHeight="1" thickBot="1">
      <c r="A7" s="347" t="s">
        <v>476</v>
      </c>
      <c r="B7" s="348" t="s">
        <v>490</v>
      </c>
      <c r="C7" s="432" t="s">
        <v>480</v>
      </c>
      <c r="D7" s="414" t="s">
        <v>484</v>
      </c>
      <c r="E7" s="413">
        <v>1100</v>
      </c>
      <c r="F7" s="351">
        <v>450</v>
      </c>
      <c r="G7" s="351">
        <v>1491</v>
      </c>
      <c r="H7" s="351">
        <f t="shared" si="1"/>
        <v>3041</v>
      </c>
      <c r="I7" s="347" t="s">
        <v>476</v>
      </c>
      <c r="J7" s="447"/>
      <c r="K7" s="347" t="s">
        <v>429</v>
      </c>
      <c r="L7" s="462" t="s">
        <v>548</v>
      </c>
      <c r="M7" s="348" t="s">
        <v>542</v>
      </c>
      <c r="N7" s="433" t="s">
        <v>515</v>
      </c>
      <c r="O7" s="434" t="s">
        <v>508</v>
      </c>
      <c r="P7" s="435">
        <v>4400</v>
      </c>
      <c r="Q7" s="435">
        <v>1000</v>
      </c>
      <c r="R7" s="435">
        <v>3580</v>
      </c>
      <c r="S7" s="435">
        <f t="shared" si="0"/>
        <v>8980</v>
      </c>
      <c r="T7" s="444">
        <v>11499</v>
      </c>
    </row>
    <row r="8" spans="1:26" ht="76.5" customHeight="1" thickBot="1">
      <c r="A8" s="347" t="s">
        <v>477</v>
      </c>
      <c r="B8" s="348" t="s">
        <v>491</v>
      </c>
      <c r="C8" s="432" t="s">
        <v>481</v>
      </c>
      <c r="D8" s="415" t="s">
        <v>485</v>
      </c>
      <c r="E8" s="413">
        <v>3200</v>
      </c>
      <c r="F8" s="351">
        <v>770</v>
      </c>
      <c r="G8" s="351">
        <v>2900</v>
      </c>
      <c r="H8" s="351">
        <f>E8+F8+G8</f>
        <v>6870</v>
      </c>
      <c r="I8" s="347" t="s">
        <v>477</v>
      </c>
      <c r="J8" s="447"/>
      <c r="K8" s="347" t="s">
        <v>429</v>
      </c>
      <c r="L8" s="462" t="s">
        <v>533</v>
      </c>
      <c r="M8" s="348" t="s">
        <v>543</v>
      </c>
      <c r="N8" s="436" t="s">
        <v>516</v>
      </c>
      <c r="O8" s="437" t="s">
        <v>534</v>
      </c>
      <c r="P8" s="438">
        <v>5200</v>
      </c>
      <c r="Q8" s="438">
        <v>1399</v>
      </c>
      <c r="R8" s="438">
        <v>4900</v>
      </c>
      <c r="S8" s="438">
        <f t="shared" si="0"/>
        <v>11499</v>
      </c>
      <c r="T8" s="445"/>
    </row>
    <row r="9" spans="1:26" ht="93" customHeight="1" thickBot="1">
      <c r="A9" s="347" t="s">
        <v>478</v>
      </c>
      <c r="B9" s="348" t="s">
        <v>492</v>
      </c>
      <c r="C9" s="348" t="s">
        <v>482</v>
      </c>
      <c r="D9" s="346" t="s">
        <v>486</v>
      </c>
      <c r="E9" s="351">
        <v>4200</v>
      </c>
      <c r="F9" s="351">
        <v>1000</v>
      </c>
      <c r="G9" s="416">
        <v>3912</v>
      </c>
      <c r="H9" s="351">
        <f t="shared" si="1"/>
        <v>9112</v>
      </c>
      <c r="I9" s="347" t="s">
        <v>478</v>
      </c>
      <c r="J9" s="447"/>
      <c r="K9" s="347" t="s">
        <v>476</v>
      </c>
      <c r="L9" s="462" t="s">
        <v>545</v>
      </c>
      <c r="M9" s="432" t="s">
        <v>546</v>
      </c>
      <c r="N9" s="426" t="s">
        <v>476</v>
      </c>
      <c r="O9" s="427" t="s">
        <v>544</v>
      </c>
      <c r="P9" s="428">
        <v>2000</v>
      </c>
      <c r="Q9" s="428">
        <v>470</v>
      </c>
      <c r="R9" s="428">
        <v>1791</v>
      </c>
      <c r="S9" s="428">
        <f t="shared" si="0"/>
        <v>4261</v>
      </c>
      <c r="T9" s="585">
        <v>4261</v>
      </c>
      <c r="Z9" s="237" t="s">
        <v>521</v>
      </c>
    </row>
    <row r="10" spans="1:26" ht="110.25" customHeight="1" thickBot="1">
      <c r="A10" s="347" t="s">
        <v>479</v>
      </c>
      <c r="B10" s="348" t="s">
        <v>493</v>
      </c>
      <c r="C10" s="348" t="s">
        <v>483</v>
      </c>
      <c r="D10" s="346" t="s">
        <v>487</v>
      </c>
      <c r="E10" s="351">
        <v>6100</v>
      </c>
      <c r="F10" s="351">
        <v>2000</v>
      </c>
      <c r="G10" s="351">
        <v>5899</v>
      </c>
      <c r="H10" s="351">
        <f t="shared" si="1"/>
        <v>13999</v>
      </c>
      <c r="I10" s="347" t="s">
        <v>479</v>
      </c>
      <c r="J10" s="447"/>
      <c r="K10" s="347" t="s">
        <v>477</v>
      </c>
      <c r="L10" s="462" t="s">
        <v>491</v>
      </c>
      <c r="M10" s="432" t="s">
        <v>481</v>
      </c>
      <c r="N10" s="436" t="s">
        <v>547</v>
      </c>
      <c r="O10" s="437" t="s">
        <v>511</v>
      </c>
      <c r="P10" s="438">
        <v>3170</v>
      </c>
      <c r="Q10" s="438">
        <v>800</v>
      </c>
      <c r="R10" s="438">
        <v>2900</v>
      </c>
      <c r="S10" s="438">
        <f t="shared" si="0"/>
        <v>6870</v>
      </c>
      <c r="T10" s="435">
        <v>6870</v>
      </c>
    </row>
    <row r="11" spans="1:26" ht="80.25" customHeight="1" thickBot="1">
      <c r="A11" s="347" t="s">
        <v>431</v>
      </c>
      <c r="B11" s="348" t="s">
        <v>494</v>
      </c>
      <c r="C11" s="348" t="s">
        <v>432</v>
      </c>
      <c r="D11" s="350" t="s">
        <v>488</v>
      </c>
      <c r="E11" s="351">
        <v>4500</v>
      </c>
      <c r="F11" s="416">
        <v>800</v>
      </c>
      <c r="G11" s="351">
        <v>4254</v>
      </c>
      <c r="H11" s="351">
        <f t="shared" si="1"/>
        <v>9554</v>
      </c>
      <c r="I11" s="347" t="s">
        <v>431</v>
      </c>
      <c r="J11" s="447"/>
      <c r="K11" s="347" t="s">
        <v>478</v>
      </c>
      <c r="L11" s="462" t="s">
        <v>551</v>
      </c>
      <c r="M11" s="348" t="s">
        <v>550</v>
      </c>
      <c r="N11" s="426" t="s">
        <v>517</v>
      </c>
      <c r="O11" s="429" t="s">
        <v>539</v>
      </c>
      <c r="P11" s="430">
        <v>3700</v>
      </c>
      <c r="Q11" s="430">
        <v>900</v>
      </c>
      <c r="R11" s="430">
        <v>3350</v>
      </c>
      <c r="S11" s="430">
        <f t="shared" si="0"/>
        <v>7950</v>
      </c>
      <c r="T11" s="442">
        <v>9112</v>
      </c>
    </row>
    <row r="12" spans="1:26" ht="78.75" customHeight="1" thickBot="1">
      <c r="A12" s="417" t="s">
        <v>433</v>
      </c>
      <c r="B12" s="348" t="s">
        <v>500</v>
      </c>
      <c r="C12" s="348" t="s">
        <v>502</v>
      </c>
      <c r="D12" s="350" t="s">
        <v>489</v>
      </c>
      <c r="E12" s="416">
        <v>3900</v>
      </c>
      <c r="F12" s="352">
        <v>0</v>
      </c>
      <c r="G12" s="351">
        <v>1300</v>
      </c>
      <c r="H12" s="351">
        <f t="shared" si="1"/>
        <v>5200</v>
      </c>
      <c r="I12" s="347" t="s">
        <v>433</v>
      </c>
      <c r="J12" s="447"/>
      <c r="K12" s="347" t="s">
        <v>478</v>
      </c>
      <c r="L12" s="462" t="s">
        <v>553</v>
      </c>
      <c r="M12" s="348" t="s">
        <v>552</v>
      </c>
      <c r="N12" s="426" t="s">
        <v>518</v>
      </c>
      <c r="O12" s="429" t="s">
        <v>549</v>
      </c>
      <c r="P12" s="430">
        <v>4200</v>
      </c>
      <c r="Q12" s="430">
        <v>1100</v>
      </c>
      <c r="R12" s="430">
        <v>3812</v>
      </c>
      <c r="S12" s="430">
        <f t="shared" si="0"/>
        <v>9112</v>
      </c>
      <c r="T12" s="443"/>
      <c r="U12" s="237"/>
    </row>
    <row r="13" spans="1:26" ht="130.5" customHeight="1" thickBot="1">
      <c r="A13" s="417" t="s">
        <v>435</v>
      </c>
      <c r="B13" s="348" t="s">
        <v>501</v>
      </c>
      <c r="C13" s="348" t="s">
        <v>503</v>
      </c>
      <c r="D13" s="350" t="s">
        <v>436</v>
      </c>
      <c r="E13" s="351">
        <v>5200</v>
      </c>
      <c r="F13" s="352">
        <v>0</v>
      </c>
      <c r="G13" s="351">
        <v>3550</v>
      </c>
      <c r="H13" s="351">
        <f t="shared" si="1"/>
        <v>8750</v>
      </c>
      <c r="I13" s="347" t="s">
        <v>435</v>
      </c>
      <c r="J13" s="447"/>
      <c r="K13" s="347" t="s">
        <v>479</v>
      </c>
      <c r="L13" s="462" t="s">
        <v>536</v>
      </c>
      <c r="M13" s="348" t="s">
        <v>556</v>
      </c>
      <c r="N13" s="436" t="s">
        <v>520</v>
      </c>
      <c r="O13" s="439" t="s">
        <v>535</v>
      </c>
      <c r="P13" s="425">
        <v>5500</v>
      </c>
      <c r="Q13" s="425">
        <v>1700</v>
      </c>
      <c r="R13" s="425">
        <v>4700</v>
      </c>
      <c r="S13" s="425">
        <f t="shared" si="0"/>
        <v>11900</v>
      </c>
      <c r="T13" s="445">
        <v>13999</v>
      </c>
      <c r="U13" s="237"/>
    </row>
    <row r="14" spans="1:26" ht="64.5" thickBot="1">
      <c r="A14" s="595" t="s">
        <v>445</v>
      </c>
      <c r="B14" s="596"/>
      <c r="C14" s="596"/>
      <c r="D14" s="596"/>
      <c r="E14" s="596"/>
      <c r="F14" s="596"/>
      <c r="G14" s="596"/>
      <c r="H14" s="596"/>
      <c r="I14" s="597"/>
      <c r="J14" s="449"/>
      <c r="K14" s="347" t="s">
        <v>479</v>
      </c>
      <c r="L14" s="462" t="s">
        <v>555</v>
      </c>
      <c r="M14" s="348" t="s">
        <v>554</v>
      </c>
      <c r="N14" s="436" t="s">
        <v>519</v>
      </c>
      <c r="O14" s="424" t="s">
        <v>537</v>
      </c>
      <c r="P14" s="425">
        <v>6200</v>
      </c>
      <c r="Q14" s="425">
        <v>2200</v>
      </c>
      <c r="R14" s="425">
        <v>5599</v>
      </c>
      <c r="S14" s="425">
        <f t="shared" si="0"/>
        <v>13999</v>
      </c>
      <c r="T14" s="445"/>
    </row>
    <row r="15" spans="1:26" ht="140.25" customHeight="1" thickBot="1">
      <c r="A15" s="347" t="s">
        <v>437</v>
      </c>
      <c r="B15" s="420" t="s">
        <v>510</v>
      </c>
      <c r="C15" s="348" t="s">
        <v>497</v>
      </c>
      <c r="D15" s="350" t="s">
        <v>434</v>
      </c>
      <c r="E15" s="352">
        <v>0</v>
      </c>
      <c r="F15" s="351">
        <v>1200</v>
      </c>
      <c r="G15" s="351">
        <v>2300</v>
      </c>
      <c r="H15" s="351">
        <f>E15+F15+G15</f>
        <v>3500</v>
      </c>
      <c r="I15" s="347" t="s">
        <v>437</v>
      </c>
      <c r="J15" s="447"/>
      <c r="K15" s="347" t="s">
        <v>431</v>
      </c>
      <c r="L15" s="462" t="s">
        <v>538</v>
      </c>
      <c r="M15" s="348" t="s">
        <v>432</v>
      </c>
      <c r="N15" s="426" t="s">
        <v>522</v>
      </c>
      <c r="O15" s="429" t="s">
        <v>511</v>
      </c>
      <c r="P15" s="428">
        <v>3300</v>
      </c>
      <c r="Q15" s="428">
        <v>800</v>
      </c>
      <c r="R15" s="428">
        <v>2800</v>
      </c>
      <c r="S15" s="428">
        <f t="shared" ref="S15" si="2">P15+Q15+R15</f>
        <v>6900</v>
      </c>
      <c r="T15" s="598">
        <v>9554</v>
      </c>
    </row>
    <row r="16" spans="1:26" ht="127.5" customHeight="1" thickBot="1">
      <c r="A16" s="358" t="s">
        <v>438</v>
      </c>
      <c r="B16" s="355" t="s">
        <v>444</v>
      </c>
      <c r="C16" s="355" t="s">
        <v>498</v>
      </c>
      <c r="D16" s="356" t="s">
        <v>439</v>
      </c>
      <c r="E16" s="419">
        <v>0</v>
      </c>
      <c r="F16" s="418">
        <v>1500</v>
      </c>
      <c r="G16" s="357">
        <v>4000</v>
      </c>
      <c r="H16" s="351">
        <f>E16+F16+G16</f>
        <v>5500</v>
      </c>
      <c r="I16" s="358" t="s">
        <v>438</v>
      </c>
      <c r="J16" s="448"/>
      <c r="K16" s="347" t="s">
        <v>431</v>
      </c>
      <c r="L16" s="462" t="s">
        <v>558</v>
      </c>
      <c r="M16" s="348" t="s">
        <v>432</v>
      </c>
      <c r="N16" s="426" t="s">
        <v>523</v>
      </c>
      <c r="O16" s="429" t="s">
        <v>557</v>
      </c>
      <c r="P16" s="430">
        <v>4300</v>
      </c>
      <c r="Q16" s="430">
        <v>1000</v>
      </c>
      <c r="R16" s="430">
        <v>4254</v>
      </c>
      <c r="S16" s="430">
        <f>P16+Q16+R16</f>
        <v>9554</v>
      </c>
      <c r="T16" s="599"/>
    </row>
    <row r="17" spans="1:20" ht="58.5" customHeight="1" thickBot="1">
      <c r="A17" s="359" t="s">
        <v>440</v>
      </c>
      <c r="B17" s="360" t="s">
        <v>443</v>
      </c>
      <c r="C17" s="360" t="s">
        <v>499</v>
      </c>
      <c r="D17" s="361" t="s">
        <v>441</v>
      </c>
      <c r="E17" s="352">
        <v>0</v>
      </c>
      <c r="F17" s="351">
        <v>2000</v>
      </c>
      <c r="G17" s="351">
        <v>8000</v>
      </c>
      <c r="H17" s="351">
        <v>9600</v>
      </c>
      <c r="I17" s="359" t="s">
        <v>440</v>
      </c>
      <c r="J17" s="448"/>
      <c r="K17" s="417" t="s">
        <v>433</v>
      </c>
      <c r="L17" s="462" t="s">
        <v>500</v>
      </c>
      <c r="M17" s="348" t="s">
        <v>502</v>
      </c>
      <c r="N17" s="436" t="s">
        <v>524</v>
      </c>
      <c r="O17" s="454" t="s">
        <v>525</v>
      </c>
      <c r="P17" s="455">
        <v>4800</v>
      </c>
      <c r="Q17" s="469">
        <v>0</v>
      </c>
      <c r="R17" s="455">
        <v>400</v>
      </c>
      <c r="S17" s="574">
        <f>P17+Q17+R17</f>
        <v>5200</v>
      </c>
      <c r="T17" s="438">
        <v>5200</v>
      </c>
    </row>
    <row r="18" spans="1:20" ht="54" customHeight="1" thickBot="1">
      <c r="K18" s="417" t="s">
        <v>435</v>
      </c>
      <c r="L18" s="462" t="s">
        <v>501</v>
      </c>
      <c r="M18" s="348" t="s">
        <v>503</v>
      </c>
      <c r="N18" s="426" t="s">
        <v>435</v>
      </c>
      <c r="O18" s="456" t="s">
        <v>526</v>
      </c>
      <c r="P18" s="457">
        <v>5250</v>
      </c>
      <c r="Q18" s="470">
        <v>0</v>
      </c>
      <c r="R18" s="457">
        <v>3500</v>
      </c>
      <c r="S18" s="457">
        <f>P18+Q18+R18</f>
        <v>8750</v>
      </c>
      <c r="T18" s="431">
        <v>8750</v>
      </c>
    </row>
    <row r="19" spans="1:20" ht="30.75" customHeight="1"/>
    <row r="20" spans="1:20" ht="24.95" customHeight="1">
      <c r="A20" s="237" t="s">
        <v>529</v>
      </c>
      <c r="P20" s="237" t="s">
        <v>792</v>
      </c>
      <c r="Q20" s="237" t="s">
        <v>566</v>
      </c>
      <c r="R20" s="237" t="s">
        <v>205</v>
      </c>
      <c r="S20" s="237" t="s">
        <v>567</v>
      </c>
      <c r="T20" s="237" t="s">
        <v>6</v>
      </c>
    </row>
    <row r="21" spans="1:20" ht="24.95" customHeight="1" thickBot="1">
      <c r="K21" s="594"/>
      <c r="L21" s="594"/>
      <c r="M21" s="594"/>
      <c r="N21" s="594"/>
      <c r="O21" s="594"/>
      <c r="P21" s="594"/>
      <c r="Q21" s="594"/>
      <c r="R21" s="594"/>
      <c r="S21" s="594"/>
      <c r="T21" s="594"/>
    </row>
    <row r="22" spans="1:20" ht="39" thickBot="1">
      <c r="K22" s="347" t="s">
        <v>437</v>
      </c>
      <c r="L22" s="463" t="s">
        <v>510</v>
      </c>
      <c r="M22" s="348" t="s">
        <v>561</v>
      </c>
      <c r="N22" s="466" t="s">
        <v>437</v>
      </c>
      <c r="O22" s="429" t="s">
        <v>525</v>
      </c>
      <c r="P22" s="471">
        <v>0</v>
      </c>
      <c r="Q22" s="430">
        <v>1300</v>
      </c>
      <c r="R22" s="430">
        <v>2200</v>
      </c>
      <c r="S22" s="430">
        <f>Q22+R22</f>
        <v>3500</v>
      </c>
      <c r="T22" s="430">
        <v>3500</v>
      </c>
    </row>
    <row r="23" spans="1:20" ht="63.75">
      <c r="K23" s="358" t="s">
        <v>438</v>
      </c>
      <c r="L23" s="464" t="s">
        <v>560</v>
      </c>
      <c r="M23" s="355" t="s">
        <v>562</v>
      </c>
      <c r="N23" s="426" t="s">
        <v>438</v>
      </c>
      <c r="O23" s="429" t="s">
        <v>527</v>
      </c>
      <c r="P23" s="471">
        <v>0</v>
      </c>
      <c r="Q23" s="430">
        <v>1650</v>
      </c>
      <c r="R23" s="430">
        <v>3850</v>
      </c>
      <c r="S23" s="430">
        <f>Q23+R23</f>
        <v>5500</v>
      </c>
      <c r="T23" s="430">
        <v>5500</v>
      </c>
    </row>
    <row r="24" spans="1:20" ht="63.75">
      <c r="K24" s="359" t="s">
        <v>440</v>
      </c>
      <c r="L24" s="465" t="s">
        <v>563</v>
      </c>
      <c r="M24" s="360" t="s">
        <v>564</v>
      </c>
      <c r="N24" s="426" t="s">
        <v>559</v>
      </c>
      <c r="O24" s="429" t="s">
        <v>509</v>
      </c>
      <c r="P24" s="471">
        <v>0</v>
      </c>
      <c r="Q24" s="430">
        <v>2000</v>
      </c>
      <c r="R24" s="430">
        <v>4950</v>
      </c>
      <c r="S24" s="430">
        <f>Q24+R24</f>
        <v>6950</v>
      </c>
      <c r="T24" s="430">
        <v>9600</v>
      </c>
    </row>
    <row r="25" spans="1:20" ht="63.75">
      <c r="K25" s="359" t="s">
        <v>440</v>
      </c>
      <c r="L25" s="465" t="s">
        <v>563</v>
      </c>
      <c r="M25" s="360" t="s">
        <v>564</v>
      </c>
      <c r="N25" s="426" t="s">
        <v>528</v>
      </c>
      <c r="O25" s="429" t="s">
        <v>220</v>
      </c>
      <c r="P25" s="471">
        <v>0</v>
      </c>
      <c r="Q25" s="430">
        <v>2800</v>
      </c>
      <c r="R25" s="430">
        <v>6800</v>
      </c>
      <c r="S25" s="430">
        <f>Q25+R25</f>
        <v>9600</v>
      </c>
      <c r="T25" s="430">
        <v>9600</v>
      </c>
    </row>
    <row r="28" spans="1:20">
      <c r="L28" s="237" t="s">
        <v>568</v>
      </c>
    </row>
    <row r="29" spans="1:20">
      <c r="L29" s="237" t="s">
        <v>569</v>
      </c>
    </row>
  </sheetData>
  <mergeCells count="3">
    <mergeCell ref="K21:T21"/>
    <mergeCell ref="A14:I14"/>
    <mergeCell ref="T15:T16"/>
  </mergeCells>
  <phoneticPr fontId="70" type="noConversion"/>
  <pageMargins left="0.7" right="0.7" top="0.75" bottom="0.75" header="0.3" footer="0.3"/>
  <pageSetup paperSize="284" scale="41" fitToHeight="0" orientation="portrait" verticalDpi="597" r:id="rId1"/>
  <colBreaks count="1" manualBreakCount="1">
    <brk id="21" max="2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96C7-D0EC-46A4-A52F-535FAFC0800F}">
  <sheetPr>
    <tabColor rgb="FF7030A0"/>
    <pageSetUpPr fitToPage="1"/>
  </sheetPr>
  <dimension ref="A1:L34"/>
  <sheetViews>
    <sheetView topLeftCell="A16" zoomScaleNormal="100" workbookViewId="0">
      <selection activeCell="D4" sqref="D4"/>
    </sheetView>
  </sheetViews>
  <sheetFormatPr defaultRowHeight="12.75"/>
  <cols>
    <col min="1" max="1" width="22.5703125" customWidth="1"/>
    <col min="2" max="2" width="28.140625" bestFit="1" customWidth="1"/>
    <col min="3" max="3" width="66.85546875" bestFit="1" customWidth="1"/>
    <col min="4" max="4" width="20.7109375" customWidth="1"/>
    <col min="5" max="5" width="18.42578125" customWidth="1"/>
    <col min="6" max="6" width="15.85546875" customWidth="1"/>
    <col min="7" max="7" width="15.5703125" customWidth="1"/>
    <col min="8" max="8" width="9" customWidth="1"/>
    <col min="9" max="9" width="13.140625" bestFit="1" customWidth="1"/>
    <col min="11" max="11" width="9.85546875" bestFit="1" customWidth="1"/>
    <col min="12" max="12" width="13.85546875" bestFit="1" customWidth="1"/>
  </cols>
  <sheetData>
    <row r="1" spans="1:12" ht="48" thickBot="1">
      <c r="A1" s="164" t="s">
        <v>227</v>
      </c>
      <c r="B1" t="s">
        <v>251</v>
      </c>
      <c r="C1" s="230">
        <v>46082</v>
      </c>
      <c r="D1" s="656"/>
      <c r="E1" s="656"/>
      <c r="F1" s="656"/>
      <c r="G1" s="656"/>
    </row>
    <row r="2" spans="1:12" ht="32.25" thickBot="1">
      <c r="A2" s="165" t="s">
        <v>228</v>
      </c>
      <c r="B2" s="166" t="s">
        <v>229</v>
      </c>
      <c r="C2" s="166" t="s">
        <v>230</v>
      </c>
      <c r="D2" s="166" t="s">
        <v>231</v>
      </c>
      <c r="E2" s="167" t="s">
        <v>232</v>
      </c>
      <c r="F2" s="166" t="s">
        <v>233</v>
      </c>
      <c r="G2" s="168" t="s">
        <v>234</v>
      </c>
    </row>
    <row r="3" spans="1:12" ht="79.5" thickBot="1">
      <c r="A3" s="169" t="s">
        <v>235</v>
      </c>
      <c r="B3" s="170" t="s">
        <v>236</v>
      </c>
      <c r="C3" s="170" t="s">
        <v>237</v>
      </c>
      <c r="D3" s="171">
        <v>2133</v>
      </c>
      <c r="E3" s="172">
        <v>910</v>
      </c>
      <c r="F3" s="173">
        <v>1200</v>
      </c>
      <c r="G3" s="173">
        <f>D3+E3+F3</f>
        <v>4243</v>
      </c>
      <c r="H3" s="174"/>
    </row>
    <row r="4" spans="1:12" ht="79.5" thickBot="1">
      <c r="A4" s="175" t="s">
        <v>238</v>
      </c>
      <c r="B4" s="176" t="s">
        <v>239</v>
      </c>
      <c r="C4" s="176" t="s">
        <v>240</v>
      </c>
      <c r="D4" s="171">
        <v>3770</v>
      </c>
      <c r="E4" s="172">
        <v>1030</v>
      </c>
      <c r="F4" s="173">
        <v>1685</v>
      </c>
      <c r="G4" s="173">
        <f t="shared" ref="G4:G8" si="0">D4+E4+F4</f>
        <v>6485</v>
      </c>
    </row>
    <row r="5" spans="1:12" ht="63.75" thickBot="1">
      <c r="A5" s="169" t="s">
        <v>241</v>
      </c>
      <c r="B5" s="170" t="s">
        <v>242</v>
      </c>
      <c r="C5" s="170" t="s">
        <v>243</v>
      </c>
      <c r="D5" s="171">
        <v>2940</v>
      </c>
      <c r="E5" s="172">
        <v>1030</v>
      </c>
      <c r="F5" s="172">
        <v>1241</v>
      </c>
      <c r="G5" s="173">
        <f t="shared" si="0"/>
        <v>5211</v>
      </c>
    </row>
    <row r="6" spans="1:12" ht="63.75" thickBot="1">
      <c r="A6" s="169" t="s">
        <v>244</v>
      </c>
      <c r="B6" s="170" t="s">
        <v>245</v>
      </c>
      <c r="C6" s="170" t="s">
        <v>246</v>
      </c>
      <c r="D6" s="171">
        <v>5147</v>
      </c>
      <c r="E6" s="172">
        <v>1250</v>
      </c>
      <c r="F6" s="173">
        <v>1550</v>
      </c>
      <c r="G6" s="173">
        <f t="shared" si="0"/>
        <v>7947</v>
      </c>
    </row>
    <row r="7" spans="1:12" ht="79.5" thickBot="1">
      <c r="A7" s="177" t="s">
        <v>361</v>
      </c>
      <c r="B7" s="170" t="s">
        <v>363</v>
      </c>
      <c r="C7" s="170" t="s">
        <v>362</v>
      </c>
      <c r="D7" s="171">
        <v>3260</v>
      </c>
      <c r="E7" s="172">
        <v>1030</v>
      </c>
      <c r="F7" s="173">
        <v>1839</v>
      </c>
      <c r="G7" s="173">
        <f t="shared" si="0"/>
        <v>6129</v>
      </c>
      <c r="K7" s="320"/>
      <c r="L7" s="320"/>
    </row>
    <row r="8" spans="1:12" ht="79.5" thickBot="1">
      <c r="A8" s="177" t="s">
        <v>247</v>
      </c>
      <c r="B8" s="170" t="s">
        <v>248</v>
      </c>
      <c r="C8" s="170" t="s">
        <v>249</v>
      </c>
      <c r="D8" s="171">
        <v>6250</v>
      </c>
      <c r="E8" s="172">
        <v>1325</v>
      </c>
      <c r="F8" s="173">
        <v>1846</v>
      </c>
      <c r="G8" s="173">
        <f t="shared" si="0"/>
        <v>9421</v>
      </c>
    </row>
    <row r="9" spans="1:12" ht="15.75">
      <c r="B9" s="178"/>
    </row>
    <row r="10" spans="1:12" ht="32.25" thickBot="1">
      <c r="A10" s="164" t="s">
        <v>250</v>
      </c>
      <c r="B10" s="178" t="s">
        <v>251</v>
      </c>
      <c r="C10" s="98"/>
    </row>
    <row r="11" spans="1:12" ht="32.25" thickBot="1">
      <c r="A11" s="179" t="s">
        <v>228</v>
      </c>
      <c r="B11" s="166" t="s">
        <v>229</v>
      </c>
      <c r="C11" s="166" t="s">
        <v>230</v>
      </c>
      <c r="D11" s="180" t="s">
        <v>231</v>
      </c>
      <c r="E11" s="181" t="s">
        <v>232</v>
      </c>
      <c r="F11" s="180" t="s">
        <v>233</v>
      </c>
      <c r="G11" s="182" t="s">
        <v>252</v>
      </c>
    </row>
    <row r="12" spans="1:12" ht="51.75" thickBot="1">
      <c r="A12" s="231" t="s">
        <v>253</v>
      </c>
      <c r="B12" s="183" t="s">
        <v>254</v>
      </c>
      <c r="C12" s="184" t="s">
        <v>255</v>
      </c>
      <c r="D12" s="185">
        <v>1550</v>
      </c>
      <c r="E12" s="186">
        <v>1035</v>
      </c>
      <c r="F12" s="186">
        <v>1663</v>
      </c>
      <c r="G12" s="186">
        <f>D12+E12+F12</f>
        <v>4248</v>
      </c>
    </row>
    <row r="13" spans="1:12" ht="51.75" thickBot="1">
      <c r="A13" s="232" t="s">
        <v>256</v>
      </c>
      <c r="B13" s="187" t="s">
        <v>257</v>
      </c>
      <c r="C13" s="188" t="s">
        <v>258</v>
      </c>
      <c r="D13" s="185">
        <v>2535</v>
      </c>
      <c r="E13" s="186">
        <v>1265</v>
      </c>
      <c r="F13" s="186">
        <v>1847</v>
      </c>
      <c r="G13" s="186">
        <f t="shared" ref="G13:G17" si="1">D13+E13+F13</f>
        <v>5647</v>
      </c>
    </row>
    <row r="14" spans="1:12" ht="51.75" thickBot="1">
      <c r="A14" s="233">
        <v>8942</v>
      </c>
      <c r="B14" s="183" t="s">
        <v>259</v>
      </c>
      <c r="C14" s="184" t="s">
        <v>260</v>
      </c>
      <c r="D14" s="185">
        <v>3220</v>
      </c>
      <c r="E14" s="186">
        <v>1035</v>
      </c>
      <c r="F14" s="186">
        <v>1772</v>
      </c>
      <c r="G14" s="186">
        <f t="shared" si="1"/>
        <v>6027</v>
      </c>
    </row>
    <row r="15" spans="1:12" ht="51.75" thickBot="1">
      <c r="A15" s="234">
        <v>8943</v>
      </c>
      <c r="B15" s="187" t="s">
        <v>261</v>
      </c>
      <c r="C15" s="188" t="s">
        <v>262</v>
      </c>
      <c r="D15" s="185">
        <v>5450</v>
      </c>
      <c r="E15" s="186">
        <v>1265</v>
      </c>
      <c r="F15" s="186">
        <v>1880</v>
      </c>
      <c r="G15" s="186">
        <f t="shared" si="1"/>
        <v>8595</v>
      </c>
    </row>
    <row r="16" spans="1:12" ht="51.75" thickBot="1">
      <c r="A16" s="232" t="s">
        <v>263</v>
      </c>
      <c r="B16" s="187" t="s">
        <v>264</v>
      </c>
      <c r="C16" s="188" t="s">
        <v>265</v>
      </c>
      <c r="D16" s="185">
        <v>1550</v>
      </c>
      <c r="E16" s="186">
        <v>1035</v>
      </c>
      <c r="F16" s="186">
        <v>1558</v>
      </c>
      <c r="G16" s="186">
        <f t="shared" si="1"/>
        <v>4143</v>
      </c>
    </row>
    <row r="17" spans="1:11" ht="51.75" thickBot="1">
      <c r="A17" s="232" t="s">
        <v>266</v>
      </c>
      <c r="B17" s="187" t="s">
        <v>267</v>
      </c>
      <c r="C17" s="188" t="s">
        <v>268</v>
      </c>
      <c r="D17" s="185">
        <v>2550</v>
      </c>
      <c r="E17" s="186">
        <v>1265</v>
      </c>
      <c r="F17" s="186">
        <v>2043</v>
      </c>
      <c r="G17" s="186">
        <f t="shared" si="1"/>
        <v>5858</v>
      </c>
    </row>
    <row r="20" spans="1:11" ht="13.5" thickBot="1">
      <c r="A20" s="189" t="s">
        <v>269</v>
      </c>
      <c r="B20" s="190" t="s">
        <v>270</v>
      </c>
    </row>
    <row r="21" spans="1:11" ht="32.25" thickBot="1">
      <c r="A21" s="179" t="s">
        <v>228</v>
      </c>
      <c r="B21" s="166" t="s">
        <v>229</v>
      </c>
      <c r="C21" s="180" t="s">
        <v>230</v>
      </c>
      <c r="D21" s="180" t="s">
        <v>231</v>
      </c>
      <c r="E21" s="181" t="s">
        <v>232</v>
      </c>
      <c r="F21" s="180" t="s">
        <v>233</v>
      </c>
      <c r="G21" s="182" t="s">
        <v>360</v>
      </c>
    </row>
    <row r="22" spans="1:11" ht="51.75" thickBot="1">
      <c r="A22" s="233">
        <v>7329</v>
      </c>
      <c r="B22" s="184" t="s">
        <v>271</v>
      </c>
      <c r="C22" s="191" t="s">
        <v>272</v>
      </c>
      <c r="D22" s="171">
        <v>2335</v>
      </c>
      <c r="E22" s="186">
        <v>1035</v>
      </c>
      <c r="F22" s="186">
        <v>1509</v>
      </c>
      <c r="G22" s="186">
        <f>D22+E22+F22</f>
        <v>4879</v>
      </c>
    </row>
    <row r="23" spans="1:11" ht="51.75" thickBot="1">
      <c r="A23" s="234">
        <v>7331</v>
      </c>
      <c r="B23" s="188" t="s">
        <v>273</v>
      </c>
      <c r="C23" s="191" t="s">
        <v>274</v>
      </c>
      <c r="D23" s="171">
        <v>2100</v>
      </c>
      <c r="E23" s="186">
        <v>1035</v>
      </c>
      <c r="F23" s="186">
        <v>1480</v>
      </c>
      <c r="G23" s="186">
        <f t="shared" ref="G23:G27" si="2">D23+E23+F23</f>
        <v>4615</v>
      </c>
      <c r="I23" s="192" t="s">
        <v>275</v>
      </c>
    </row>
    <row r="24" spans="1:11" ht="51.75" thickBot="1">
      <c r="A24" s="234">
        <v>7332</v>
      </c>
      <c r="B24" s="188" t="s">
        <v>276</v>
      </c>
      <c r="C24" s="191" t="s">
        <v>277</v>
      </c>
      <c r="D24" s="171">
        <v>2100</v>
      </c>
      <c r="E24" s="186">
        <v>1035</v>
      </c>
      <c r="F24" s="186">
        <v>1375</v>
      </c>
      <c r="G24" s="186">
        <f t="shared" si="2"/>
        <v>4510</v>
      </c>
      <c r="I24" s="192" t="s">
        <v>275</v>
      </c>
    </row>
    <row r="25" spans="1:11" ht="51.75" thickBot="1">
      <c r="A25" s="234">
        <v>7333</v>
      </c>
      <c r="B25" s="188" t="s">
        <v>278</v>
      </c>
      <c r="C25" s="191" t="s">
        <v>279</v>
      </c>
      <c r="D25" s="171">
        <v>2092</v>
      </c>
      <c r="E25" s="186">
        <v>1150</v>
      </c>
      <c r="F25" s="186">
        <v>1600</v>
      </c>
      <c r="G25" s="186">
        <f t="shared" si="2"/>
        <v>4842</v>
      </c>
      <c r="I25" s="192" t="s">
        <v>275</v>
      </c>
      <c r="K25" s="320"/>
    </row>
    <row r="26" spans="1:11" ht="77.25" thickBot="1">
      <c r="A26" s="234">
        <v>7397</v>
      </c>
      <c r="B26" s="188" t="s">
        <v>280</v>
      </c>
      <c r="C26" s="191" t="s">
        <v>281</v>
      </c>
      <c r="D26" s="171">
        <v>3500</v>
      </c>
      <c r="E26" s="186">
        <v>1265</v>
      </c>
      <c r="F26" s="186">
        <v>1778</v>
      </c>
      <c r="G26" s="186">
        <f t="shared" si="2"/>
        <v>6543</v>
      </c>
      <c r="I26" s="192" t="s">
        <v>275</v>
      </c>
      <c r="K26" s="320"/>
    </row>
    <row r="27" spans="1:11" ht="51">
      <c r="A27" s="235" t="s">
        <v>282</v>
      </c>
      <c r="B27" s="190" t="s">
        <v>283</v>
      </c>
      <c r="C27" s="193" t="s">
        <v>284</v>
      </c>
      <c r="D27" s="194">
        <v>2120</v>
      </c>
      <c r="E27" s="195">
        <v>1035</v>
      </c>
      <c r="F27" s="186">
        <v>2198</v>
      </c>
      <c r="G27" s="186">
        <f t="shared" si="2"/>
        <v>5353</v>
      </c>
      <c r="I27" s="192" t="s">
        <v>275</v>
      </c>
    </row>
    <row r="28" spans="1:11" ht="38.25">
      <c r="A28" s="236" t="s">
        <v>285</v>
      </c>
      <c r="B28" s="191" t="s">
        <v>286</v>
      </c>
      <c r="C28" s="196" t="s">
        <v>287</v>
      </c>
      <c r="D28" s="197"/>
      <c r="E28" s="197"/>
      <c r="F28" s="198"/>
      <c r="G28" s="199"/>
    </row>
    <row r="31" spans="1:11">
      <c r="C31" s="190"/>
    </row>
    <row r="34" spans="1:7" ht="13.5" thickBot="1">
      <c r="A34" s="28">
        <v>8265</v>
      </c>
      <c r="B34" s="9" t="s">
        <v>69</v>
      </c>
      <c r="C34" s="29"/>
      <c r="D34" s="2"/>
      <c r="E34" s="71">
        <v>370</v>
      </c>
      <c r="F34" s="71">
        <v>436</v>
      </c>
      <c r="G34" s="339">
        <f>E34+F34</f>
        <v>806</v>
      </c>
    </row>
  </sheetData>
  <mergeCells count="1">
    <mergeCell ref="D1:G1"/>
  </mergeCells>
  <phoneticPr fontId="70" type="noConversion"/>
  <pageMargins left="0.70866141732283472" right="0.70866141732283472" top="0.74803149606299213" bottom="0.74803149606299213" header="0.31496062992125984" footer="0.31496062992125984"/>
  <pageSetup paperSize="8" scale="6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54BD-57F3-49EB-9416-073627AF4FA0}">
  <sheetPr>
    <tabColor rgb="FF92D050"/>
    <pageSetUpPr fitToPage="1"/>
  </sheetPr>
  <dimension ref="A1:AE37"/>
  <sheetViews>
    <sheetView zoomScale="120" zoomScaleNormal="120" workbookViewId="0">
      <selection activeCell="F4" sqref="F4"/>
    </sheetView>
  </sheetViews>
  <sheetFormatPr defaultRowHeight="12.75"/>
  <cols>
    <col min="1" max="1" width="12.7109375" bestFit="1" customWidth="1"/>
    <col min="2" max="2" width="50.140625" style="98" customWidth="1"/>
    <col min="3" max="3" width="16.28515625" customWidth="1"/>
    <col min="4" max="4" width="17.7109375" customWidth="1"/>
    <col min="5" max="5" width="10.28515625" customWidth="1"/>
    <col min="6" max="6" width="12.28515625" customWidth="1"/>
    <col min="7" max="7" width="19.140625" customWidth="1"/>
    <col min="8" max="8" width="14.140625" customWidth="1"/>
    <col min="9" max="9" width="13.28515625" customWidth="1"/>
    <col min="10" max="10" width="12.42578125" customWidth="1"/>
    <col min="11" max="11" width="16.7109375" customWidth="1"/>
    <col min="12" max="13" width="12" customWidth="1"/>
    <col min="14" max="14" width="15.28515625" customWidth="1"/>
    <col min="15" max="15" width="13.5703125" customWidth="1"/>
    <col min="16" max="16" width="6.42578125" customWidth="1"/>
    <col min="17" max="17" width="6.7109375" customWidth="1"/>
    <col min="18" max="18" width="6.5703125" customWidth="1"/>
    <col min="19" max="19" width="7" customWidth="1"/>
    <col min="20" max="1025" width="10.28515625" customWidth="1"/>
  </cols>
  <sheetData>
    <row r="1" spans="1:25" ht="15">
      <c r="A1" s="657" t="s">
        <v>791</v>
      </c>
      <c r="B1" s="657"/>
      <c r="C1" s="657"/>
      <c r="D1" s="657"/>
      <c r="E1" s="657"/>
      <c r="F1" s="657"/>
      <c r="G1" s="657"/>
      <c r="H1" s="657"/>
      <c r="I1" s="657"/>
      <c r="J1" s="657"/>
      <c r="K1" s="657"/>
      <c r="L1" s="657"/>
      <c r="M1" s="657"/>
      <c r="N1" s="657"/>
      <c r="O1" s="657"/>
      <c r="P1" s="657"/>
      <c r="Q1" s="657"/>
      <c r="R1" s="657"/>
      <c r="S1" s="657"/>
    </row>
    <row r="2" spans="1:25" ht="28.5">
      <c r="C2" s="658" t="s">
        <v>469</v>
      </c>
      <c r="D2" s="658"/>
      <c r="E2" s="658"/>
      <c r="F2" s="658"/>
      <c r="G2" s="658"/>
      <c r="H2" s="658"/>
      <c r="I2" s="658"/>
      <c r="J2" s="658"/>
      <c r="K2" s="658"/>
      <c r="L2" s="658"/>
      <c r="M2" s="658"/>
      <c r="N2" s="658"/>
      <c r="O2" s="658"/>
      <c r="P2" s="658"/>
      <c r="Q2" s="658"/>
      <c r="R2" s="658"/>
      <c r="S2" s="658"/>
    </row>
    <row r="3" spans="1:25" s="108" customFormat="1" ht="84">
      <c r="A3" s="99" t="s">
        <v>109</v>
      </c>
      <c r="B3" s="99" t="s">
        <v>110</v>
      </c>
      <c r="C3" s="100" t="s">
        <v>111</v>
      </c>
      <c r="D3" s="101" t="s">
        <v>112</v>
      </c>
      <c r="E3" s="102" t="s">
        <v>113</v>
      </c>
      <c r="F3" s="103" t="s">
        <v>114</v>
      </c>
      <c r="G3" s="104" t="s">
        <v>115</v>
      </c>
      <c r="H3" s="104" t="s">
        <v>116</v>
      </c>
      <c r="I3" s="104" t="s">
        <v>367</v>
      </c>
      <c r="J3" s="104" t="s">
        <v>368</v>
      </c>
      <c r="K3" s="105" t="s">
        <v>117</v>
      </c>
      <c r="L3" s="105" t="s">
        <v>118</v>
      </c>
      <c r="M3" s="105" t="s">
        <v>365</v>
      </c>
      <c r="N3" s="106" t="s">
        <v>119</v>
      </c>
      <c r="O3" s="106" t="s">
        <v>120</v>
      </c>
      <c r="P3" s="105" t="s">
        <v>121</v>
      </c>
      <c r="Q3" s="107" t="s">
        <v>122</v>
      </c>
      <c r="R3" s="107" t="s">
        <v>123</v>
      </c>
      <c r="S3" s="107" t="s">
        <v>124</v>
      </c>
    </row>
    <row r="4" spans="1:25" s="108" customFormat="1" ht="15.75">
      <c r="A4" s="109" t="s">
        <v>125</v>
      </c>
      <c r="B4" s="110" t="s">
        <v>126</v>
      </c>
      <c r="C4" s="111">
        <f t="shared" ref="C4:C29" si="0">D4*1.15</f>
        <v>2001.4369999999999</v>
      </c>
      <c r="D4" s="111">
        <v>1740.38</v>
      </c>
      <c r="E4" s="112">
        <v>46029</v>
      </c>
      <c r="F4" s="112" t="s">
        <v>470</v>
      </c>
      <c r="G4" s="324">
        <v>610</v>
      </c>
      <c r="H4" s="326">
        <f t="shared" ref="H4:H29" si="1">G4*1.15</f>
        <v>701.5</v>
      </c>
      <c r="I4" s="324">
        <v>208</v>
      </c>
      <c r="J4" s="325">
        <f t="shared" ref="J4:J29" si="2">I4*1.15</f>
        <v>239.2</v>
      </c>
      <c r="K4" s="113">
        <f t="shared" ref="K4:K29" si="3">G4+I4</f>
        <v>818</v>
      </c>
      <c r="L4" s="583">
        <v>922.38</v>
      </c>
      <c r="M4" s="114">
        <f t="shared" ref="M4:M29" si="4">L4*1.15</f>
        <v>1060.7369999999999</v>
      </c>
      <c r="N4" s="115">
        <f>G4+I4+L4</f>
        <v>1740.38</v>
      </c>
      <c r="O4" s="115">
        <f t="shared" ref="O4:O29" si="5">N4*1.15</f>
        <v>2001.4369999999999</v>
      </c>
      <c r="P4" s="116">
        <f t="shared" ref="P4:P29" si="6">G4/D4</f>
        <v>0.35049816706696235</v>
      </c>
      <c r="Q4" s="116">
        <f t="shared" ref="Q4:Q29" si="7">I4/D4</f>
        <v>0.11951412909824291</v>
      </c>
      <c r="R4" s="116">
        <f t="shared" ref="R4:R29" si="8">K4/D4</f>
        <v>0.47001229616520529</v>
      </c>
      <c r="S4" s="116">
        <f t="shared" ref="S4:S29" si="9">L4/D4</f>
        <v>0.52998770383479465</v>
      </c>
      <c r="T4" s="117"/>
      <c r="V4" s="108">
        <v>1724.08</v>
      </c>
      <c r="W4" s="322">
        <f>V4-D4</f>
        <v>-16.300000000000182</v>
      </c>
      <c r="Y4" s="323">
        <v>38.96</v>
      </c>
    </row>
    <row r="5" spans="1:25" s="108" customFormat="1" ht="18.600000000000001" customHeight="1">
      <c r="A5" s="109" t="s">
        <v>127</v>
      </c>
      <c r="B5" s="110" t="s">
        <v>128</v>
      </c>
      <c r="C5" s="111">
        <f t="shared" si="0"/>
        <v>4746.7054999999991</v>
      </c>
      <c r="D5" s="111">
        <v>4127.57</v>
      </c>
      <c r="E5" s="112">
        <v>46029</v>
      </c>
      <c r="F5" s="112" t="s">
        <v>470</v>
      </c>
      <c r="G5" s="324">
        <v>1660</v>
      </c>
      <c r="H5" s="326">
        <f t="shared" si="1"/>
        <v>1908.9999999999998</v>
      </c>
      <c r="I5" s="324">
        <v>550</v>
      </c>
      <c r="J5" s="325">
        <f t="shared" si="2"/>
        <v>632.5</v>
      </c>
      <c r="K5" s="113">
        <f t="shared" si="3"/>
        <v>2210</v>
      </c>
      <c r="L5" s="584">
        <f>D5-K5</f>
        <v>1917.5699999999997</v>
      </c>
      <c r="M5" s="114">
        <f t="shared" si="4"/>
        <v>2205.2054999999996</v>
      </c>
      <c r="N5" s="115">
        <f>G5+I5+L5</f>
        <v>4127.57</v>
      </c>
      <c r="O5" s="115">
        <f t="shared" si="5"/>
        <v>4746.7054999999991</v>
      </c>
      <c r="P5" s="116">
        <f t="shared" si="6"/>
        <v>0.40217367603699034</v>
      </c>
      <c r="Q5" s="116">
        <f t="shared" si="7"/>
        <v>0.13325031434960521</v>
      </c>
      <c r="R5" s="116">
        <f t="shared" si="8"/>
        <v>0.53542399038659549</v>
      </c>
      <c r="S5" s="116">
        <f t="shared" si="9"/>
        <v>0.46457600961340445</v>
      </c>
      <c r="T5" s="117"/>
      <c r="V5" s="108">
        <v>4093.05</v>
      </c>
      <c r="W5" s="322">
        <f>V5-D5</f>
        <v>-34.519999999999527</v>
      </c>
      <c r="Y5" s="323">
        <v>99.44</v>
      </c>
    </row>
    <row r="6" spans="1:25" s="108" customFormat="1" ht="15.75">
      <c r="A6" s="109" t="s">
        <v>129</v>
      </c>
      <c r="B6" s="110" t="s">
        <v>130</v>
      </c>
      <c r="C6" s="111">
        <f t="shared" si="0"/>
        <v>3731.4395</v>
      </c>
      <c r="D6" s="111">
        <v>3244.73</v>
      </c>
      <c r="E6" s="112">
        <v>46029</v>
      </c>
      <c r="F6" s="112" t="s">
        <v>470</v>
      </c>
      <c r="G6" s="324">
        <v>1270</v>
      </c>
      <c r="H6" s="326">
        <f t="shared" si="1"/>
        <v>1460.5</v>
      </c>
      <c r="I6" s="324">
        <v>410</v>
      </c>
      <c r="J6" s="325">
        <f t="shared" si="2"/>
        <v>471.49999999999994</v>
      </c>
      <c r="K6" s="113">
        <f t="shared" si="3"/>
        <v>1680</v>
      </c>
      <c r="L6" s="113">
        <f t="shared" ref="L6:L29" si="10">D6-K6</f>
        <v>1564.73</v>
      </c>
      <c r="M6" s="114">
        <f t="shared" si="4"/>
        <v>1799.4395</v>
      </c>
      <c r="N6" s="115">
        <f t="shared" ref="N6:N29" si="11">G6+I6+L6</f>
        <v>3244.73</v>
      </c>
      <c r="O6" s="115">
        <f t="shared" si="5"/>
        <v>3731.4395</v>
      </c>
      <c r="P6" s="116">
        <f t="shared" si="6"/>
        <v>0.39140390725884744</v>
      </c>
      <c r="Q6" s="116">
        <f t="shared" si="7"/>
        <v>0.12635874171348618</v>
      </c>
      <c r="R6" s="116">
        <f t="shared" si="8"/>
        <v>0.51776264897233359</v>
      </c>
      <c r="S6" s="116">
        <f t="shared" si="9"/>
        <v>0.48223735102766641</v>
      </c>
      <c r="T6" s="117"/>
      <c r="V6" s="108">
        <v>3219.94</v>
      </c>
      <c r="W6" s="322">
        <f t="shared" ref="W6:W29" si="12">V6-D6</f>
        <v>-24.789999999999964</v>
      </c>
      <c r="Y6" s="323">
        <v>78.23</v>
      </c>
    </row>
    <row r="7" spans="1:25" s="108" customFormat="1" ht="15.75">
      <c r="A7" s="109" t="s">
        <v>131</v>
      </c>
      <c r="B7" s="110" t="s">
        <v>132</v>
      </c>
      <c r="C7" s="111">
        <f t="shared" si="0"/>
        <v>5213.9964999999993</v>
      </c>
      <c r="D7" s="111">
        <v>4533.91</v>
      </c>
      <c r="E7" s="112">
        <v>46029</v>
      </c>
      <c r="F7" s="112" t="s">
        <v>470</v>
      </c>
      <c r="G7" s="324">
        <v>1910</v>
      </c>
      <c r="H7" s="326">
        <f t="shared" si="1"/>
        <v>2196.5</v>
      </c>
      <c r="I7" s="324">
        <v>610</v>
      </c>
      <c r="J7" s="325">
        <f t="shared" si="2"/>
        <v>701.5</v>
      </c>
      <c r="K7" s="113">
        <f t="shared" si="3"/>
        <v>2520</v>
      </c>
      <c r="L7" s="113">
        <f t="shared" si="10"/>
        <v>2013.9099999999999</v>
      </c>
      <c r="M7" s="114">
        <f t="shared" si="4"/>
        <v>2315.9964999999997</v>
      </c>
      <c r="N7" s="115">
        <f>G7+I7+L7</f>
        <v>4533.91</v>
      </c>
      <c r="O7" s="115">
        <f t="shared" si="5"/>
        <v>5213.9964999999993</v>
      </c>
      <c r="P7" s="116">
        <f t="shared" si="6"/>
        <v>0.42126994139716051</v>
      </c>
      <c r="Q7" s="116">
        <f t="shared" si="7"/>
        <v>0.13454170903260101</v>
      </c>
      <c r="R7" s="116">
        <f t="shared" si="8"/>
        <v>0.55581165042976155</v>
      </c>
      <c r="S7" s="116">
        <f t="shared" si="9"/>
        <v>0.44418834957023845</v>
      </c>
      <c r="T7" s="117"/>
      <c r="V7" s="108">
        <v>4499.2700000000004</v>
      </c>
      <c r="W7" s="322">
        <f t="shared" si="12"/>
        <v>-34.639999999999418</v>
      </c>
      <c r="Y7" s="323">
        <v>109.31</v>
      </c>
    </row>
    <row r="8" spans="1:25" s="108" customFormat="1" ht="15.75">
      <c r="A8" s="109" t="s">
        <v>133</v>
      </c>
      <c r="B8" s="110" t="s">
        <v>134</v>
      </c>
      <c r="C8" s="111">
        <f t="shared" si="0"/>
        <v>7952.2730000000001</v>
      </c>
      <c r="D8" s="111">
        <v>6915.02</v>
      </c>
      <c r="E8" s="112">
        <v>46029</v>
      </c>
      <c r="F8" s="112" t="s">
        <v>470</v>
      </c>
      <c r="G8" s="324">
        <v>2700</v>
      </c>
      <c r="H8" s="326">
        <f t="shared" si="1"/>
        <v>3104.9999999999995</v>
      </c>
      <c r="I8" s="324">
        <v>900</v>
      </c>
      <c r="J8" s="325">
        <f t="shared" si="2"/>
        <v>1035</v>
      </c>
      <c r="K8" s="113">
        <f t="shared" si="3"/>
        <v>3600</v>
      </c>
      <c r="L8" s="113">
        <f t="shared" si="10"/>
        <v>3315.0200000000004</v>
      </c>
      <c r="M8" s="114">
        <f t="shared" si="4"/>
        <v>3812.2730000000001</v>
      </c>
      <c r="N8" s="115">
        <f t="shared" si="11"/>
        <v>6915.02</v>
      </c>
      <c r="O8" s="115">
        <f t="shared" si="5"/>
        <v>7952.2730000000001</v>
      </c>
      <c r="P8" s="116">
        <f t="shared" si="6"/>
        <v>0.39045440215646515</v>
      </c>
      <c r="Q8" s="116">
        <f t="shared" si="7"/>
        <v>0.13015146738548838</v>
      </c>
      <c r="R8" s="116">
        <f t="shared" si="8"/>
        <v>0.52060586954195354</v>
      </c>
      <c r="S8" s="116">
        <f t="shared" si="9"/>
        <v>0.47939413045804641</v>
      </c>
      <c r="T8" s="117"/>
      <c r="V8" s="108">
        <v>6862.18</v>
      </c>
      <c r="W8" s="322">
        <f t="shared" si="12"/>
        <v>-52.840000000000146</v>
      </c>
      <c r="Y8" s="323">
        <v>166.72</v>
      </c>
    </row>
    <row r="9" spans="1:25" s="108" customFormat="1" ht="15.75">
      <c r="A9" s="109" t="s">
        <v>135</v>
      </c>
      <c r="B9" s="110" t="s">
        <v>136</v>
      </c>
      <c r="C9" s="111">
        <f t="shared" si="0"/>
        <v>3835.5949999999998</v>
      </c>
      <c r="D9" s="111">
        <v>3335.3</v>
      </c>
      <c r="E9" s="112">
        <v>46029</v>
      </c>
      <c r="F9" s="112" t="s">
        <v>470</v>
      </c>
      <c r="G9" s="324">
        <v>1580</v>
      </c>
      <c r="H9" s="326">
        <f t="shared" si="1"/>
        <v>1816.9999999999998</v>
      </c>
      <c r="I9" s="324">
        <v>485</v>
      </c>
      <c r="J9" s="325">
        <f t="shared" si="2"/>
        <v>557.75</v>
      </c>
      <c r="K9" s="113">
        <f t="shared" si="3"/>
        <v>2065</v>
      </c>
      <c r="L9" s="113">
        <f t="shared" si="10"/>
        <v>1270.3000000000002</v>
      </c>
      <c r="M9" s="114">
        <f t="shared" si="4"/>
        <v>1460.845</v>
      </c>
      <c r="N9" s="115">
        <f t="shared" si="11"/>
        <v>3335.3</v>
      </c>
      <c r="O9" s="115">
        <f t="shared" si="5"/>
        <v>3835.5949999999998</v>
      </c>
      <c r="P9" s="116">
        <f t="shared" si="6"/>
        <v>0.47372050490210771</v>
      </c>
      <c r="Q9" s="116">
        <f t="shared" si="7"/>
        <v>0.14541420561868496</v>
      </c>
      <c r="R9" s="116">
        <f t="shared" si="8"/>
        <v>0.61913471052079272</v>
      </c>
      <c r="S9" s="116">
        <f t="shared" si="9"/>
        <v>0.38086528947920728</v>
      </c>
      <c r="T9" s="117"/>
      <c r="V9" s="108">
        <v>3309.81</v>
      </c>
      <c r="W9" s="322">
        <f t="shared" si="12"/>
        <v>-25.490000000000236</v>
      </c>
      <c r="X9" s="118"/>
      <c r="Y9" s="323">
        <v>80.41</v>
      </c>
    </row>
    <row r="10" spans="1:25" s="108" customFormat="1" ht="15.75">
      <c r="A10" s="109" t="s">
        <v>137</v>
      </c>
      <c r="B10" s="110" t="s">
        <v>138</v>
      </c>
      <c r="C10" s="111">
        <f t="shared" si="0"/>
        <v>4883.9809999999989</v>
      </c>
      <c r="D10" s="111">
        <v>4246.9399999999996</v>
      </c>
      <c r="E10" s="112">
        <v>46029</v>
      </c>
      <c r="F10" s="112" t="s">
        <v>470</v>
      </c>
      <c r="G10" s="324">
        <v>2205</v>
      </c>
      <c r="H10" s="326">
        <f t="shared" si="1"/>
        <v>2535.75</v>
      </c>
      <c r="I10" s="324">
        <v>570</v>
      </c>
      <c r="J10" s="325">
        <f t="shared" si="2"/>
        <v>655.5</v>
      </c>
      <c r="K10" s="113">
        <f t="shared" si="3"/>
        <v>2775</v>
      </c>
      <c r="L10" s="113">
        <f t="shared" si="10"/>
        <v>1471.9399999999996</v>
      </c>
      <c r="M10" s="114">
        <f t="shared" si="4"/>
        <v>1692.7309999999993</v>
      </c>
      <c r="N10" s="115">
        <f t="shared" si="11"/>
        <v>4246.9399999999996</v>
      </c>
      <c r="O10" s="115">
        <f t="shared" si="5"/>
        <v>4883.9809999999989</v>
      </c>
      <c r="P10" s="116">
        <f t="shared" si="6"/>
        <v>0.51919735150484825</v>
      </c>
      <c r="Q10" s="116">
        <f t="shared" si="7"/>
        <v>0.13421428134138935</v>
      </c>
      <c r="R10" s="116">
        <f t="shared" si="8"/>
        <v>0.6534116328462376</v>
      </c>
      <c r="S10" s="116">
        <f t="shared" si="9"/>
        <v>0.3465883671537624</v>
      </c>
      <c r="T10" s="117"/>
      <c r="V10" s="108">
        <v>4214.49</v>
      </c>
      <c r="W10" s="322">
        <f t="shared" si="12"/>
        <v>-32.449999999999818</v>
      </c>
      <c r="Y10" s="323">
        <v>102.39</v>
      </c>
    </row>
    <row r="11" spans="1:25" s="108" customFormat="1" ht="15.75">
      <c r="A11" s="109" t="s">
        <v>139</v>
      </c>
      <c r="B11" s="119" t="s">
        <v>140</v>
      </c>
      <c r="C11" s="111">
        <f t="shared" si="0"/>
        <v>6147.4169999999995</v>
      </c>
      <c r="D11" s="111">
        <v>5345.58</v>
      </c>
      <c r="E11" s="112">
        <v>46029</v>
      </c>
      <c r="F11" s="112" t="s">
        <v>470</v>
      </c>
      <c r="G11" s="324">
        <v>2240</v>
      </c>
      <c r="H11" s="326">
        <f t="shared" si="1"/>
        <v>2576</v>
      </c>
      <c r="I11" s="324">
        <v>450</v>
      </c>
      <c r="J11" s="325">
        <f t="shared" si="2"/>
        <v>517.5</v>
      </c>
      <c r="K11" s="113">
        <f t="shared" si="3"/>
        <v>2690</v>
      </c>
      <c r="L11" s="113">
        <f t="shared" si="10"/>
        <v>2655.58</v>
      </c>
      <c r="M11" s="114">
        <f>L11*1.15</f>
        <v>3053.9169999999995</v>
      </c>
      <c r="N11" s="115">
        <f t="shared" si="11"/>
        <v>5345.58</v>
      </c>
      <c r="O11" s="115">
        <f t="shared" si="5"/>
        <v>6147.4169999999995</v>
      </c>
      <c r="P11" s="116">
        <f t="shared" si="6"/>
        <v>0.41903778448737089</v>
      </c>
      <c r="Q11" s="116">
        <f t="shared" si="7"/>
        <v>8.4181697776480754E-2</v>
      </c>
      <c r="R11" s="116">
        <f t="shared" si="8"/>
        <v>0.5032194822638516</v>
      </c>
      <c r="S11" s="116">
        <f t="shared" si="9"/>
        <v>0.49678051773614834</v>
      </c>
      <c r="T11" s="117"/>
      <c r="V11" s="108">
        <v>5304.73</v>
      </c>
      <c r="W11" s="322">
        <f t="shared" si="12"/>
        <v>-40.850000000000364</v>
      </c>
      <c r="Y11" s="323">
        <v>128.88</v>
      </c>
    </row>
    <row r="12" spans="1:25" s="108" customFormat="1" ht="15.75">
      <c r="A12" s="109" t="s">
        <v>141</v>
      </c>
      <c r="B12" s="119" t="s">
        <v>142</v>
      </c>
      <c r="C12" s="111">
        <f t="shared" si="0"/>
        <v>6275.2509999999993</v>
      </c>
      <c r="D12" s="111">
        <v>5456.74</v>
      </c>
      <c r="E12" s="112">
        <v>46029</v>
      </c>
      <c r="F12" s="112" t="s">
        <v>470</v>
      </c>
      <c r="G12" s="324">
        <v>2235</v>
      </c>
      <c r="H12" s="326">
        <f t="shared" si="1"/>
        <v>2570.25</v>
      </c>
      <c r="I12" s="324">
        <v>490</v>
      </c>
      <c r="J12" s="325">
        <f t="shared" si="2"/>
        <v>563.5</v>
      </c>
      <c r="K12" s="113">
        <f t="shared" si="3"/>
        <v>2725</v>
      </c>
      <c r="L12" s="113">
        <f t="shared" si="10"/>
        <v>2731.74</v>
      </c>
      <c r="M12" s="114">
        <f t="shared" si="4"/>
        <v>3141.5009999999993</v>
      </c>
      <c r="N12" s="115">
        <f t="shared" si="11"/>
        <v>5456.74</v>
      </c>
      <c r="O12" s="115">
        <f t="shared" si="5"/>
        <v>6275.2509999999993</v>
      </c>
      <c r="P12" s="116">
        <f t="shared" si="6"/>
        <v>0.40958521021708932</v>
      </c>
      <c r="Q12" s="116">
        <f t="shared" si="7"/>
        <v>8.9797204924552024E-2</v>
      </c>
      <c r="R12" s="116">
        <f t="shared" si="8"/>
        <v>0.49938241514164139</v>
      </c>
      <c r="S12" s="116">
        <f t="shared" si="9"/>
        <v>0.50061758485835861</v>
      </c>
      <c r="T12" s="117"/>
      <c r="V12" s="108">
        <v>5415.04</v>
      </c>
      <c r="W12" s="322">
        <f t="shared" si="12"/>
        <v>-41.699999999999818</v>
      </c>
      <c r="Y12" s="323">
        <v>131.56</v>
      </c>
    </row>
    <row r="13" spans="1:25" s="108" customFormat="1" ht="15.75">
      <c r="A13" s="109" t="s">
        <v>143</v>
      </c>
      <c r="B13" s="119" t="s">
        <v>144</v>
      </c>
      <c r="C13" s="111">
        <f t="shared" si="0"/>
        <v>7072.3274999999994</v>
      </c>
      <c r="D13" s="111">
        <v>6149.85</v>
      </c>
      <c r="E13" s="112">
        <v>46029</v>
      </c>
      <c r="F13" s="112" t="s">
        <v>470</v>
      </c>
      <c r="G13" s="324">
        <v>2400</v>
      </c>
      <c r="H13" s="326">
        <f t="shared" si="1"/>
        <v>2760</v>
      </c>
      <c r="I13" s="324">
        <v>600</v>
      </c>
      <c r="J13" s="325">
        <f t="shared" si="2"/>
        <v>690</v>
      </c>
      <c r="K13" s="113">
        <f t="shared" si="3"/>
        <v>3000</v>
      </c>
      <c r="L13" s="113">
        <f t="shared" si="10"/>
        <v>3149.8500000000004</v>
      </c>
      <c r="M13" s="114">
        <f t="shared" si="4"/>
        <v>3622.3275000000003</v>
      </c>
      <c r="N13" s="115">
        <f t="shared" si="11"/>
        <v>6149.85</v>
      </c>
      <c r="O13" s="115">
        <f t="shared" si="5"/>
        <v>7072.3274999999994</v>
      </c>
      <c r="P13" s="116">
        <f t="shared" si="6"/>
        <v>0.3902534208151418</v>
      </c>
      <c r="Q13" s="116">
        <f t="shared" si="7"/>
        <v>9.7563355203785451E-2</v>
      </c>
      <c r="R13" s="116">
        <f t="shared" si="8"/>
        <v>0.48781677601892726</v>
      </c>
      <c r="S13" s="116">
        <f t="shared" si="9"/>
        <v>0.51218322398107274</v>
      </c>
      <c r="T13" s="117"/>
      <c r="V13" s="108">
        <v>6102.86</v>
      </c>
      <c r="W13" s="322">
        <f t="shared" si="12"/>
        <v>-46.990000000000691</v>
      </c>
      <c r="Y13" s="323">
        <v>148.27000000000001</v>
      </c>
    </row>
    <row r="14" spans="1:25" s="108" customFormat="1" ht="15.75">
      <c r="A14" s="109" t="s">
        <v>145</v>
      </c>
      <c r="B14" s="119" t="s">
        <v>146</v>
      </c>
      <c r="C14" s="111">
        <f t="shared" si="0"/>
        <v>9620.3824999999979</v>
      </c>
      <c r="D14" s="111">
        <v>8365.5499999999993</v>
      </c>
      <c r="E14" s="112">
        <v>46029</v>
      </c>
      <c r="F14" s="112" t="s">
        <v>470</v>
      </c>
      <c r="G14" s="324">
        <v>3310</v>
      </c>
      <c r="H14" s="326">
        <f t="shared" si="1"/>
        <v>3806.4999999999995</v>
      </c>
      <c r="I14" s="324">
        <v>880</v>
      </c>
      <c r="J14" s="325">
        <f t="shared" si="2"/>
        <v>1011.9999999999999</v>
      </c>
      <c r="K14" s="113">
        <f t="shared" si="3"/>
        <v>4190</v>
      </c>
      <c r="L14" s="113">
        <f t="shared" si="10"/>
        <v>4175.5499999999993</v>
      </c>
      <c r="M14" s="114">
        <f t="shared" si="4"/>
        <v>4801.8824999999988</v>
      </c>
      <c r="N14" s="115">
        <f t="shared" si="11"/>
        <v>8365.5499999999993</v>
      </c>
      <c r="O14" s="115">
        <f t="shared" si="5"/>
        <v>9620.3824999999979</v>
      </c>
      <c r="P14" s="116">
        <f t="shared" si="6"/>
        <v>0.39567033847146932</v>
      </c>
      <c r="Q14" s="116">
        <f t="shared" si="7"/>
        <v>0.10519332261477131</v>
      </c>
      <c r="R14" s="116">
        <f t="shared" si="8"/>
        <v>0.50086366108624059</v>
      </c>
      <c r="S14" s="116">
        <f t="shared" si="9"/>
        <v>0.49913633891375936</v>
      </c>
      <c r="T14" s="117"/>
      <c r="V14" s="108">
        <v>8301.6299999999992</v>
      </c>
      <c r="W14" s="322">
        <f t="shared" si="12"/>
        <v>-63.920000000000073</v>
      </c>
      <c r="Y14" s="323">
        <v>201.69</v>
      </c>
    </row>
    <row r="15" spans="1:25" s="108" customFormat="1" ht="15.75">
      <c r="A15" s="109" t="s">
        <v>147</v>
      </c>
      <c r="B15" s="119" t="s">
        <v>148</v>
      </c>
      <c r="C15" s="111">
        <f t="shared" si="0"/>
        <v>10417.482</v>
      </c>
      <c r="D15" s="111">
        <v>9058.68</v>
      </c>
      <c r="E15" s="112">
        <v>46029</v>
      </c>
      <c r="F15" s="112" t="s">
        <v>470</v>
      </c>
      <c r="G15" s="324">
        <v>3600</v>
      </c>
      <c r="H15" s="326">
        <f t="shared" si="1"/>
        <v>4140</v>
      </c>
      <c r="I15" s="324">
        <v>1030</v>
      </c>
      <c r="J15" s="325">
        <f t="shared" si="2"/>
        <v>1184.5</v>
      </c>
      <c r="K15" s="113">
        <f t="shared" si="3"/>
        <v>4630</v>
      </c>
      <c r="L15" s="113">
        <f t="shared" si="10"/>
        <v>4428.68</v>
      </c>
      <c r="M15" s="114">
        <f t="shared" si="4"/>
        <v>5092.982</v>
      </c>
      <c r="N15" s="115">
        <f t="shared" si="11"/>
        <v>9058.68</v>
      </c>
      <c r="O15" s="115">
        <f t="shared" si="5"/>
        <v>10417.482</v>
      </c>
      <c r="P15" s="116">
        <f t="shared" si="6"/>
        <v>0.39740889401104795</v>
      </c>
      <c r="Q15" s="116">
        <f t="shared" si="7"/>
        <v>0.11370310023093871</v>
      </c>
      <c r="R15" s="116">
        <f t="shared" si="8"/>
        <v>0.51111199424198672</v>
      </c>
      <c r="S15" s="116">
        <f t="shared" si="9"/>
        <v>0.48888800575801333</v>
      </c>
      <c r="T15" s="117"/>
      <c r="V15" s="108">
        <v>8989.4599999999991</v>
      </c>
      <c r="W15" s="322">
        <f t="shared" si="12"/>
        <v>-69.220000000001164</v>
      </c>
      <c r="Y15" s="323">
        <v>281.39999999999998</v>
      </c>
    </row>
    <row r="16" spans="1:25" s="108" customFormat="1" ht="15.75">
      <c r="A16" s="109" t="s">
        <v>149</v>
      </c>
      <c r="B16" s="119" t="s">
        <v>150</v>
      </c>
      <c r="C16" s="111">
        <f t="shared" si="0"/>
        <v>11214.523999999999</v>
      </c>
      <c r="D16" s="111">
        <v>9751.76</v>
      </c>
      <c r="E16" s="112">
        <v>46029</v>
      </c>
      <c r="F16" s="112" t="s">
        <v>470</v>
      </c>
      <c r="G16" s="324">
        <v>3935</v>
      </c>
      <c r="H16" s="326">
        <f t="shared" si="1"/>
        <v>4525.25</v>
      </c>
      <c r="I16" s="324">
        <v>1285</v>
      </c>
      <c r="J16" s="325">
        <f t="shared" si="2"/>
        <v>1477.7499999999998</v>
      </c>
      <c r="K16" s="113">
        <f t="shared" si="3"/>
        <v>5220</v>
      </c>
      <c r="L16" s="113">
        <f t="shared" si="10"/>
        <v>4531.76</v>
      </c>
      <c r="M16" s="114">
        <f t="shared" si="4"/>
        <v>5211.5239999999994</v>
      </c>
      <c r="N16" s="115">
        <f t="shared" si="11"/>
        <v>9751.76</v>
      </c>
      <c r="O16" s="115">
        <f t="shared" si="5"/>
        <v>11214.523999999999</v>
      </c>
      <c r="P16" s="116">
        <f t="shared" si="6"/>
        <v>0.40351690361534737</v>
      </c>
      <c r="Q16" s="116">
        <f t="shared" si="7"/>
        <v>0.13177108542457977</v>
      </c>
      <c r="R16" s="116">
        <f t="shared" si="8"/>
        <v>0.53528798903992714</v>
      </c>
      <c r="S16" s="116">
        <f t="shared" si="9"/>
        <v>0.46471201096007286</v>
      </c>
      <c r="T16" s="117"/>
      <c r="V16" s="108">
        <v>9677.25</v>
      </c>
      <c r="W16" s="322">
        <f t="shared" si="12"/>
        <v>-74.510000000000218</v>
      </c>
      <c r="Y16" s="323">
        <v>235.11</v>
      </c>
    </row>
    <row r="17" spans="1:31" s="108" customFormat="1" ht="15.75">
      <c r="A17" s="109" t="s">
        <v>151</v>
      </c>
      <c r="B17" s="119" t="s">
        <v>152</v>
      </c>
      <c r="C17" s="111">
        <f t="shared" si="0"/>
        <v>7869.4155000000001</v>
      </c>
      <c r="D17" s="111">
        <v>6842.97</v>
      </c>
      <c r="E17" s="112">
        <v>46029</v>
      </c>
      <c r="F17" s="112" t="s">
        <v>470</v>
      </c>
      <c r="G17" s="324">
        <v>2730</v>
      </c>
      <c r="H17" s="326">
        <f t="shared" si="1"/>
        <v>3139.4999999999995</v>
      </c>
      <c r="I17" s="324">
        <v>800</v>
      </c>
      <c r="J17" s="325">
        <f t="shared" si="2"/>
        <v>919.99999999999989</v>
      </c>
      <c r="K17" s="113">
        <f t="shared" si="3"/>
        <v>3530</v>
      </c>
      <c r="L17" s="113">
        <f t="shared" si="10"/>
        <v>3312.9700000000003</v>
      </c>
      <c r="M17" s="114">
        <f t="shared" si="4"/>
        <v>3809.9155000000001</v>
      </c>
      <c r="N17" s="115">
        <f t="shared" si="11"/>
        <v>6842.97</v>
      </c>
      <c r="O17" s="115">
        <f t="shared" si="5"/>
        <v>7869.4155000000001</v>
      </c>
      <c r="P17" s="116">
        <f t="shared" si="6"/>
        <v>0.39894957891091148</v>
      </c>
      <c r="Q17" s="116">
        <f t="shared" si="7"/>
        <v>0.11690830151235501</v>
      </c>
      <c r="R17" s="116">
        <f t="shared" si="8"/>
        <v>0.51585788042326652</v>
      </c>
      <c r="S17" s="116">
        <f t="shared" si="9"/>
        <v>0.48414211957673353</v>
      </c>
      <c r="T17" s="117"/>
      <c r="V17" s="108">
        <v>6790.68</v>
      </c>
      <c r="W17" s="322">
        <f t="shared" si="12"/>
        <v>-52.289999999999964</v>
      </c>
      <c r="Y17" s="323">
        <v>164.98</v>
      </c>
    </row>
    <row r="18" spans="1:31" s="108" customFormat="1" ht="15.75">
      <c r="A18" s="109" t="s">
        <v>153</v>
      </c>
      <c r="B18" s="110" t="s">
        <v>154</v>
      </c>
      <c r="C18" s="111">
        <f t="shared" si="0"/>
        <v>5932.3209999999999</v>
      </c>
      <c r="D18" s="111">
        <v>5158.54</v>
      </c>
      <c r="E18" s="112">
        <v>46029</v>
      </c>
      <c r="F18" s="112" t="s">
        <v>470</v>
      </c>
      <c r="G18" s="324">
        <v>2750</v>
      </c>
      <c r="H18" s="326">
        <f t="shared" si="1"/>
        <v>3162.4999999999995</v>
      </c>
      <c r="I18" s="324">
        <v>690</v>
      </c>
      <c r="J18" s="325">
        <f t="shared" si="2"/>
        <v>793.49999999999989</v>
      </c>
      <c r="K18" s="113">
        <f t="shared" si="3"/>
        <v>3440</v>
      </c>
      <c r="L18" s="113">
        <f t="shared" si="10"/>
        <v>1718.54</v>
      </c>
      <c r="M18" s="114">
        <f t="shared" si="4"/>
        <v>1976.3209999999999</v>
      </c>
      <c r="N18" s="115">
        <f t="shared" si="11"/>
        <v>5158.54</v>
      </c>
      <c r="O18" s="115">
        <f t="shared" si="5"/>
        <v>5932.3209999999999</v>
      </c>
      <c r="P18" s="116">
        <f t="shared" si="6"/>
        <v>0.53309657383678333</v>
      </c>
      <c r="Q18" s="116">
        <f t="shared" si="7"/>
        <v>0.13375877670813835</v>
      </c>
      <c r="R18" s="116">
        <f t="shared" si="8"/>
        <v>0.66685535054492162</v>
      </c>
      <c r="S18" s="116">
        <f t="shared" si="9"/>
        <v>0.33314464945507838</v>
      </c>
      <c r="T18" s="117"/>
      <c r="V18" s="108">
        <v>5119.12</v>
      </c>
      <c r="W18" s="322">
        <f t="shared" si="12"/>
        <v>-39.420000000000073</v>
      </c>
      <c r="Y18" s="323">
        <v>124.37</v>
      </c>
    </row>
    <row r="19" spans="1:31" s="108" customFormat="1" ht="15.75">
      <c r="A19" s="109" t="s">
        <v>155</v>
      </c>
      <c r="B19" s="119" t="s">
        <v>156</v>
      </c>
      <c r="C19" s="111">
        <f t="shared" si="0"/>
        <v>7627.6854999999996</v>
      </c>
      <c r="D19" s="111">
        <v>6632.77</v>
      </c>
      <c r="E19" s="112">
        <v>46029</v>
      </c>
      <c r="F19" s="112" t="s">
        <v>470</v>
      </c>
      <c r="G19" s="324">
        <v>2565</v>
      </c>
      <c r="H19" s="326">
        <f t="shared" si="1"/>
        <v>2949.7499999999995</v>
      </c>
      <c r="I19" s="324">
        <v>790</v>
      </c>
      <c r="J19" s="325">
        <f t="shared" si="2"/>
        <v>908.49999999999989</v>
      </c>
      <c r="K19" s="113">
        <f t="shared" si="3"/>
        <v>3355</v>
      </c>
      <c r="L19" s="113">
        <f t="shared" si="10"/>
        <v>3277.7700000000004</v>
      </c>
      <c r="M19" s="114">
        <f t="shared" si="4"/>
        <v>3769.4355</v>
      </c>
      <c r="N19" s="115">
        <f t="shared" si="11"/>
        <v>6632.77</v>
      </c>
      <c r="O19" s="115">
        <f t="shared" si="5"/>
        <v>7627.6854999999996</v>
      </c>
      <c r="P19" s="116">
        <f t="shared" si="6"/>
        <v>0.3867162588179599</v>
      </c>
      <c r="Q19" s="116">
        <f t="shared" si="7"/>
        <v>0.11910559238447888</v>
      </c>
      <c r="R19" s="116">
        <f t="shared" si="8"/>
        <v>0.50582185120243872</v>
      </c>
      <c r="S19" s="116">
        <f t="shared" si="9"/>
        <v>0.49417814879756122</v>
      </c>
      <c r="T19" s="117"/>
      <c r="V19" s="108">
        <v>6582.09</v>
      </c>
      <c r="W19" s="322">
        <f t="shared" si="12"/>
        <v>-50.680000000000291</v>
      </c>
      <c r="Y19" s="323">
        <v>159.91</v>
      </c>
    </row>
    <row r="20" spans="1:31" s="108" customFormat="1" ht="15.75">
      <c r="A20" s="109" t="s">
        <v>157</v>
      </c>
      <c r="B20" s="119" t="s">
        <v>158</v>
      </c>
      <c r="C20" s="111">
        <f t="shared" si="0"/>
        <v>7627.6854999999996</v>
      </c>
      <c r="D20" s="111">
        <v>6632.77</v>
      </c>
      <c r="E20" s="112">
        <v>46029</v>
      </c>
      <c r="F20" s="112" t="s">
        <v>470</v>
      </c>
      <c r="G20" s="324">
        <v>2565</v>
      </c>
      <c r="H20" s="326">
        <f t="shared" si="1"/>
        <v>2949.7499999999995</v>
      </c>
      <c r="I20" s="324">
        <v>790</v>
      </c>
      <c r="J20" s="325">
        <f t="shared" si="2"/>
        <v>908.49999999999989</v>
      </c>
      <c r="K20" s="113">
        <f t="shared" si="3"/>
        <v>3355</v>
      </c>
      <c r="L20" s="113">
        <f t="shared" si="10"/>
        <v>3277.7700000000004</v>
      </c>
      <c r="M20" s="114">
        <f t="shared" si="4"/>
        <v>3769.4355</v>
      </c>
      <c r="N20" s="115">
        <f t="shared" si="11"/>
        <v>6632.77</v>
      </c>
      <c r="O20" s="115">
        <f t="shared" si="5"/>
        <v>7627.6854999999996</v>
      </c>
      <c r="P20" s="116">
        <f t="shared" si="6"/>
        <v>0.3867162588179599</v>
      </c>
      <c r="Q20" s="116">
        <f t="shared" si="7"/>
        <v>0.11910559238447888</v>
      </c>
      <c r="R20" s="116">
        <f t="shared" si="8"/>
        <v>0.50582185120243872</v>
      </c>
      <c r="S20" s="116">
        <f t="shared" si="9"/>
        <v>0.49417814879756122</v>
      </c>
      <c r="T20" s="117"/>
      <c r="V20" s="108">
        <v>6582.09</v>
      </c>
      <c r="W20" s="322">
        <f t="shared" si="12"/>
        <v>-50.680000000000291</v>
      </c>
      <c r="Y20" s="323">
        <v>159.91</v>
      </c>
    </row>
    <row r="21" spans="1:31" s="108" customFormat="1" ht="15.75">
      <c r="A21" s="109" t="s">
        <v>159</v>
      </c>
      <c r="B21" s="119" t="s">
        <v>160</v>
      </c>
      <c r="C21" s="111">
        <f t="shared" si="0"/>
        <v>7627.6854999999996</v>
      </c>
      <c r="D21" s="111">
        <v>6632.77</v>
      </c>
      <c r="E21" s="112">
        <v>46029</v>
      </c>
      <c r="F21" s="112" t="s">
        <v>470</v>
      </c>
      <c r="G21" s="324">
        <v>2565</v>
      </c>
      <c r="H21" s="326">
        <f t="shared" si="1"/>
        <v>2949.7499999999995</v>
      </c>
      <c r="I21" s="324">
        <v>790</v>
      </c>
      <c r="J21" s="325">
        <f t="shared" si="2"/>
        <v>908.49999999999989</v>
      </c>
      <c r="K21" s="113">
        <f t="shared" si="3"/>
        <v>3355</v>
      </c>
      <c r="L21" s="113">
        <f t="shared" si="10"/>
        <v>3277.7700000000004</v>
      </c>
      <c r="M21" s="114">
        <f t="shared" si="4"/>
        <v>3769.4355</v>
      </c>
      <c r="N21" s="115">
        <f t="shared" si="11"/>
        <v>6632.77</v>
      </c>
      <c r="O21" s="115">
        <f t="shared" si="5"/>
        <v>7627.6854999999996</v>
      </c>
      <c r="P21" s="116">
        <f t="shared" si="6"/>
        <v>0.3867162588179599</v>
      </c>
      <c r="Q21" s="116">
        <f t="shared" si="7"/>
        <v>0.11910559238447888</v>
      </c>
      <c r="R21" s="116">
        <f t="shared" si="8"/>
        <v>0.50582185120243872</v>
      </c>
      <c r="S21" s="116">
        <f t="shared" si="9"/>
        <v>0.49417814879756122</v>
      </c>
      <c r="T21" s="117" t="s">
        <v>366</v>
      </c>
      <c r="V21" s="108">
        <v>6582.09</v>
      </c>
      <c r="W21" s="322">
        <f t="shared" si="12"/>
        <v>-50.680000000000291</v>
      </c>
      <c r="Y21" s="323">
        <v>159.91</v>
      </c>
    </row>
    <row r="22" spans="1:31" s="108" customFormat="1" ht="15.75">
      <c r="A22" s="109" t="s">
        <v>161</v>
      </c>
      <c r="B22" s="119" t="s">
        <v>162</v>
      </c>
      <c r="C22" s="111">
        <f t="shared" si="0"/>
        <v>6275.2509999999993</v>
      </c>
      <c r="D22" s="111">
        <v>5456.74</v>
      </c>
      <c r="E22" s="112">
        <v>46029</v>
      </c>
      <c r="F22" s="112" t="s">
        <v>470</v>
      </c>
      <c r="G22" s="324">
        <v>2170</v>
      </c>
      <c r="H22" s="326">
        <f t="shared" si="1"/>
        <v>2495.5</v>
      </c>
      <c r="I22" s="324">
        <v>790</v>
      </c>
      <c r="J22" s="325">
        <f t="shared" si="2"/>
        <v>908.49999999999989</v>
      </c>
      <c r="K22" s="113">
        <f t="shared" si="3"/>
        <v>2960</v>
      </c>
      <c r="L22" s="113">
        <f t="shared" si="10"/>
        <v>2496.7399999999998</v>
      </c>
      <c r="M22" s="114">
        <f t="shared" si="4"/>
        <v>2871.2509999999997</v>
      </c>
      <c r="N22" s="115">
        <f t="shared" si="11"/>
        <v>5456.74</v>
      </c>
      <c r="O22" s="115">
        <f t="shared" si="5"/>
        <v>6275.2509999999993</v>
      </c>
      <c r="P22" s="116">
        <f t="shared" si="6"/>
        <v>0.39767333609444466</v>
      </c>
      <c r="Q22" s="116">
        <f t="shared" si="7"/>
        <v>0.14477508549060428</v>
      </c>
      <c r="R22" s="116">
        <f t="shared" si="8"/>
        <v>0.54244842158504902</v>
      </c>
      <c r="S22" s="116">
        <f t="shared" si="9"/>
        <v>0.45755157841495103</v>
      </c>
      <c r="T22" s="117"/>
      <c r="V22" s="108">
        <v>5415.04</v>
      </c>
      <c r="W22" s="322">
        <f t="shared" si="12"/>
        <v>-41.699999999999818</v>
      </c>
      <c r="Y22" s="323">
        <v>131.56</v>
      </c>
    </row>
    <row r="23" spans="1:31" s="108" customFormat="1" ht="15.75">
      <c r="A23" s="109" t="s">
        <v>163</v>
      </c>
      <c r="B23" s="110" t="s">
        <v>164</v>
      </c>
      <c r="C23" s="111">
        <f t="shared" si="0"/>
        <v>4334.6490000000003</v>
      </c>
      <c r="D23" s="111">
        <v>3769.26</v>
      </c>
      <c r="E23" s="112">
        <v>46029</v>
      </c>
      <c r="F23" s="112" t="s">
        <v>470</v>
      </c>
      <c r="G23" s="324">
        <v>1470</v>
      </c>
      <c r="H23" s="326">
        <f t="shared" si="1"/>
        <v>1690.4999999999998</v>
      </c>
      <c r="I23" s="324">
        <v>475</v>
      </c>
      <c r="J23" s="325">
        <f t="shared" si="2"/>
        <v>546.25</v>
      </c>
      <c r="K23" s="113">
        <f t="shared" si="3"/>
        <v>1945</v>
      </c>
      <c r="L23" s="113">
        <f t="shared" si="10"/>
        <v>1824.2600000000002</v>
      </c>
      <c r="M23" s="114">
        <f t="shared" si="4"/>
        <v>2097.8989999999999</v>
      </c>
      <c r="N23" s="115">
        <f t="shared" si="11"/>
        <v>3769.26</v>
      </c>
      <c r="O23" s="115">
        <f t="shared" si="5"/>
        <v>4334.6490000000003</v>
      </c>
      <c r="P23" s="116">
        <f t="shared" si="6"/>
        <v>0.38999697553365908</v>
      </c>
      <c r="Q23" s="116">
        <f t="shared" si="7"/>
        <v>0.12601943086971978</v>
      </c>
      <c r="R23" s="116">
        <f t="shared" si="8"/>
        <v>0.51601640640337887</v>
      </c>
      <c r="S23" s="116">
        <f t="shared" si="9"/>
        <v>0.48398359359662113</v>
      </c>
      <c r="T23" s="117"/>
      <c r="V23" s="108">
        <v>3740.46</v>
      </c>
      <c r="W23" s="322">
        <f t="shared" si="12"/>
        <v>-28.800000000000182</v>
      </c>
      <c r="Y23" s="323">
        <v>90.87</v>
      </c>
    </row>
    <row r="24" spans="1:31" s="108" customFormat="1" ht="15.75">
      <c r="A24" s="109" t="s">
        <v>165</v>
      </c>
      <c r="B24" s="119" t="s">
        <v>166</v>
      </c>
      <c r="C24" s="111">
        <f t="shared" si="0"/>
        <v>8217.7274999999991</v>
      </c>
      <c r="D24" s="111">
        <v>7145.85</v>
      </c>
      <c r="E24" s="112">
        <v>46029</v>
      </c>
      <c r="F24" s="112" t="s">
        <v>470</v>
      </c>
      <c r="G24" s="324">
        <v>3070</v>
      </c>
      <c r="H24" s="326">
        <f t="shared" si="1"/>
        <v>3530.4999999999995</v>
      </c>
      <c r="I24" s="324">
        <v>815</v>
      </c>
      <c r="J24" s="325">
        <f t="shared" si="2"/>
        <v>937.24999999999989</v>
      </c>
      <c r="K24" s="113">
        <f t="shared" si="3"/>
        <v>3885</v>
      </c>
      <c r="L24" s="113">
        <f t="shared" si="10"/>
        <v>3260.8500000000004</v>
      </c>
      <c r="M24" s="114">
        <f t="shared" si="4"/>
        <v>3749.9775</v>
      </c>
      <c r="N24" s="115">
        <f t="shared" si="11"/>
        <v>7145.85</v>
      </c>
      <c r="O24" s="115">
        <f t="shared" si="5"/>
        <v>8217.7274999999991</v>
      </c>
      <c r="P24" s="116">
        <f t="shared" si="6"/>
        <v>0.42961998922451489</v>
      </c>
      <c r="Q24" s="116">
        <f t="shared" si="7"/>
        <v>0.1140522121231204</v>
      </c>
      <c r="R24" s="116">
        <f t="shared" si="8"/>
        <v>0.54367220134763528</v>
      </c>
      <c r="S24" s="116">
        <f t="shared" si="9"/>
        <v>0.45632779865236467</v>
      </c>
      <c r="T24" s="117"/>
      <c r="V24" s="108">
        <v>7091.25</v>
      </c>
      <c r="W24" s="322">
        <f t="shared" si="12"/>
        <v>-54.600000000000364</v>
      </c>
      <c r="Y24" s="323">
        <v>172.28</v>
      </c>
    </row>
    <row r="25" spans="1:31" s="108" customFormat="1" ht="15.75">
      <c r="A25" s="109" t="s">
        <v>167</v>
      </c>
      <c r="B25" s="119" t="s">
        <v>168</v>
      </c>
      <c r="C25" s="111">
        <f t="shared" si="0"/>
        <v>7064.7489999999998</v>
      </c>
      <c r="D25" s="111">
        <v>6143.26</v>
      </c>
      <c r="E25" s="112">
        <v>46029</v>
      </c>
      <c r="F25" s="112" t="s">
        <v>470</v>
      </c>
      <c r="G25" s="324">
        <v>2350</v>
      </c>
      <c r="H25" s="326">
        <f t="shared" si="1"/>
        <v>2702.5</v>
      </c>
      <c r="I25" s="324">
        <v>800</v>
      </c>
      <c r="J25" s="325">
        <f t="shared" si="2"/>
        <v>919.99999999999989</v>
      </c>
      <c r="K25" s="113">
        <f t="shared" si="3"/>
        <v>3150</v>
      </c>
      <c r="L25" s="113">
        <f t="shared" si="10"/>
        <v>2993.26</v>
      </c>
      <c r="M25" s="114">
        <f t="shared" si="4"/>
        <v>3442.2489999999998</v>
      </c>
      <c r="N25" s="115">
        <f t="shared" si="11"/>
        <v>6143.26</v>
      </c>
      <c r="O25" s="115">
        <f t="shared" si="5"/>
        <v>7064.7489999999998</v>
      </c>
      <c r="P25" s="116">
        <f t="shared" si="6"/>
        <v>0.38253305248353481</v>
      </c>
      <c r="Q25" s="116">
        <f t="shared" si="7"/>
        <v>0.13022401786673524</v>
      </c>
      <c r="R25" s="116">
        <f t="shared" si="8"/>
        <v>0.51275707035027007</v>
      </c>
      <c r="S25" s="116">
        <f t="shared" si="9"/>
        <v>0.48724292964972998</v>
      </c>
      <c r="T25" s="117"/>
      <c r="V25" s="108">
        <v>6096.32</v>
      </c>
      <c r="W25" s="322">
        <f t="shared" si="12"/>
        <v>-46.940000000000509</v>
      </c>
      <c r="Y25" s="323">
        <v>148.11000000000001</v>
      </c>
    </row>
    <row r="26" spans="1:31" s="108" customFormat="1" ht="15.75">
      <c r="A26" s="109" t="s">
        <v>169</v>
      </c>
      <c r="B26" s="119" t="s">
        <v>170</v>
      </c>
      <c r="C26" s="111">
        <f t="shared" si="0"/>
        <v>7064.7489999999998</v>
      </c>
      <c r="D26" s="111">
        <v>6143.26</v>
      </c>
      <c r="E26" s="112">
        <v>46029</v>
      </c>
      <c r="F26" s="112" t="s">
        <v>470</v>
      </c>
      <c r="G26" s="324">
        <v>2350</v>
      </c>
      <c r="H26" s="326">
        <f t="shared" si="1"/>
        <v>2702.5</v>
      </c>
      <c r="I26" s="324">
        <v>800</v>
      </c>
      <c r="J26" s="325">
        <f t="shared" si="2"/>
        <v>919.99999999999989</v>
      </c>
      <c r="K26" s="113">
        <f t="shared" si="3"/>
        <v>3150</v>
      </c>
      <c r="L26" s="113">
        <f t="shared" si="10"/>
        <v>2993.26</v>
      </c>
      <c r="M26" s="114">
        <f t="shared" si="4"/>
        <v>3442.2489999999998</v>
      </c>
      <c r="N26" s="115">
        <f t="shared" si="11"/>
        <v>6143.26</v>
      </c>
      <c r="O26" s="115">
        <f t="shared" si="5"/>
        <v>7064.7489999999998</v>
      </c>
      <c r="P26" s="116">
        <f t="shared" si="6"/>
        <v>0.38253305248353481</v>
      </c>
      <c r="Q26" s="116">
        <f t="shared" si="7"/>
        <v>0.13022401786673524</v>
      </c>
      <c r="R26" s="116">
        <f t="shared" si="8"/>
        <v>0.51275707035027007</v>
      </c>
      <c r="S26" s="116">
        <f t="shared" si="9"/>
        <v>0.48724292964972998</v>
      </c>
      <c r="T26" s="117"/>
      <c r="V26" s="108">
        <v>6096.32</v>
      </c>
      <c r="W26" s="322">
        <f t="shared" si="12"/>
        <v>-46.940000000000509</v>
      </c>
      <c r="Y26" s="323">
        <v>148.11000000000001</v>
      </c>
    </row>
    <row r="27" spans="1:31" s="108" customFormat="1" ht="15.75">
      <c r="A27" s="109" t="s">
        <v>171</v>
      </c>
      <c r="B27" s="119" t="s">
        <v>172</v>
      </c>
      <c r="C27" s="111">
        <f t="shared" si="0"/>
        <v>7064.7489999999998</v>
      </c>
      <c r="D27" s="111">
        <v>6143.26</v>
      </c>
      <c r="E27" s="112">
        <v>46029</v>
      </c>
      <c r="F27" s="112" t="s">
        <v>470</v>
      </c>
      <c r="G27" s="324">
        <v>2350</v>
      </c>
      <c r="H27" s="326">
        <f t="shared" si="1"/>
        <v>2702.5</v>
      </c>
      <c r="I27" s="324">
        <v>800</v>
      </c>
      <c r="J27" s="325">
        <f t="shared" si="2"/>
        <v>919.99999999999989</v>
      </c>
      <c r="K27" s="113">
        <f t="shared" si="3"/>
        <v>3150</v>
      </c>
      <c r="L27" s="113">
        <f t="shared" si="10"/>
        <v>2993.26</v>
      </c>
      <c r="M27" s="114">
        <f t="shared" si="4"/>
        <v>3442.2489999999998</v>
      </c>
      <c r="N27" s="115">
        <f t="shared" si="11"/>
        <v>6143.26</v>
      </c>
      <c r="O27" s="115">
        <f t="shared" si="5"/>
        <v>7064.7489999999998</v>
      </c>
      <c r="P27" s="116">
        <f t="shared" si="6"/>
        <v>0.38253305248353481</v>
      </c>
      <c r="Q27" s="116">
        <f t="shared" si="7"/>
        <v>0.13022401786673524</v>
      </c>
      <c r="R27" s="116">
        <f t="shared" si="8"/>
        <v>0.51275707035027007</v>
      </c>
      <c r="S27" s="116">
        <f t="shared" si="9"/>
        <v>0.48724292964972998</v>
      </c>
      <c r="T27" s="117"/>
      <c r="V27" s="108">
        <v>6096.32</v>
      </c>
      <c r="W27" s="322">
        <f t="shared" si="12"/>
        <v>-46.940000000000509</v>
      </c>
      <c r="Y27" s="323">
        <v>148.11000000000001</v>
      </c>
    </row>
    <row r="28" spans="1:31" s="108" customFormat="1" ht="15.75">
      <c r="A28" s="109" t="s">
        <v>173</v>
      </c>
      <c r="B28" s="110" t="s">
        <v>174</v>
      </c>
      <c r="C28" s="111">
        <f t="shared" si="0"/>
        <v>8170.8534999999993</v>
      </c>
      <c r="D28" s="111">
        <v>7105.09</v>
      </c>
      <c r="E28" s="112">
        <v>46029</v>
      </c>
      <c r="F28" s="112" t="s">
        <v>470</v>
      </c>
      <c r="G28" s="324">
        <v>2890</v>
      </c>
      <c r="H28" s="326">
        <f t="shared" si="1"/>
        <v>3323.4999999999995</v>
      </c>
      <c r="I28" s="324">
        <v>900</v>
      </c>
      <c r="J28" s="325">
        <f t="shared" si="2"/>
        <v>1035</v>
      </c>
      <c r="K28" s="113">
        <f t="shared" si="3"/>
        <v>3790</v>
      </c>
      <c r="L28" s="113">
        <f t="shared" si="10"/>
        <v>3315.09</v>
      </c>
      <c r="M28" s="114">
        <f t="shared" si="4"/>
        <v>3812.3534999999997</v>
      </c>
      <c r="N28" s="115">
        <f t="shared" si="11"/>
        <v>7105.09</v>
      </c>
      <c r="O28" s="115">
        <f t="shared" si="5"/>
        <v>8170.8534999999993</v>
      </c>
      <c r="P28" s="116">
        <f t="shared" si="6"/>
        <v>0.40675065340481259</v>
      </c>
      <c r="Q28" s="116">
        <f t="shared" si="7"/>
        <v>0.12666975365547797</v>
      </c>
      <c r="R28" s="116">
        <f t="shared" si="8"/>
        <v>0.53342040706029059</v>
      </c>
      <c r="S28" s="116">
        <f t="shared" si="9"/>
        <v>0.46657959293970941</v>
      </c>
      <c r="T28" s="117"/>
      <c r="V28" s="108">
        <v>7050.8</v>
      </c>
      <c r="W28" s="322">
        <f t="shared" si="12"/>
        <v>-54.289999999999964</v>
      </c>
      <c r="Y28" s="323">
        <v>171.3</v>
      </c>
    </row>
    <row r="29" spans="1:31" s="108" customFormat="1" ht="15.75">
      <c r="A29" s="109" t="s">
        <v>175</v>
      </c>
      <c r="B29" s="110" t="s">
        <v>176</v>
      </c>
      <c r="C29" s="111">
        <f t="shared" si="0"/>
        <v>9744.3524999999991</v>
      </c>
      <c r="D29" s="111">
        <v>8473.35</v>
      </c>
      <c r="E29" s="112">
        <v>46029</v>
      </c>
      <c r="F29" s="112" t="s">
        <v>470</v>
      </c>
      <c r="G29" s="324">
        <v>3320</v>
      </c>
      <c r="H29" s="326">
        <f t="shared" si="1"/>
        <v>3817.9999999999995</v>
      </c>
      <c r="I29" s="324">
        <v>1065</v>
      </c>
      <c r="J29" s="325">
        <f t="shared" si="2"/>
        <v>1224.75</v>
      </c>
      <c r="K29" s="113">
        <f t="shared" si="3"/>
        <v>4385</v>
      </c>
      <c r="L29" s="113">
        <f t="shared" si="10"/>
        <v>4088.3500000000004</v>
      </c>
      <c r="M29" s="114">
        <f t="shared" si="4"/>
        <v>4701.6025</v>
      </c>
      <c r="N29" s="115">
        <f t="shared" si="11"/>
        <v>8473.35</v>
      </c>
      <c r="O29" s="115">
        <f t="shared" si="5"/>
        <v>9744.3524999999991</v>
      </c>
      <c r="P29" s="116">
        <f t="shared" si="6"/>
        <v>0.39181669587589324</v>
      </c>
      <c r="Q29" s="116">
        <f t="shared" si="7"/>
        <v>0.12568818708067056</v>
      </c>
      <c r="R29" s="116">
        <f t="shared" si="8"/>
        <v>0.51750488295656383</v>
      </c>
      <c r="S29" s="116">
        <f t="shared" si="9"/>
        <v>0.48249511704343623</v>
      </c>
      <c r="T29" s="117"/>
      <c r="V29" s="108">
        <v>8408.6</v>
      </c>
      <c r="W29" s="322">
        <f t="shared" si="12"/>
        <v>-64.75</v>
      </c>
      <c r="Y29" s="323">
        <v>204.29</v>
      </c>
    </row>
    <row r="30" spans="1:31" s="108" customFormat="1" ht="15.75">
      <c r="A30" s="109" t="s">
        <v>177</v>
      </c>
      <c r="B30" s="119" t="s">
        <v>178</v>
      </c>
      <c r="C30" s="111"/>
      <c r="D30" s="120" t="s">
        <v>179</v>
      </c>
      <c r="E30" s="112">
        <v>46029</v>
      </c>
      <c r="F30" s="112" t="s">
        <v>470</v>
      </c>
      <c r="G30" s="121" t="s">
        <v>180</v>
      </c>
      <c r="H30" s="66"/>
      <c r="I30" s="324"/>
      <c r="J30" s="325"/>
      <c r="K30" s="113"/>
      <c r="L30" s="89"/>
      <c r="M30" s="89"/>
      <c r="N30" s="115"/>
      <c r="O30" s="115"/>
      <c r="P30" s="89">
        <f>O30*1.15</f>
        <v>0</v>
      </c>
      <c r="Q30" s="89">
        <f>P30*1.15</f>
        <v>0</v>
      </c>
      <c r="R30" s="89">
        <f>Q30*1.15</f>
        <v>0</v>
      </c>
      <c r="S30" s="89">
        <f>R30*1.15</f>
        <v>0</v>
      </c>
      <c r="T30" s="117"/>
      <c r="AE30" s="108" t="s">
        <v>364</v>
      </c>
    </row>
    <row r="31" spans="1:31" s="108" customFormat="1" ht="15.75">
      <c r="A31" s="109" t="s">
        <v>181</v>
      </c>
      <c r="B31" s="119" t="s">
        <v>182</v>
      </c>
      <c r="C31" s="111"/>
      <c r="D31" s="120" t="s">
        <v>179</v>
      </c>
      <c r="E31" s="112">
        <v>46029</v>
      </c>
      <c r="F31" s="112" t="s">
        <v>470</v>
      </c>
      <c r="G31" s="121" t="s">
        <v>180</v>
      </c>
      <c r="H31" s="66"/>
      <c r="I31" s="324"/>
      <c r="J31" s="325"/>
      <c r="K31" s="113"/>
      <c r="L31" s="89"/>
      <c r="M31" s="89"/>
      <c r="N31" s="115"/>
      <c r="O31" s="115"/>
      <c r="P31" s="89">
        <f>O31*1.15</f>
        <v>0</v>
      </c>
      <c r="Q31" s="89">
        <f>P31*1.15</f>
        <v>0</v>
      </c>
      <c r="R31" s="89">
        <f>Q31*1.15</f>
        <v>0</v>
      </c>
      <c r="S31" s="122"/>
      <c r="T31" s="117"/>
    </row>
    <row r="32" spans="1:31">
      <c r="K32" s="89"/>
      <c r="L32" s="89"/>
      <c r="M32" s="89"/>
      <c r="N32" s="89"/>
    </row>
    <row r="35" spans="1:2">
      <c r="A35" s="327" t="s">
        <v>369</v>
      </c>
      <c r="B35" s="327" t="s">
        <v>370</v>
      </c>
    </row>
    <row r="36" spans="1:2">
      <c r="A36" s="327"/>
      <c r="B36" s="328"/>
    </row>
    <row r="37" spans="1:2">
      <c r="A37" s="327" t="s">
        <v>371</v>
      </c>
      <c r="B37" s="327" t="s">
        <v>372</v>
      </c>
    </row>
  </sheetData>
  <mergeCells count="2">
    <mergeCell ref="A1:S1"/>
    <mergeCell ref="C2:S2"/>
  </mergeCells>
  <pageMargins left="0.23611111111111099" right="0.23611111111111099" top="0.74791666666666701" bottom="0.74791666666666701" header="0.51180555555555496" footer="0.31527777777777799"/>
  <pageSetup paperSize="9" scale="40" firstPageNumber="0" orientation="landscape" r:id="rId1"/>
  <headerFooter>
    <oddFooter>&amp;L&amp;A&amp;C&amp;"Calibri,Bold" Confidential&amp;RPage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62C9-00D7-4EA4-ADDD-4602BB32B2DF}">
  <sheetPr>
    <tabColor theme="8"/>
    <pageSetUpPr fitToPage="1"/>
  </sheetPr>
  <dimension ref="A1:AC59"/>
  <sheetViews>
    <sheetView zoomScaleNormal="100" workbookViewId="0">
      <selection activeCell="K15" sqref="K15:N15"/>
    </sheetView>
  </sheetViews>
  <sheetFormatPr defaultRowHeight="12.75"/>
  <cols>
    <col min="1" max="1" width="23.28515625" customWidth="1"/>
    <col min="2" max="2" width="15.140625" customWidth="1"/>
    <col min="3" max="3" width="17.7109375" customWidth="1"/>
    <col min="4" max="4" width="11.42578125" bestFit="1" customWidth="1"/>
    <col min="5" max="5" width="18.5703125" customWidth="1"/>
    <col min="6" max="6" width="42.7109375" bestFit="1" customWidth="1"/>
    <col min="7" max="7" width="19.28515625" customWidth="1"/>
    <col min="8" max="8" width="17.42578125" customWidth="1"/>
    <col min="9" max="9" width="11.7109375" customWidth="1"/>
    <col min="10" max="10" width="8.5703125" customWidth="1"/>
    <col min="11" max="11" width="22.85546875" bestFit="1" customWidth="1"/>
    <col min="12" max="12" width="20.140625" customWidth="1"/>
    <col min="13" max="13" width="17.42578125" customWidth="1"/>
    <col min="14" max="14" width="12.28515625" customWidth="1"/>
    <col min="15" max="15" width="5.42578125" customWidth="1"/>
    <col min="16" max="16" width="4.42578125" customWidth="1"/>
    <col min="17" max="17" width="28.140625" customWidth="1"/>
    <col min="18" max="18" width="32.28515625" customWidth="1"/>
    <col min="19" max="19" width="14.7109375" bestFit="1" customWidth="1"/>
    <col min="20" max="20" width="24.5703125" customWidth="1"/>
    <col min="21" max="21" width="22.140625" bestFit="1" customWidth="1"/>
    <col min="22" max="22" width="8.5703125" customWidth="1"/>
    <col min="23" max="23" width="23" bestFit="1" customWidth="1"/>
    <col min="24" max="24" width="15.5703125" bestFit="1" customWidth="1"/>
    <col min="25" max="25" width="19.42578125" bestFit="1" customWidth="1"/>
    <col min="26" max="26" width="15.42578125" customWidth="1"/>
    <col min="27" max="1025" width="8.5703125" customWidth="1"/>
  </cols>
  <sheetData>
    <row r="1" spans="1:26" ht="63.2" customHeight="1" thickBot="1">
      <c r="A1" s="600" t="s">
        <v>401</v>
      </c>
      <c r="B1" s="600"/>
      <c r="C1" s="600"/>
      <c r="D1" s="600"/>
      <c r="E1" s="123"/>
      <c r="F1" s="601" t="s">
        <v>414</v>
      </c>
      <c r="G1" s="601"/>
      <c r="H1" s="601"/>
      <c r="I1" s="601"/>
      <c r="J1" s="123"/>
      <c r="K1" s="602" t="s">
        <v>374</v>
      </c>
      <c r="L1" s="602"/>
      <c r="M1" s="602"/>
      <c r="N1" s="602"/>
      <c r="Q1" s="668" t="s">
        <v>333</v>
      </c>
      <c r="R1" s="668"/>
      <c r="S1" s="668"/>
      <c r="T1" s="668"/>
    </row>
    <row r="2" spans="1:26" ht="19.5" thickBot="1">
      <c r="A2" s="603" t="s">
        <v>183</v>
      </c>
      <c r="B2" s="603"/>
      <c r="C2" s="603"/>
      <c r="D2" s="603"/>
      <c r="E2" s="123"/>
      <c r="F2" s="604" t="s">
        <v>184</v>
      </c>
      <c r="G2" s="604"/>
      <c r="H2" s="604"/>
      <c r="I2" s="604"/>
      <c r="J2" s="123"/>
      <c r="K2" s="605" t="s">
        <v>139</v>
      </c>
      <c r="L2" s="605"/>
      <c r="M2" s="605"/>
      <c r="N2" s="605"/>
      <c r="Q2" s="666" t="s">
        <v>380</v>
      </c>
      <c r="R2" s="666"/>
      <c r="S2" s="666"/>
      <c r="T2" s="666"/>
    </row>
    <row r="3" spans="1:26" ht="18.75">
      <c r="A3" s="124"/>
      <c r="B3" s="123"/>
      <c r="C3" s="123"/>
      <c r="D3" s="125"/>
      <c r="E3" s="123"/>
      <c r="F3" s="126"/>
      <c r="G3" s="127"/>
      <c r="H3" s="127"/>
      <c r="I3" s="128"/>
      <c r="J3" s="123"/>
      <c r="K3" s="130"/>
      <c r="L3" s="123" t="s">
        <v>185</v>
      </c>
      <c r="M3" s="123"/>
      <c r="N3" s="131"/>
      <c r="Q3" s="280"/>
      <c r="R3" s="281" t="s">
        <v>186</v>
      </c>
      <c r="S3" s="282"/>
      <c r="T3" s="266"/>
    </row>
    <row r="4" spans="1:26" ht="18.75">
      <c r="A4" s="124" t="s">
        <v>187</v>
      </c>
      <c r="B4" s="129" t="s">
        <v>188</v>
      </c>
      <c r="C4" s="129"/>
      <c r="D4" s="125"/>
      <c r="E4" s="123"/>
      <c r="F4" s="130" t="s">
        <v>187</v>
      </c>
      <c r="G4" s="123" t="s">
        <v>189</v>
      </c>
      <c r="H4" s="123"/>
      <c r="I4" s="131"/>
      <c r="J4" s="123"/>
      <c r="K4" s="130" t="s">
        <v>187</v>
      </c>
      <c r="L4" s="123" t="s">
        <v>190</v>
      </c>
      <c r="M4" s="123"/>
      <c r="N4" s="131"/>
      <c r="Q4" s="245" t="s">
        <v>187</v>
      </c>
      <c r="R4" s="246" t="s">
        <v>191</v>
      </c>
      <c r="S4" s="246"/>
      <c r="T4" s="247"/>
    </row>
    <row r="5" spans="1:26" ht="37.5">
      <c r="A5" s="124"/>
      <c r="B5" s="123"/>
      <c r="C5" s="123" t="s">
        <v>38</v>
      </c>
      <c r="D5" s="125"/>
      <c r="E5" s="123"/>
      <c r="F5" s="130"/>
      <c r="G5" s="123"/>
      <c r="H5" s="123" t="s">
        <v>38</v>
      </c>
      <c r="I5" s="131"/>
      <c r="J5" s="123"/>
      <c r="K5" s="130"/>
      <c r="L5" s="123"/>
      <c r="M5" s="123" t="s">
        <v>38</v>
      </c>
      <c r="N5" s="131"/>
      <c r="Q5" s="248" t="s">
        <v>192</v>
      </c>
      <c r="R5" s="283" t="s">
        <v>193</v>
      </c>
      <c r="S5" s="283"/>
      <c r="T5" s="247" t="s">
        <v>194</v>
      </c>
    </row>
    <row r="6" spans="1:26" ht="40.5" customHeight="1">
      <c r="A6" s="132" t="s">
        <v>192</v>
      </c>
      <c r="B6" s="606" t="s">
        <v>195</v>
      </c>
      <c r="C6" s="606"/>
      <c r="D6" s="133"/>
      <c r="E6" s="123"/>
      <c r="F6" s="134" t="s">
        <v>192</v>
      </c>
      <c r="G6" s="1" t="s">
        <v>196</v>
      </c>
      <c r="H6" s="1"/>
      <c r="I6" s="135"/>
      <c r="J6" s="123"/>
      <c r="K6" s="134" t="s">
        <v>192</v>
      </c>
      <c r="L6" s="606" t="s">
        <v>196</v>
      </c>
      <c r="M6" s="606"/>
      <c r="N6" s="135"/>
      <c r="Q6" s="245"/>
      <c r="R6" s="249" t="s">
        <v>197</v>
      </c>
      <c r="S6" s="249" t="s">
        <v>198</v>
      </c>
      <c r="T6" s="251"/>
    </row>
    <row r="7" spans="1:26" ht="18.75">
      <c r="A7" s="124"/>
      <c r="B7" s="129" t="s">
        <v>197</v>
      </c>
      <c r="C7" s="129" t="s">
        <v>198</v>
      </c>
      <c r="D7" s="125"/>
      <c r="E7" s="123"/>
      <c r="F7" s="130"/>
      <c r="G7" s="129" t="s">
        <v>197</v>
      </c>
      <c r="H7" s="129" t="s">
        <v>198</v>
      </c>
      <c r="I7" s="131"/>
      <c r="J7" s="123"/>
      <c r="K7" s="130"/>
      <c r="L7" s="129" t="s">
        <v>197</v>
      </c>
      <c r="M7" s="129" t="s">
        <v>198</v>
      </c>
      <c r="N7" s="131"/>
      <c r="Q7" s="245" t="s">
        <v>199</v>
      </c>
      <c r="R7" s="252">
        <v>2038.4</v>
      </c>
      <c r="S7" s="253">
        <f t="shared" ref="S7:S12" si="0">R7*1.15</f>
        <v>2344.16</v>
      </c>
      <c r="T7" s="254">
        <f t="shared" ref="T7:T13" si="1">S7-R7</f>
        <v>305.75999999999976</v>
      </c>
    </row>
    <row r="8" spans="1:26" ht="18.75">
      <c r="A8" s="124" t="s">
        <v>199</v>
      </c>
      <c r="B8" s="136">
        <v>1530.43</v>
      </c>
      <c r="C8" s="343">
        <f>B8*1.15</f>
        <v>1759.9945</v>
      </c>
      <c r="D8" s="125"/>
      <c r="E8" s="123"/>
      <c r="F8" s="130" t="s">
        <v>199</v>
      </c>
      <c r="G8" s="136">
        <v>0</v>
      </c>
      <c r="H8" s="136">
        <v>0</v>
      </c>
      <c r="I8" s="131"/>
      <c r="J8" s="123"/>
      <c r="K8" s="130" t="s">
        <v>199</v>
      </c>
      <c r="L8" s="136">
        <v>2240</v>
      </c>
      <c r="M8" s="136">
        <f>L8*1.15</f>
        <v>2576</v>
      </c>
      <c r="N8" s="131"/>
      <c r="Q8" s="245" t="s">
        <v>200</v>
      </c>
      <c r="R8" s="252">
        <v>572</v>
      </c>
      <c r="S8" s="253">
        <f t="shared" si="0"/>
        <v>657.8</v>
      </c>
      <c r="T8" s="254">
        <f t="shared" si="1"/>
        <v>85.799999999999955</v>
      </c>
    </row>
    <row r="9" spans="1:26" ht="18.75">
      <c r="A9" s="124" t="s">
        <v>201</v>
      </c>
      <c r="B9" s="136">
        <v>357.39</v>
      </c>
      <c r="C9" s="343">
        <f>B9*1.15</f>
        <v>410.99849999999998</v>
      </c>
      <c r="D9" s="125"/>
      <c r="E9" s="123"/>
      <c r="F9" s="130" t="s">
        <v>201</v>
      </c>
      <c r="G9" s="136">
        <v>0</v>
      </c>
      <c r="H9" s="136">
        <v>0</v>
      </c>
      <c r="I9" s="131"/>
      <c r="J9" s="123"/>
      <c r="K9" s="130" t="s">
        <v>201</v>
      </c>
      <c r="L9" s="136">
        <v>450</v>
      </c>
      <c r="M9" s="136">
        <f t="shared" ref="M9:M11" si="2">L9*1.15</f>
        <v>517.5</v>
      </c>
      <c r="N9" s="131"/>
      <c r="Q9" s="245" t="s">
        <v>221</v>
      </c>
      <c r="R9" s="252">
        <v>55.17</v>
      </c>
      <c r="S9" s="253">
        <f t="shared" si="0"/>
        <v>63.445499999999996</v>
      </c>
      <c r="T9" s="254">
        <f t="shared" si="1"/>
        <v>8.2754999999999939</v>
      </c>
    </row>
    <row r="10" spans="1:26" ht="18.75">
      <c r="A10" s="124" t="s">
        <v>203</v>
      </c>
      <c r="B10" s="136">
        <f t="shared" ref="B10" si="3">C10/1.15</f>
        <v>0</v>
      </c>
      <c r="C10" s="343">
        <v>0</v>
      </c>
      <c r="D10" s="125"/>
      <c r="E10" s="123"/>
      <c r="F10" s="130" t="s">
        <v>203</v>
      </c>
      <c r="G10" s="136">
        <v>0</v>
      </c>
      <c r="H10" s="136">
        <v>0</v>
      </c>
      <c r="I10" s="131"/>
      <c r="J10" s="123"/>
      <c r="K10" s="130" t="s">
        <v>203</v>
      </c>
      <c r="L10" s="137">
        <v>0</v>
      </c>
      <c r="M10" s="136">
        <f t="shared" si="2"/>
        <v>0</v>
      </c>
      <c r="N10" s="131"/>
      <c r="Q10" s="245" t="s">
        <v>202</v>
      </c>
      <c r="R10" s="252">
        <v>165.506</v>
      </c>
      <c r="S10" s="253">
        <f t="shared" si="0"/>
        <v>190.33189999999999</v>
      </c>
      <c r="T10" s="254">
        <f t="shared" si="1"/>
        <v>24.82589999999999</v>
      </c>
    </row>
    <row r="11" spans="1:26" ht="18.75">
      <c r="A11" s="124" t="s">
        <v>205</v>
      </c>
      <c r="B11" s="136">
        <v>1591.3</v>
      </c>
      <c r="C11" s="343">
        <f t="shared" ref="C11" si="4">B11*1.15</f>
        <v>1829.9949999999999</v>
      </c>
      <c r="D11" s="125"/>
      <c r="E11" s="123"/>
      <c r="F11" s="138" t="s">
        <v>205</v>
      </c>
      <c r="G11" s="139">
        <v>2494</v>
      </c>
      <c r="H11" s="157">
        <f>G11*1.15</f>
        <v>2868.1</v>
      </c>
      <c r="I11" s="140"/>
      <c r="J11" s="123"/>
      <c r="K11" s="130" t="s">
        <v>205</v>
      </c>
      <c r="L11" s="137">
        <v>2614.73</v>
      </c>
      <c r="M11" s="136">
        <f t="shared" si="2"/>
        <v>3006.9395</v>
      </c>
      <c r="N11" s="131"/>
      <c r="Q11" s="245" t="s">
        <v>205</v>
      </c>
      <c r="R11" s="253">
        <v>2078.7800000000002</v>
      </c>
      <c r="S11" s="284">
        <f t="shared" si="0"/>
        <v>2390.5970000000002</v>
      </c>
      <c r="T11" s="254">
        <f t="shared" si="1"/>
        <v>311.81700000000001</v>
      </c>
      <c r="U11" s="321" t="s">
        <v>385</v>
      </c>
      <c r="Z11" s="241"/>
    </row>
    <row r="12" spans="1:26" ht="19.5" thickBot="1">
      <c r="A12" s="141" t="s">
        <v>206</v>
      </c>
      <c r="B12" s="142">
        <f>SUM(B8:B11)</f>
        <v>3479.12</v>
      </c>
      <c r="C12" s="344">
        <f>SUM(C8:C11)</f>
        <v>4000.9879999999998</v>
      </c>
      <c r="D12" s="143"/>
      <c r="E12" s="123"/>
      <c r="F12" s="130"/>
      <c r="G12" s="144"/>
      <c r="H12" s="144"/>
      <c r="I12" s="140"/>
      <c r="J12" s="123"/>
      <c r="K12" s="148" t="s">
        <v>206</v>
      </c>
      <c r="L12" s="285">
        <f>SUM(L8:L11)</f>
        <v>5304.73</v>
      </c>
      <c r="M12" s="285">
        <f>SUM(M8:M11)</f>
        <v>6100.4395000000004</v>
      </c>
      <c r="N12" s="151"/>
      <c r="Q12" s="255" t="s">
        <v>206</v>
      </c>
      <c r="R12" s="256">
        <f>SUM(R7:R11)</f>
        <v>4909.8559999999998</v>
      </c>
      <c r="S12" s="256">
        <f t="shared" si="0"/>
        <v>5646.3343999999997</v>
      </c>
      <c r="T12" s="254">
        <f t="shared" si="1"/>
        <v>736.47839999999997</v>
      </c>
    </row>
    <row r="13" spans="1:26" ht="18.75">
      <c r="A13" s="145"/>
      <c r="B13" s="146"/>
      <c r="C13" s="146"/>
      <c r="D13" s="147"/>
      <c r="E13" s="123"/>
      <c r="F13" s="148"/>
      <c r="G13" s="149"/>
      <c r="H13" s="150"/>
      <c r="I13" s="151"/>
      <c r="J13" s="123"/>
      <c r="K13" s="123"/>
      <c r="L13" s="123"/>
      <c r="M13" s="123"/>
      <c r="N13" s="123"/>
      <c r="Q13" s="259" t="s">
        <v>207</v>
      </c>
      <c r="R13" s="260">
        <f>R7+R9+R10</f>
        <v>2259.076</v>
      </c>
      <c r="S13" s="260">
        <f>S7+S9+S10</f>
        <v>2597.9373999999998</v>
      </c>
      <c r="T13" s="262">
        <f t="shared" si="1"/>
        <v>338.86139999999978</v>
      </c>
    </row>
    <row r="14" spans="1:26" ht="18.75">
      <c r="A14" s="147"/>
      <c r="B14" s="147"/>
      <c r="C14" s="147"/>
      <c r="D14" s="147"/>
      <c r="E14" s="123"/>
      <c r="F14" s="123"/>
      <c r="G14" s="123"/>
      <c r="H14" s="123"/>
      <c r="I14" s="123"/>
      <c r="J14" s="123"/>
      <c r="K14" s="123"/>
      <c r="L14" s="123"/>
      <c r="M14" s="123"/>
      <c r="N14" s="123"/>
    </row>
    <row r="15" spans="1:26" ht="48.95" customHeight="1" thickBot="1">
      <c r="A15" s="607" t="s">
        <v>401</v>
      </c>
      <c r="B15" s="607"/>
      <c r="C15" s="607"/>
      <c r="D15" s="607"/>
      <c r="E15" s="123"/>
      <c r="F15" s="608" t="s">
        <v>415</v>
      </c>
      <c r="G15" s="608"/>
      <c r="H15" s="608"/>
      <c r="I15" s="608"/>
      <c r="J15" s="123"/>
      <c r="K15" s="609" t="s">
        <v>379</v>
      </c>
      <c r="L15" s="609"/>
      <c r="M15" s="609"/>
      <c r="N15" s="609"/>
    </row>
    <row r="16" spans="1:26" ht="63.2" customHeight="1" thickBot="1">
      <c r="A16" s="610" t="s">
        <v>208</v>
      </c>
      <c r="B16" s="610"/>
      <c r="C16" s="610"/>
      <c r="D16" s="610"/>
      <c r="E16" s="123"/>
      <c r="F16" s="604" t="s">
        <v>209</v>
      </c>
      <c r="G16" s="604"/>
      <c r="H16" s="604"/>
      <c r="I16" s="604"/>
      <c r="J16" s="123"/>
      <c r="K16" s="611" t="s">
        <v>378</v>
      </c>
      <c r="L16" s="611"/>
      <c r="M16" s="611"/>
      <c r="N16" s="611"/>
      <c r="O16" s="329" t="s">
        <v>375</v>
      </c>
      <c r="Q16" s="668" t="s">
        <v>334</v>
      </c>
      <c r="R16" s="668"/>
      <c r="S16" s="668"/>
      <c r="T16" s="668"/>
      <c r="W16" s="609" t="s">
        <v>465</v>
      </c>
      <c r="X16" s="609"/>
      <c r="Y16" s="609"/>
      <c r="Z16" s="609"/>
    </row>
    <row r="17" spans="1:26" ht="31.9" customHeight="1">
      <c r="A17" s="124"/>
      <c r="B17" s="123"/>
      <c r="C17" s="123"/>
      <c r="D17" s="131"/>
      <c r="E17" s="123"/>
      <c r="F17" s="126"/>
      <c r="G17" s="127"/>
      <c r="H17" s="127"/>
      <c r="I17" s="128"/>
      <c r="J17" s="123"/>
      <c r="K17" s="126"/>
      <c r="L17" s="127"/>
      <c r="M17" s="127"/>
      <c r="N17" s="128"/>
      <c r="Q17" s="665" t="s">
        <v>381</v>
      </c>
      <c r="R17" s="666"/>
      <c r="S17" s="666"/>
      <c r="T17" s="667"/>
      <c r="W17" s="611" t="s">
        <v>467</v>
      </c>
      <c r="X17" s="611"/>
      <c r="Y17" s="611"/>
      <c r="Z17" s="611"/>
    </row>
    <row r="18" spans="1:26" ht="18.75">
      <c r="A18" s="124" t="s">
        <v>187</v>
      </c>
      <c r="B18" s="129" t="s">
        <v>210</v>
      </c>
      <c r="C18" s="129"/>
      <c r="D18" s="131"/>
      <c r="E18" s="123"/>
      <c r="F18" s="130" t="s">
        <v>187</v>
      </c>
      <c r="G18" s="123" t="s">
        <v>189</v>
      </c>
      <c r="H18" s="123"/>
      <c r="I18" s="131"/>
      <c r="J18" s="123"/>
      <c r="K18" s="130" t="s">
        <v>187</v>
      </c>
      <c r="L18" s="123" t="s">
        <v>190</v>
      </c>
      <c r="M18" s="123"/>
      <c r="N18" s="131"/>
      <c r="Q18" s="263"/>
      <c r="R18" s="264" t="s">
        <v>211</v>
      </c>
      <c r="S18" s="265"/>
      <c r="T18" s="266"/>
      <c r="W18" s="126"/>
      <c r="X18" s="127"/>
      <c r="Y18" s="127"/>
      <c r="Z18" s="128"/>
    </row>
    <row r="19" spans="1:26" ht="18.75" customHeight="1">
      <c r="A19" s="124"/>
      <c r="B19" s="123"/>
      <c r="C19" s="123" t="s">
        <v>38</v>
      </c>
      <c r="D19" s="131"/>
      <c r="E19" s="123"/>
      <c r="F19" s="130"/>
      <c r="G19" s="123"/>
      <c r="H19" s="123" t="s">
        <v>38</v>
      </c>
      <c r="I19" s="131"/>
      <c r="J19" s="123"/>
      <c r="K19" s="134" t="s">
        <v>192</v>
      </c>
      <c r="L19" s="606" t="s">
        <v>196</v>
      </c>
      <c r="M19" s="606"/>
      <c r="N19" s="131"/>
      <c r="Q19" s="267" t="s">
        <v>187</v>
      </c>
      <c r="R19" s="268" t="s">
        <v>191</v>
      </c>
      <c r="S19" s="268"/>
      <c r="T19" s="247"/>
      <c r="W19" s="130" t="s">
        <v>187</v>
      </c>
      <c r="X19" s="123" t="s">
        <v>190</v>
      </c>
      <c r="Y19" s="123"/>
      <c r="Z19" s="131"/>
    </row>
    <row r="20" spans="1:26" ht="25.5" customHeight="1">
      <c r="A20" s="132" t="s">
        <v>192</v>
      </c>
      <c r="B20" s="606" t="s">
        <v>195</v>
      </c>
      <c r="C20" s="606"/>
      <c r="D20" s="135"/>
      <c r="E20" s="123"/>
      <c r="F20" s="134" t="s">
        <v>192</v>
      </c>
      <c r="G20" s="1" t="s">
        <v>196</v>
      </c>
      <c r="H20" s="1"/>
      <c r="I20" s="135"/>
      <c r="J20" s="123"/>
      <c r="K20" s="130"/>
      <c r="L20" s="129" t="s">
        <v>197</v>
      </c>
      <c r="M20" s="152" t="s">
        <v>198</v>
      </c>
      <c r="N20" s="135"/>
      <c r="Q20" s="269" t="s">
        <v>192</v>
      </c>
      <c r="R20" s="270" t="s">
        <v>212</v>
      </c>
      <c r="S20" s="270"/>
      <c r="T20" s="247"/>
      <c r="W20" s="134" t="s">
        <v>192</v>
      </c>
      <c r="X20" s="606" t="s">
        <v>196</v>
      </c>
      <c r="Y20" s="606"/>
      <c r="Z20" s="131"/>
    </row>
    <row r="21" spans="1:26" ht="18.75">
      <c r="A21" s="124"/>
      <c r="B21" s="129" t="s">
        <v>197</v>
      </c>
      <c r="C21" s="129" t="s">
        <v>198</v>
      </c>
      <c r="D21" s="131"/>
      <c r="E21" s="123"/>
      <c r="F21" s="130"/>
      <c r="G21" s="129" t="s">
        <v>197</v>
      </c>
      <c r="H21" s="129" t="s">
        <v>198</v>
      </c>
      <c r="I21" s="131"/>
      <c r="J21" s="123"/>
      <c r="K21" s="130" t="s">
        <v>199</v>
      </c>
      <c r="L21" s="136">
        <v>1057</v>
      </c>
      <c r="M21" s="153">
        <f>L21*1.15</f>
        <v>1215.55</v>
      </c>
      <c r="N21" s="131"/>
      <c r="Q21" s="267"/>
      <c r="R21" s="271" t="s">
        <v>197</v>
      </c>
      <c r="S21" s="271" t="s">
        <v>198</v>
      </c>
      <c r="T21" s="251" t="s">
        <v>194</v>
      </c>
      <c r="W21" s="130"/>
      <c r="X21" s="129" t="s">
        <v>197</v>
      </c>
      <c r="Y21" s="152" t="s">
        <v>198</v>
      </c>
      <c r="Z21" s="135"/>
    </row>
    <row r="22" spans="1:26" ht="18.75">
      <c r="A22" s="124" t="s">
        <v>199</v>
      </c>
      <c r="B22" s="136">
        <v>1869.57</v>
      </c>
      <c r="C22" s="343">
        <f>B22*1.15</f>
        <v>2150.0054999999998</v>
      </c>
      <c r="D22" s="131"/>
      <c r="E22" s="123"/>
      <c r="F22" s="130" t="s">
        <v>199</v>
      </c>
      <c r="G22" s="136">
        <v>0</v>
      </c>
      <c r="H22" s="136">
        <v>0</v>
      </c>
      <c r="I22" s="131"/>
      <c r="J22" s="123"/>
      <c r="K22" s="130" t="s">
        <v>201</v>
      </c>
      <c r="L22" s="136">
        <v>338</v>
      </c>
      <c r="M22" s="153">
        <f>L22*1.15</f>
        <v>388.7</v>
      </c>
      <c r="N22" s="131"/>
      <c r="Q22" s="267" t="s">
        <v>199</v>
      </c>
      <c r="R22" s="272">
        <v>2496</v>
      </c>
      <c r="S22" s="273">
        <f t="shared" ref="S22:S27" si="5">R22*1.15</f>
        <v>2870.3999999999996</v>
      </c>
      <c r="T22" s="254">
        <f t="shared" ref="T22:T28" si="6">S22-R22</f>
        <v>374.39999999999964</v>
      </c>
      <c r="W22" s="130" t="s">
        <v>199</v>
      </c>
      <c r="X22" s="136">
        <v>1290.02</v>
      </c>
      <c r="Y22" s="153">
        <f>X22*1.15</f>
        <v>1483.5229999999999</v>
      </c>
      <c r="Z22" s="131"/>
    </row>
    <row r="23" spans="1:26" ht="18.75">
      <c r="A23" s="124" t="s">
        <v>201</v>
      </c>
      <c r="B23" s="136">
        <v>0</v>
      </c>
      <c r="C23" s="136">
        <v>0</v>
      </c>
      <c r="D23" s="131"/>
      <c r="E23" s="123"/>
      <c r="F23" s="130" t="s">
        <v>201</v>
      </c>
      <c r="G23" s="136">
        <v>0</v>
      </c>
      <c r="H23" s="136">
        <v>0</v>
      </c>
      <c r="I23" s="131"/>
      <c r="J23" s="123"/>
      <c r="K23" s="130" t="s">
        <v>202</v>
      </c>
      <c r="L23" s="136">
        <v>176.8</v>
      </c>
      <c r="M23" s="153">
        <f>L23*1.15</f>
        <v>203.32</v>
      </c>
      <c r="N23" s="131"/>
      <c r="Q23" s="267" t="s">
        <v>200</v>
      </c>
      <c r="R23" s="272">
        <v>728</v>
      </c>
      <c r="S23" s="273">
        <f t="shared" si="5"/>
        <v>837.19999999999993</v>
      </c>
      <c r="T23" s="254">
        <f t="shared" si="6"/>
        <v>109.19999999999993</v>
      </c>
      <c r="W23" s="130" t="s">
        <v>201</v>
      </c>
      <c r="X23" s="136">
        <v>370</v>
      </c>
      <c r="Y23" s="153">
        <f>X23*1.15</f>
        <v>425.49999999999994</v>
      </c>
      <c r="Z23" s="131"/>
    </row>
    <row r="24" spans="1:26" ht="18.75">
      <c r="A24" s="124" t="s">
        <v>203</v>
      </c>
      <c r="B24" s="136">
        <v>0</v>
      </c>
      <c r="C24" s="137">
        <v>0</v>
      </c>
      <c r="D24" s="131"/>
      <c r="E24" s="123"/>
      <c r="F24" s="130" t="s">
        <v>203</v>
      </c>
      <c r="G24" s="136">
        <v>0</v>
      </c>
      <c r="H24" s="136">
        <v>0</v>
      </c>
      <c r="I24" s="131"/>
      <c r="J24" s="123"/>
      <c r="K24" s="130" t="s">
        <v>205</v>
      </c>
      <c r="L24" s="153">
        <v>1138.8</v>
      </c>
      <c r="M24" s="154">
        <f>L24*1.15</f>
        <v>1309.6199999999999</v>
      </c>
      <c r="N24" s="131"/>
      <c r="Q24" s="267" t="s">
        <v>202</v>
      </c>
      <c r="R24" s="272">
        <v>165.506</v>
      </c>
      <c r="S24" s="273">
        <f t="shared" si="5"/>
        <v>190.33189999999999</v>
      </c>
      <c r="T24" s="254">
        <f t="shared" si="6"/>
        <v>24.82589999999999</v>
      </c>
      <c r="W24" s="130" t="s">
        <v>202</v>
      </c>
      <c r="X24" s="136">
        <v>479.98</v>
      </c>
      <c r="Y24" s="153">
        <f>X24*1.15</f>
        <v>551.97699999999998</v>
      </c>
      <c r="Z24" s="131"/>
    </row>
    <row r="25" spans="1:26" ht="18.75">
      <c r="A25" s="124" t="s">
        <v>205</v>
      </c>
      <c r="B25" s="136">
        <v>1609.55</v>
      </c>
      <c r="C25" s="343">
        <f t="shared" ref="C25" si="7">B25*1.15</f>
        <v>1850.9824999999998</v>
      </c>
      <c r="D25" s="131"/>
      <c r="E25" s="123"/>
      <c r="F25" s="138" t="s">
        <v>205</v>
      </c>
      <c r="G25" s="157">
        <v>2858.5</v>
      </c>
      <c r="H25" s="157">
        <f>G25*1.15</f>
        <v>3287.2749999999996</v>
      </c>
      <c r="I25" s="131"/>
      <c r="J25" s="123"/>
      <c r="K25" s="130" t="s">
        <v>206</v>
      </c>
      <c r="L25" s="139">
        <f>SUM(L21:L24)</f>
        <v>2710.6</v>
      </c>
      <c r="M25" s="155">
        <f>L25*1.15</f>
        <v>3117.1899999999996</v>
      </c>
      <c r="N25" s="131"/>
      <c r="Q25" s="267" t="s">
        <v>204</v>
      </c>
      <c r="R25" s="272">
        <v>55.171999999999997</v>
      </c>
      <c r="S25" s="273">
        <f>R25*1.15</f>
        <v>63.447799999999994</v>
      </c>
      <c r="T25" s="254">
        <f>S25-R25</f>
        <v>8.2757999999999967</v>
      </c>
      <c r="W25" s="130" t="s">
        <v>205</v>
      </c>
      <c r="X25" s="153">
        <v>1340</v>
      </c>
      <c r="Y25" s="154">
        <f>X25*1.15</f>
        <v>1540.9999999999998</v>
      </c>
      <c r="Z25" s="131"/>
    </row>
    <row r="26" spans="1:26" ht="19.5" thickBot="1">
      <c r="A26" s="141" t="s">
        <v>206</v>
      </c>
      <c r="B26" s="142">
        <f>SUM(B23:B25)</f>
        <v>1609.55</v>
      </c>
      <c r="C26" s="344">
        <f>SUM(C22:C25)</f>
        <v>4000.9879999999994</v>
      </c>
      <c r="D26" s="156"/>
      <c r="E26" s="123"/>
      <c r="F26" s="130"/>
      <c r="G26" s="139"/>
      <c r="I26" s="131"/>
      <c r="J26" s="123"/>
      <c r="K26" s="130"/>
      <c r="L26" s="158"/>
      <c r="M26" s="123"/>
      <c r="N26" s="131"/>
      <c r="Q26" s="267" t="s">
        <v>205</v>
      </c>
      <c r="R26" s="273">
        <v>2761.6</v>
      </c>
      <c r="S26" s="274">
        <f>R26*1.15</f>
        <v>3175.8399999999997</v>
      </c>
      <c r="T26" s="254">
        <f>S26-R26</f>
        <v>414.23999999999978</v>
      </c>
      <c r="U26" s="321" t="s">
        <v>388</v>
      </c>
      <c r="W26" s="130" t="s">
        <v>206</v>
      </c>
      <c r="X26" s="139">
        <f>SUM(X22:X25)</f>
        <v>3480</v>
      </c>
      <c r="Y26" s="155">
        <f>X26*1.15</f>
        <v>4001.9999999999995</v>
      </c>
      <c r="Z26" s="131"/>
    </row>
    <row r="27" spans="1:26" ht="18.75">
      <c r="A27" s="147"/>
      <c r="B27" s="147"/>
      <c r="C27" s="147"/>
      <c r="D27" s="147"/>
      <c r="E27" s="123"/>
      <c r="F27" s="148"/>
      <c r="G27" s="149"/>
      <c r="H27" s="150"/>
      <c r="I27" s="151"/>
      <c r="J27" s="123"/>
      <c r="K27" s="159" t="s">
        <v>213</v>
      </c>
      <c r="L27" s="160">
        <f>L21+L23</f>
        <v>1233.8</v>
      </c>
      <c r="M27" s="161">
        <f>M21+M23</f>
        <v>1418.87</v>
      </c>
      <c r="N27" s="151"/>
      <c r="Q27" s="275" t="s">
        <v>206</v>
      </c>
      <c r="R27" s="276">
        <f>SUM(R22:R26)</f>
        <v>6206.2780000000002</v>
      </c>
      <c r="S27" s="277">
        <f t="shared" si="5"/>
        <v>7137.2196999999996</v>
      </c>
      <c r="T27" s="258">
        <f t="shared" si="6"/>
        <v>930.9416999999994</v>
      </c>
      <c r="W27" s="130"/>
      <c r="X27" s="158"/>
      <c r="Y27" s="123"/>
      <c r="Z27" s="131"/>
    </row>
    <row r="28" spans="1:26" ht="18.75">
      <c r="A28" s="123"/>
      <c r="B28" s="158"/>
      <c r="C28" s="123"/>
      <c r="D28" s="123"/>
      <c r="E28" s="123"/>
      <c r="F28" s="123"/>
      <c r="G28" s="123"/>
      <c r="H28" s="123"/>
      <c r="I28" s="123"/>
      <c r="J28" s="123"/>
      <c r="K28" s="123"/>
      <c r="L28" s="123"/>
      <c r="M28" s="123"/>
      <c r="N28" s="123"/>
      <c r="Q28" s="278" t="s">
        <v>207</v>
      </c>
      <c r="R28" s="279">
        <f>R22+R24+R25</f>
        <v>2716.6779999999999</v>
      </c>
      <c r="S28" s="279">
        <f>S22+S24+S25</f>
        <v>3124.1796999999997</v>
      </c>
      <c r="T28" s="262">
        <f t="shared" si="6"/>
        <v>407.5016999999998</v>
      </c>
      <c r="W28" s="159" t="s">
        <v>213</v>
      </c>
      <c r="X28" s="160">
        <f>X22+X24</f>
        <v>1770</v>
      </c>
      <c r="Y28" s="161">
        <f>Y22+Y24</f>
        <v>2035.5</v>
      </c>
      <c r="Z28" s="151"/>
    </row>
    <row r="29" spans="1:26" ht="31.9" customHeight="1" thickBot="1">
      <c r="A29" s="612" t="s">
        <v>359</v>
      </c>
      <c r="B29" s="612"/>
      <c r="C29" s="612"/>
      <c r="D29" s="612"/>
      <c r="E29" s="123"/>
      <c r="F29" s="163" t="s">
        <v>416</v>
      </c>
      <c r="G29" s="163" t="s">
        <v>418</v>
      </c>
      <c r="H29" s="163"/>
      <c r="J29" s="123"/>
      <c r="K29" s="123"/>
      <c r="L29" s="123"/>
      <c r="M29" s="123"/>
      <c r="N29" s="123"/>
      <c r="W29" s="123"/>
      <c r="X29" s="123"/>
      <c r="Y29" s="123"/>
      <c r="Z29" s="123"/>
    </row>
    <row r="30" spans="1:26" ht="33.950000000000003" customHeight="1" thickBot="1">
      <c r="A30" s="613" t="s">
        <v>215</v>
      </c>
      <c r="B30" s="613"/>
      <c r="C30" s="613"/>
      <c r="D30" s="613"/>
      <c r="E30" s="123"/>
      <c r="F30" s="123"/>
      <c r="G30" s="123"/>
      <c r="H30" s="123"/>
      <c r="J30" s="123"/>
      <c r="K30" s="609" t="s">
        <v>376</v>
      </c>
      <c r="L30" s="609"/>
      <c r="M30" s="609"/>
      <c r="N30" s="609"/>
      <c r="Q30" s="662" t="s">
        <v>214</v>
      </c>
      <c r="R30" s="663"/>
      <c r="S30" s="663"/>
      <c r="T30" s="664"/>
    </row>
    <row r="31" spans="1:26" ht="18.75" customHeight="1">
      <c r="A31" s="126"/>
      <c r="B31" s="127"/>
      <c r="C31" s="127"/>
      <c r="D31" s="128"/>
      <c r="E31" s="123"/>
      <c r="J31" s="123"/>
      <c r="K31" s="615" t="s">
        <v>377</v>
      </c>
      <c r="L31" s="615"/>
      <c r="M31" s="615"/>
      <c r="N31" s="615"/>
      <c r="Q31" s="665" t="s">
        <v>382</v>
      </c>
      <c r="R31" s="666"/>
      <c r="S31" s="666"/>
      <c r="T31" s="667"/>
      <c r="W31" s="609" t="s">
        <v>465</v>
      </c>
      <c r="X31" s="609"/>
      <c r="Y31" s="609"/>
      <c r="Z31" s="609"/>
    </row>
    <row r="32" spans="1:26" ht="18.600000000000001" customHeight="1">
      <c r="A32" s="130" t="s">
        <v>187</v>
      </c>
      <c r="B32" s="123" t="s">
        <v>189</v>
      </c>
      <c r="C32" s="123"/>
      <c r="D32" s="131"/>
      <c r="E32" s="123" t="s">
        <v>373</v>
      </c>
      <c r="J32" s="123"/>
      <c r="K32" s="126"/>
      <c r="L32" s="127"/>
      <c r="M32" s="127"/>
      <c r="N32" s="128"/>
      <c r="Q32" s="242"/>
      <c r="R32" s="243"/>
      <c r="S32" s="243"/>
      <c r="T32" s="244"/>
      <c r="W32" s="611" t="s">
        <v>466</v>
      </c>
      <c r="X32" s="611"/>
      <c r="Y32" s="611"/>
      <c r="Z32" s="611"/>
    </row>
    <row r="33" spans="1:29" ht="18.75" customHeight="1" thickBot="1">
      <c r="A33" s="130"/>
      <c r="B33" s="123"/>
      <c r="C33" s="123" t="s">
        <v>38</v>
      </c>
      <c r="D33" s="131"/>
      <c r="E33" s="123"/>
      <c r="F33" s="608" t="s">
        <v>417</v>
      </c>
      <c r="G33" s="608"/>
      <c r="H33" s="608"/>
      <c r="I33" s="608"/>
      <c r="J33" s="123"/>
      <c r="K33" s="130" t="s">
        <v>187</v>
      </c>
      <c r="L33" s="123" t="s">
        <v>190</v>
      </c>
      <c r="M33" s="123"/>
      <c r="N33" s="131"/>
      <c r="Q33" s="245" t="s">
        <v>187</v>
      </c>
      <c r="R33" s="246" t="s">
        <v>190</v>
      </c>
      <c r="S33" s="246"/>
      <c r="T33" s="247"/>
      <c r="W33" s="126"/>
      <c r="X33" s="127"/>
      <c r="Y33" s="127"/>
      <c r="Z33" s="128"/>
      <c r="AC33">
        <v>479.98</v>
      </c>
    </row>
    <row r="34" spans="1:29" ht="18.75" customHeight="1">
      <c r="A34" s="134" t="s">
        <v>192</v>
      </c>
      <c r="B34" s="606" t="s">
        <v>196</v>
      </c>
      <c r="C34" s="606"/>
      <c r="D34" s="135"/>
      <c r="E34" s="123"/>
      <c r="F34" s="604" t="s">
        <v>389</v>
      </c>
      <c r="G34" s="604"/>
      <c r="H34" s="604"/>
      <c r="I34" s="604"/>
      <c r="J34" s="123"/>
      <c r="K34" s="134" t="s">
        <v>192</v>
      </c>
      <c r="L34" s="606" t="s">
        <v>196</v>
      </c>
      <c r="M34" s="606"/>
      <c r="N34" s="131"/>
      <c r="Q34" s="248" t="s">
        <v>192</v>
      </c>
      <c r="R34" s="283" t="s">
        <v>196</v>
      </c>
      <c r="S34" s="283"/>
      <c r="T34" s="247"/>
      <c r="W34" s="130" t="s">
        <v>187</v>
      </c>
      <c r="X34" s="123" t="s">
        <v>190</v>
      </c>
      <c r="Y34" s="123"/>
      <c r="Z34" s="131"/>
    </row>
    <row r="35" spans="1:29" ht="18.75">
      <c r="A35" s="130"/>
      <c r="B35" s="129" t="s">
        <v>197</v>
      </c>
      <c r="C35" s="129" t="s">
        <v>198</v>
      </c>
      <c r="D35" s="131"/>
      <c r="E35" s="123"/>
      <c r="F35" s="126"/>
      <c r="G35" s="127"/>
      <c r="H35" s="127"/>
      <c r="I35" s="128"/>
      <c r="J35" s="123"/>
      <c r="K35" s="130"/>
      <c r="L35" s="129" t="s">
        <v>197</v>
      </c>
      <c r="M35" s="152" t="s">
        <v>198</v>
      </c>
      <c r="N35" s="135"/>
      <c r="Q35" s="245"/>
      <c r="R35" s="249" t="s">
        <v>197</v>
      </c>
      <c r="S35" s="250" t="s">
        <v>198</v>
      </c>
      <c r="T35" s="251" t="s">
        <v>216</v>
      </c>
      <c r="W35" s="134" t="s">
        <v>192</v>
      </c>
      <c r="X35" s="606" t="s">
        <v>196</v>
      </c>
      <c r="Y35" s="606"/>
      <c r="Z35" s="131"/>
    </row>
    <row r="36" spans="1:29" ht="18.75">
      <c r="A36" s="130" t="s">
        <v>199</v>
      </c>
      <c r="B36" s="136">
        <v>0</v>
      </c>
      <c r="C36" s="136">
        <v>0</v>
      </c>
      <c r="D36" s="131"/>
      <c r="E36" s="123"/>
      <c r="F36" s="255" t="s">
        <v>187</v>
      </c>
      <c r="G36" s="249" t="s">
        <v>390</v>
      </c>
      <c r="H36" s="249"/>
      <c r="I36" s="131"/>
      <c r="J36" s="123"/>
      <c r="K36" s="130" t="s">
        <v>199</v>
      </c>
      <c r="L36" s="136">
        <v>1295.8399999999999</v>
      </c>
      <c r="M36" s="153">
        <f>L36*1.15</f>
        <v>1490.2159999999999</v>
      </c>
      <c r="N36" s="131"/>
      <c r="Q36" s="245" t="s">
        <v>217</v>
      </c>
      <c r="R36" s="252">
        <v>1414.87</v>
      </c>
      <c r="S36" s="253">
        <f t="shared" ref="S36:S43" si="8">R36*1.15</f>
        <v>1627.1004999999998</v>
      </c>
      <c r="T36" s="254">
        <f t="shared" ref="T36:T43" si="9">S36-R36</f>
        <v>212.23049999999989</v>
      </c>
      <c r="W36" s="130"/>
      <c r="X36" s="129" t="s">
        <v>197</v>
      </c>
      <c r="Y36" s="152" t="s">
        <v>198</v>
      </c>
      <c r="Z36" s="135"/>
    </row>
    <row r="37" spans="1:29" ht="18.75">
      <c r="A37" s="130" t="s">
        <v>201</v>
      </c>
      <c r="B37" s="136">
        <v>0</v>
      </c>
      <c r="C37" s="136">
        <v>0</v>
      </c>
      <c r="D37" s="131"/>
      <c r="E37" s="123"/>
      <c r="F37" s="130"/>
      <c r="G37" s="123"/>
      <c r="H37" s="123" t="s">
        <v>38</v>
      </c>
      <c r="I37" s="131"/>
      <c r="J37" s="123"/>
      <c r="K37" s="130" t="s">
        <v>201</v>
      </c>
      <c r="L37" s="136">
        <v>0</v>
      </c>
      <c r="M37" s="153">
        <f>L37*1.15</f>
        <v>0</v>
      </c>
      <c r="N37" s="131"/>
      <c r="Q37" s="245"/>
      <c r="R37" s="252"/>
      <c r="S37" s="253"/>
      <c r="T37" s="254"/>
      <c r="W37" s="130" t="s">
        <v>199</v>
      </c>
      <c r="X37" s="136">
        <v>1540.02</v>
      </c>
      <c r="Y37" s="153">
        <f>X37*1.15</f>
        <v>1771.0229999999999</v>
      </c>
      <c r="Z37" s="131"/>
      <c r="AB37" s="411"/>
      <c r="AC37" s="411">
        <f>X37-9.98</f>
        <v>1530.04</v>
      </c>
    </row>
    <row r="38" spans="1:29" ht="18.75">
      <c r="A38" s="130" t="s">
        <v>203</v>
      </c>
      <c r="B38" s="136">
        <v>0</v>
      </c>
      <c r="C38" s="136">
        <v>0</v>
      </c>
      <c r="D38" s="131"/>
      <c r="E38" s="123"/>
      <c r="F38" s="134"/>
      <c r="G38" s="1"/>
      <c r="H38" s="1"/>
      <c r="I38" s="135"/>
      <c r="J38" s="123"/>
      <c r="K38" s="130" t="s">
        <v>202</v>
      </c>
      <c r="L38" s="136">
        <v>176.8</v>
      </c>
      <c r="M38" s="153">
        <f>L38*1.15</f>
        <v>203.32</v>
      </c>
      <c r="N38" s="131"/>
      <c r="Q38" s="245" t="s">
        <v>201</v>
      </c>
      <c r="R38" s="252">
        <v>338</v>
      </c>
      <c r="S38" s="253">
        <f t="shared" si="8"/>
        <v>388.7</v>
      </c>
      <c r="T38" s="254">
        <f t="shared" si="9"/>
        <v>50.699999999999989</v>
      </c>
      <c r="W38" s="130" t="s">
        <v>201</v>
      </c>
      <c r="X38" s="136">
        <v>0</v>
      </c>
      <c r="Y38" s="153">
        <f>X38*1.15</f>
        <v>0</v>
      </c>
      <c r="Z38" s="131"/>
    </row>
    <row r="39" spans="1:29" ht="18.75">
      <c r="A39" s="130" t="s">
        <v>205</v>
      </c>
      <c r="B39" s="137">
        <v>2120</v>
      </c>
      <c r="C39" s="162">
        <f>B39*1.15</f>
        <v>2438</v>
      </c>
      <c r="D39" s="131"/>
      <c r="E39" s="123"/>
      <c r="F39" s="130"/>
      <c r="G39" s="129" t="s">
        <v>197</v>
      </c>
      <c r="H39" s="129" t="s">
        <v>198</v>
      </c>
      <c r="I39" s="131"/>
      <c r="J39" s="123"/>
      <c r="K39" s="130" t="s">
        <v>205</v>
      </c>
      <c r="L39" s="153">
        <v>1237.96</v>
      </c>
      <c r="M39" s="154">
        <f>L39*1.15</f>
        <v>1423.654</v>
      </c>
      <c r="N39" s="131"/>
      <c r="Q39" s="245" t="s">
        <v>218</v>
      </c>
      <c r="R39" s="252">
        <v>99.299000000000007</v>
      </c>
      <c r="S39" s="253">
        <f t="shared" si="8"/>
        <v>114.19385</v>
      </c>
      <c r="T39" s="254">
        <f t="shared" si="9"/>
        <v>14.894849999999991</v>
      </c>
      <c r="W39" s="130" t="s">
        <v>468</v>
      </c>
      <c r="X39" s="136">
        <v>479.98</v>
      </c>
      <c r="Y39" s="153">
        <f>X39*1.15</f>
        <v>551.97699999999998</v>
      </c>
      <c r="Z39" s="131"/>
      <c r="AB39" s="411"/>
    </row>
    <row r="40" spans="1:29" ht="18.75">
      <c r="A40" s="130" t="s">
        <v>206</v>
      </c>
      <c r="B40" s="139"/>
      <c r="C40" s="157"/>
      <c r="D40" s="131"/>
      <c r="E40" s="123"/>
      <c r="F40" s="130"/>
      <c r="G40" s="136"/>
      <c r="H40" s="136"/>
      <c r="I40" s="131"/>
      <c r="J40" s="123"/>
      <c r="K40" s="130" t="s">
        <v>206</v>
      </c>
      <c r="L40" s="139">
        <f>SUM(L36:L39)</f>
        <v>2710.6</v>
      </c>
      <c r="M40" s="155">
        <f>L40*1.15</f>
        <v>3117.1899999999996</v>
      </c>
      <c r="N40" s="131"/>
      <c r="Q40" s="245" t="s">
        <v>202</v>
      </c>
      <c r="R40" s="252">
        <v>220.667</v>
      </c>
      <c r="S40" s="253">
        <f t="shared" si="8"/>
        <v>253.76704999999998</v>
      </c>
      <c r="T40" s="254">
        <f t="shared" si="9"/>
        <v>33.100049999999982</v>
      </c>
      <c r="W40" s="130" t="s">
        <v>205</v>
      </c>
      <c r="X40" s="153">
        <v>1460</v>
      </c>
      <c r="Y40" s="154">
        <f>X40*1.15</f>
        <v>1678.9999999999998</v>
      </c>
      <c r="Z40" s="131"/>
    </row>
    <row r="41" spans="1:29" ht="18.75">
      <c r="A41" s="148"/>
      <c r="B41" s="149"/>
      <c r="C41" s="150"/>
      <c r="D41" s="151"/>
      <c r="E41" s="123"/>
      <c r="F41" s="130" t="s">
        <v>391</v>
      </c>
      <c r="G41" s="136">
        <v>3021</v>
      </c>
      <c r="H41" s="343">
        <f>G41*1.15</f>
        <v>3474.1499999999996</v>
      </c>
      <c r="I41" s="131"/>
      <c r="J41" s="123"/>
      <c r="K41" s="130"/>
      <c r="L41" s="158"/>
      <c r="M41" s="123"/>
      <c r="N41" s="131"/>
      <c r="Q41" s="245" t="s">
        <v>205</v>
      </c>
      <c r="R41" s="253">
        <v>839.98</v>
      </c>
      <c r="S41" s="253">
        <f t="shared" si="8"/>
        <v>965.97699999999998</v>
      </c>
      <c r="T41" s="254">
        <f t="shared" si="9"/>
        <v>125.99699999999996</v>
      </c>
      <c r="W41" s="130" t="s">
        <v>206</v>
      </c>
      <c r="X41" s="139">
        <f>SUM(X37:X40)</f>
        <v>3480</v>
      </c>
      <c r="Y41" s="155">
        <f>X41*1.15</f>
        <v>4001.9999999999995</v>
      </c>
      <c r="Z41" s="131"/>
    </row>
    <row r="42" spans="1:29" ht="18.75">
      <c r="E42" s="123"/>
      <c r="F42" s="130"/>
      <c r="G42" s="136"/>
      <c r="H42" s="136"/>
      <c r="I42" s="131"/>
      <c r="J42" s="123"/>
      <c r="K42" s="159" t="s">
        <v>213</v>
      </c>
      <c r="L42" s="160">
        <f>L36+L38</f>
        <v>1472.6399999999999</v>
      </c>
      <c r="M42" s="161">
        <f>M36+M38</f>
        <v>1693.5359999999998</v>
      </c>
      <c r="N42" s="151"/>
      <c r="Q42" s="255" t="s">
        <v>206</v>
      </c>
      <c r="R42" s="256">
        <f>SUM(R36:R41)</f>
        <v>2912.8159999999998</v>
      </c>
      <c r="S42" s="257">
        <f t="shared" si="8"/>
        <v>3349.7383999999997</v>
      </c>
      <c r="T42" s="258">
        <f t="shared" si="9"/>
        <v>436.92239999999993</v>
      </c>
      <c r="W42" s="130"/>
      <c r="X42" s="158"/>
      <c r="Y42" s="123"/>
      <c r="Z42" s="131"/>
    </row>
    <row r="43" spans="1:29" ht="19.5" thickBot="1">
      <c r="A43" s="123"/>
      <c r="B43" s="123"/>
      <c r="C43" s="123"/>
      <c r="D43" s="123"/>
      <c r="E43" s="123"/>
      <c r="F43" s="138"/>
      <c r="G43" s="139"/>
      <c r="H43" s="139"/>
      <c r="I43" s="131"/>
      <c r="J43" s="123"/>
      <c r="K43" s="123"/>
      <c r="L43" s="123"/>
      <c r="M43" s="123"/>
      <c r="N43" s="123"/>
      <c r="Q43" s="259" t="s">
        <v>219</v>
      </c>
      <c r="R43" s="260">
        <f>R36+R37+R39+R40</f>
        <v>1734.8359999999998</v>
      </c>
      <c r="S43" s="261">
        <f t="shared" si="8"/>
        <v>1995.0613999999996</v>
      </c>
      <c r="T43" s="262">
        <f t="shared" si="9"/>
        <v>260.22539999999981</v>
      </c>
      <c r="W43" s="159" t="s">
        <v>213</v>
      </c>
      <c r="X43" s="160">
        <f>X37+X39</f>
        <v>2020</v>
      </c>
      <c r="Y43" s="161">
        <f>Y37+Y39</f>
        <v>2323</v>
      </c>
      <c r="Z43" s="151"/>
    </row>
    <row r="44" spans="1:29" ht="18.75">
      <c r="A44" s="123"/>
      <c r="B44" s="123"/>
      <c r="C44" s="123"/>
      <c r="D44" s="123"/>
      <c r="E44" s="123"/>
      <c r="F44" s="130"/>
      <c r="G44" s="139"/>
      <c r="I44" s="131"/>
      <c r="J44" s="123"/>
      <c r="K44" s="659" t="s">
        <v>464</v>
      </c>
      <c r="L44" s="660"/>
      <c r="M44" s="660"/>
      <c r="N44" s="661"/>
    </row>
    <row r="45" spans="1:29" ht="19.5" thickBot="1">
      <c r="F45" s="148"/>
      <c r="G45" s="149"/>
      <c r="H45" s="150"/>
      <c r="I45" s="151"/>
      <c r="K45" s="330"/>
      <c r="L45" s="338">
        <v>382.61</v>
      </c>
      <c r="M45" s="338">
        <f>L45*1.15</f>
        <v>440.00149999999996</v>
      </c>
      <c r="N45" s="331"/>
      <c r="R45" s="329"/>
    </row>
    <row r="46" spans="1:29" ht="16.5" thickBot="1">
      <c r="Q46" s="662" t="s">
        <v>383</v>
      </c>
      <c r="R46" s="663"/>
      <c r="S46" s="663"/>
      <c r="T46" s="664"/>
    </row>
    <row r="47" spans="1:29" ht="15.75">
      <c r="F47" s="237" t="s">
        <v>398</v>
      </c>
      <c r="Q47" s="665" t="s">
        <v>382</v>
      </c>
      <c r="R47" s="666"/>
      <c r="S47" s="666"/>
      <c r="T47" s="667"/>
    </row>
    <row r="48" spans="1:29" ht="18.75">
      <c r="E48" t="s">
        <v>399</v>
      </c>
      <c r="F48" s="338">
        <v>2521.7399999999998</v>
      </c>
      <c r="G48" s="338">
        <f>F48*1.15</f>
        <v>2900.0009999999997</v>
      </c>
      <c r="Q48" s="242"/>
      <c r="R48" s="243"/>
      <c r="S48" s="243"/>
      <c r="T48" s="244"/>
    </row>
    <row r="49" spans="5:24" ht="18.75">
      <c r="E49" t="s">
        <v>400</v>
      </c>
      <c r="F49" s="338">
        <v>382.61</v>
      </c>
      <c r="G49" s="338">
        <f>F49*1.15</f>
        <v>440.00149999999996</v>
      </c>
      <c r="Q49" s="245" t="s">
        <v>187</v>
      </c>
      <c r="R49" s="246" t="s">
        <v>384</v>
      </c>
      <c r="S49" s="246"/>
      <c r="T49" s="247"/>
    </row>
    <row r="50" spans="5:24" ht="18.75">
      <c r="Q50" s="248" t="s">
        <v>192</v>
      </c>
      <c r="R50" s="283" t="s">
        <v>196</v>
      </c>
      <c r="S50" s="283"/>
      <c r="T50" s="247"/>
      <c r="V50" t="s">
        <v>386</v>
      </c>
    </row>
    <row r="51" spans="5:24" ht="18.75">
      <c r="Q51" s="245"/>
      <c r="R51" s="249" t="s">
        <v>197</v>
      </c>
      <c r="S51" s="250" t="s">
        <v>198</v>
      </c>
      <c r="T51" s="251" t="s">
        <v>216</v>
      </c>
    </row>
    <row r="52" spans="5:24" ht="18.75">
      <c r="K52" s="362"/>
      <c r="Q52" s="245" t="s">
        <v>217</v>
      </c>
      <c r="R52" s="252">
        <f>V52*X52</f>
        <v>1414.8680000000002</v>
      </c>
      <c r="S52" s="253">
        <f t="shared" ref="S52:S59" si="10">R52*1.15</f>
        <v>1627.0982000000001</v>
      </c>
      <c r="T52" s="254">
        <f t="shared" ref="T52:T59" si="11">S52-R52</f>
        <v>212.23019999999997</v>
      </c>
      <c r="V52">
        <v>1360.45</v>
      </c>
      <c r="X52">
        <v>1.04</v>
      </c>
    </row>
    <row r="53" spans="5:24" ht="18.75">
      <c r="Q53" s="245"/>
      <c r="R53" s="252"/>
      <c r="S53" s="253">
        <f t="shared" si="10"/>
        <v>0</v>
      </c>
      <c r="T53" s="254">
        <f t="shared" si="11"/>
        <v>0</v>
      </c>
    </row>
    <row r="54" spans="5:24" ht="18.75">
      <c r="Q54" s="245" t="s">
        <v>201</v>
      </c>
      <c r="R54" s="252">
        <f>V54*X52</f>
        <v>728</v>
      </c>
      <c r="S54" s="253">
        <f t="shared" si="10"/>
        <v>837.19999999999993</v>
      </c>
      <c r="T54" s="254">
        <f t="shared" si="11"/>
        <v>109.19999999999993</v>
      </c>
      <c r="V54">
        <v>700</v>
      </c>
    </row>
    <row r="55" spans="5:24" ht="18.75">
      <c r="Q55" s="245" t="s">
        <v>218</v>
      </c>
      <c r="R55" s="252">
        <f>V55*X52</f>
        <v>99.299200000000013</v>
      </c>
      <c r="S55" s="253">
        <f t="shared" si="10"/>
        <v>114.19408</v>
      </c>
      <c r="T55" s="254">
        <f t="shared" si="11"/>
        <v>14.894879999999986</v>
      </c>
      <c r="V55">
        <v>95.48</v>
      </c>
    </row>
    <row r="56" spans="5:24" ht="18.75">
      <c r="Q56" s="245" t="s">
        <v>202</v>
      </c>
      <c r="R56" s="252">
        <f>V56*X52</f>
        <v>220.66720000000001</v>
      </c>
      <c r="S56" s="253">
        <f t="shared" si="10"/>
        <v>253.76728</v>
      </c>
      <c r="T56" s="254">
        <f t="shared" si="11"/>
        <v>33.100079999999991</v>
      </c>
      <c r="V56">
        <v>212.18</v>
      </c>
    </row>
    <row r="57" spans="5:24" ht="18.75">
      <c r="Q57" s="245" t="s">
        <v>205</v>
      </c>
      <c r="R57" s="253">
        <f>V57*X52</f>
        <v>1073.9768000000001</v>
      </c>
      <c r="S57" s="253">
        <f t="shared" si="10"/>
        <v>1235.07332</v>
      </c>
      <c r="T57" s="254">
        <f t="shared" si="11"/>
        <v>161.09651999999983</v>
      </c>
      <c r="V57">
        <v>1032.67</v>
      </c>
      <c r="W57" s="321" t="s">
        <v>387</v>
      </c>
    </row>
    <row r="58" spans="5:24" ht="18.75">
      <c r="Q58" s="255" t="s">
        <v>206</v>
      </c>
      <c r="R58" s="256">
        <f>SUM(R52:R57)</f>
        <v>3536.8112000000001</v>
      </c>
      <c r="S58" s="257">
        <f t="shared" si="10"/>
        <v>4067.3328799999999</v>
      </c>
      <c r="T58" s="258">
        <f t="shared" si="11"/>
        <v>530.52167999999983</v>
      </c>
      <c r="V58">
        <f>SUM(V52:V57)</f>
        <v>3400.7799999999997</v>
      </c>
    </row>
    <row r="59" spans="5:24" ht="18.75">
      <c r="Q59" s="259" t="s">
        <v>219</v>
      </c>
      <c r="R59" s="260">
        <f>R52+R53+R55+R56</f>
        <v>1734.8344000000002</v>
      </c>
      <c r="S59" s="261">
        <f t="shared" si="10"/>
        <v>1995.0595600000001</v>
      </c>
      <c r="T59" s="262">
        <f t="shared" si="11"/>
        <v>260.22515999999996</v>
      </c>
    </row>
  </sheetData>
  <mergeCells count="39">
    <mergeCell ref="A1:D1"/>
    <mergeCell ref="F1:I1"/>
    <mergeCell ref="K1:N1"/>
    <mergeCell ref="Q1:T1"/>
    <mergeCell ref="A2:D2"/>
    <mergeCell ref="F2:I2"/>
    <mergeCell ref="K2:N2"/>
    <mergeCell ref="Q2:T2"/>
    <mergeCell ref="B6:C6"/>
    <mergeCell ref="L6:M6"/>
    <mergeCell ref="A15:D15"/>
    <mergeCell ref="F15:I15"/>
    <mergeCell ref="K15:N15"/>
    <mergeCell ref="F33:I33"/>
    <mergeCell ref="B34:C34"/>
    <mergeCell ref="F34:I34"/>
    <mergeCell ref="L34:M34"/>
    <mergeCell ref="Q16:T16"/>
    <mergeCell ref="Q17:T17"/>
    <mergeCell ref="L19:M19"/>
    <mergeCell ref="B20:C20"/>
    <mergeCell ref="A29:D29"/>
    <mergeCell ref="A30:D30"/>
    <mergeCell ref="K30:N30"/>
    <mergeCell ref="Q30:T30"/>
    <mergeCell ref="A16:D16"/>
    <mergeCell ref="F16:I16"/>
    <mergeCell ref="K16:N16"/>
    <mergeCell ref="K44:N44"/>
    <mergeCell ref="Q46:T46"/>
    <mergeCell ref="Q47:T47"/>
    <mergeCell ref="W16:Z16"/>
    <mergeCell ref="W17:Z17"/>
    <mergeCell ref="X20:Y20"/>
    <mergeCell ref="K31:N31"/>
    <mergeCell ref="Q31:T31"/>
    <mergeCell ref="W31:Z31"/>
    <mergeCell ref="W32:Z32"/>
    <mergeCell ref="X35:Y35"/>
  </mergeCells>
  <pageMargins left="0.70866141732283472" right="0.70866141732283472" top="0.74803149606299213" bottom="0.74803149606299213" header="0.31496062992125984" footer="0.51181102362204722"/>
  <pageSetup paperSize="8" scale="48" firstPageNumber="0" orientation="landscape" r:id="rId1"/>
  <headerFooter>
    <oddHeader>&amp;L&amp;T&amp;C&amp;D&amp;F&amp;R&amp;D</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536BA418B35B4CB46A7A66B49BB2BB" ma:contentTypeVersion="15" ma:contentTypeDescription="Create a new document." ma:contentTypeScope="" ma:versionID="227c7709ae393a7b4172cc4acff8fa8b">
  <xsd:schema xmlns:xsd="http://www.w3.org/2001/XMLSchema" xmlns:xs="http://www.w3.org/2001/XMLSchema" xmlns:p="http://schemas.microsoft.com/office/2006/metadata/properties" xmlns:ns3="54f61826-c49d-4f32-a506-6c26b204175a" xmlns:ns4="c96c4101-432e-4a08-b6b7-1ba2bb2c6f65" targetNamespace="http://schemas.microsoft.com/office/2006/metadata/properties" ma:root="true" ma:fieldsID="9fa629d3c2e9c39bf75092ef65b189f1" ns3:_="" ns4:_="">
    <xsd:import namespace="54f61826-c49d-4f32-a506-6c26b204175a"/>
    <xsd:import namespace="c96c4101-432e-4a08-b6b7-1ba2bb2c6f6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f61826-c49d-4f32-a506-6c26b20417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6c4101-432e-4a08-b6b7-1ba2bb2c6f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4f61826-c49d-4f32-a506-6c26b204175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01C879-4158-485D-B467-B3B07F45ED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f61826-c49d-4f32-a506-6c26b204175a"/>
    <ds:schemaRef ds:uri="c96c4101-432e-4a08-b6b7-1ba2bb2c6f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59E8D2-9BFD-4F75-93C3-08A29C046AB1}">
  <ds:schemaRefs>
    <ds:schemaRef ds:uri="http://www.w3.org/XML/1998/namespace"/>
    <ds:schemaRef ds:uri="54f61826-c49d-4f32-a506-6c26b204175a"/>
    <ds:schemaRef ds:uri="http://purl.org/dc/terms/"/>
    <ds:schemaRef ds:uri="http://schemas.microsoft.com/office/2006/metadata/propertie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c96c4101-432e-4a08-b6b7-1ba2bb2c6f65"/>
  </ds:schemaRefs>
</ds:datastoreItem>
</file>

<file path=customXml/itemProps3.xml><?xml version="1.0" encoding="utf-8"?>
<ds:datastoreItem xmlns:ds="http://schemas.openxmlformats.org/officeDocument/2006/customXml" ds:itemID="{06B4EDD6-A6AF-4970-A061-E4AEB5EB36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25</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ALL FIXED FEES 2026-2027</vt:lpstr>
      <vt:lpstr>HNZ ALL 1 JULY 2026</vt:lpstr>
      <vt:lpstr>Sheet1</vt:lpstr>
      <vt:lpstr>Theatre Fee Schedule 1 April 26</vt:lpstr>
      <vt:lpstr>SX CAT and VR Fees 1 March 2026</vt:lpstr>
      <vt:lpstr>MIGS 1 April 2026 updated  </vt:lpstr>
      <vt:lpstr>SX SKIN LESIONS 1 April 26 </vt:lpstr>
      <vt:lpstr>SX LIDS 1 March 26  </vt:lpstr>
      <vt:lpstr>ALL ACC FEES 1 July 2026</vt:lpstr>
      <vt:lpstr>ALL FIXED FEES archived 2025</vt:lpstr>
      <vt:lpstr>'MIGS 1 April 2026 updated  '!Print_Area</vt:lpstr>
      <vt:lpstr>'SX CAT and VR Fees 1 March 2026'!Print_Area</vt:lpstr>
      <vt:lpstr>'SX SKIN LESIONS 1 April 26 '!Print_Area</vt:lpstr>
    </vt:vector>
  </TitlesOfParts>
  <Company>Southern Cross Hospitals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amyt</dc:creator>
  <dc:description/>
  <cp:lastModifiedBy>Lesley Allan</cp:lastModifiedBy>
  <cp:revision>4</cp:revision>
  <cp:lastPrinted>2026-08-16T21:13:00Z</cp:lastPrinted>
  <dcterms:created xsi:type="dcterms:W3CDTF">2012-01-18T00:49:55Z</dcterms:created>
  <dcterms:modified xsi:type="dcterms:W3CDTF">2026-08-16T21:21:33Z</dcterms:modified>
  <dc:language>en-NZ</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Southern Cross Hospitals Limited</vt:lpwstr>
  </property>
  <property fmtid="{D5CDD505-2E9C-101B-9397-08002B2CF9AE}" pid="4" name="ContentTypeId">
    <vt:lpwstr>0x01010038536BA418B35B4CB46A7A66B49BB2BB</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ScaleCrop">
    <vt:bool>false</vt:bool>
  </property>
  <property fmtid="{D5CDD505-2E9C-101B-9397-08002B2CF9AE}" pid="9" name="ShareDoc">
    <vt:bool>false</vt:bool>
  </property>
</Properties>
</file>